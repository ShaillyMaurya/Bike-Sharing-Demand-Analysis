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480" yWindow="345" windowWidth="19815" windowHeight="7665" activeTab="3"/>
  </bookViews>
  <sheets>
    <sheet name="Master_Data" sheetId="1" r:id="rId1"/>
    <sheet name="Cleaned_Data Sheet" sheetId="7" r:id="rId2"/>
    <sheet name="Pivot_Tables" sheetId="3" r:id="rId3"/>
    <sheet name="Dashboard Data Sheet" sheetId="5" r:id="rId4"/>
    <sheet name="Dashboard" sheetId="4" r:id="rId5"/>
    <sheet name="Temprorary Data" sheetId="6" r:id="rId6"/>
  </sheets>
  <calcPr calcId="124519"/>
  <pivotCaches>
    <pivotCache cacheId="2" r:id="rId7"/>
    <pivotCache cacheId="29" r:id="rId8"/>
    <pivotCache cacheId="33" r:id="rId9"/>
  </pivotCaches>
</workbook>
</file>

<file path=xl/calcChain.xml><?xml version="1.0" encoding="utf-8"?>
<calcChain xmlns="http://schemas.openxmlformats.org/spreadsheetml/2006/main">
  <c r="X3" i="7"/>
  <c r="X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51"/>
  <c r="X552"/>
  <c r="X553"/>
  <c r="X554"/>
  <c r="X555"/>
  <c r="X556"/>
  <c r="X557"/>
  <c r="X558"/>
  <c r="X559"/>
  <c r="X560"/>
  <c r="X561"/>
  <c r="X562"/>
  <c r="X563"/>
  <c r="X564"/>
  <c r="X565"/>
  <c r="X566"/>
  <c r="X567"/>
  <c r="X568"/>
  <c r="X569"/>
  <c r="X570"/>
  <c r="X571"/>
  <c r="X572"/>
  <c r="X573"/>
  <c r="X574"/>
  <c r="X575"/>
  <c r="X576"/>
  <c r="X577"/>
  <c r="X578"/>
  <c r="X579"/>
  <c r="X580"/>
  <c r="X581"/>
  <c r="X582"/>
  <c r="X583"/>
  <c r="X584"/>
  <c r="X585"/>
  <c r="X586"/>
  <c r="X587"/>
  <c r="X588"/>
  <c r="X589"/>
  <c r="X590"/>
  <c r="X591"/>
  <c r="X592"/>
  <c r="X593"/>
  <c r="X594"/>
  <c r="X595"/>
  <c r="X596"/>
  <c r="X597"/>
  <c r="X598"/>
  <c r="X599"/>
  <c r="X600"/>
  <c r="X601"/>
  <c r="X602"/>
  <c r="X603"/>
  <c r="X604"/>
  <c r="X605"/>
  <c r="X606"/>
  <c r="X607"/>
  <c r="X608"/>
  <c r="X609"/>
  <c r="X610"/>
  <c r="X611"/>
  <c r="X2"/>
  <c r="W3"/>
  <c r="W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2"/>
  <c r="P611"/>
  <c r="O611"/>
  <c r="N611"/>
  <c r="M611"/>
  <c r="L611"/>
  <c r="Y611" s="1"/>
  <c r="K611"/>
  <c r="P610"/>
  <c r="O610"/>
  <c r="N610"/>
  <c r="Q610" s="1"/>
  <c r="M610"/>
  <c r="L610"/>
  <c r="Y610" s="1"/>
  <c r="K610"/>
  <c r="P609"/>
  <c r="O609"/>
  <c r="N609"/>
  <c r="M609"/>
  <c r="L609"/>
  <c r="Y609" s="1"/>
  <c r="K609"/>
  <c r="P608"/>
  <c r="O608"/>
  <c r="N608"/>
  <c r="Q608" s="1"/>
  <c r="M608"/>
  <c r="L608"/>
  <c r="Y608" s="1"/>
  <c r="K608"/>
  <c r="P607"/>
  <c r="O607"/>
  <c r="N607"/>
  <c r="M607"/>
  <c r="L607"/>
  <c r="Y607" s="1"/>
  <c r="K607"/>
  <c r="P606"/>
  <c r="O606"/>
  <c r="N606"/>
  <c r="Q606" s="1"/>
  <c r="M606"/>
  <c r="L606"/>
  <c r="Y606" s="1"/>
  <c r="K606"/>
  <c r="P605"/>
  <c r="O605"/>
  <c r="N605"/>
  <c r="M605"/>
  <c r="L605"/>
  <c r="Y605" s="1"/>
  <c r="K605"/>
  <c r="P604"/>
  <c r="O604"/>
  <c r="N604"/>
  <c r="Q604" s="1"/>
  <c r="M604"/>
  <c r="L604"/>
  <c r="Y604" s="1"/>
  <c r="K604"/>
  <c r="P603"/>
  <c r="O603"/>
  <c r="N603"/>
  <c r="M603"/>
  <c r="L603"/>
  <c r="Y603" s="1"/>
  <c r="K603"/>
  <c r="P602"/>
  <c r="O602"/>
  <c r="N602"/>
  <c r="Q602" s="1"/>
  <c r="M602"/>
  <c r="L602"/>
  <c r="Y602" s="1"/>
  <c r="K602"/>
  <c r="P601"/>
  <c r="O601"/>
  <c r="N601"/>
  <c r="M601"/>
  <c r="L601"/>
  <c r="Y601" s="1"/>
  <c r="K601"/>
  <c r="P600"/>
  <c r="O600"/>
  <c r="N600"/>
  <c r="Q600" s="1"/>
  <c r="M600"/>
  <c r="L600"/>
  <c r="Y600" s="1"/>
  <c r="K600"/>
  <c r="P599"/>
  <c r="O599"/>
  <c r="N599"/>
  <c r="M599"/>
  <c r="L599"/>
  <c r="Y599" s="1"/>
  <c r="K599"/>
  <c r="P598"/>
  <c r="O598"/>
  <c r="N598"/>
  <c r="Q598" s="1"/>
  <c r="M598"/>
  <c r="L598"/>
  <c r="Y598" s="1"/>
  <c r="K598"/>
  <c r="P597"/>
  <c r="O597"/>
  <c r="N597"/>
  <c r="M597"/>
  <c r="L597"/>
  <c r="Y597" s="1"/>
  <c r="K597"/>
  <c r="P596"/>
  <c r="O596"/>
  <c r="N596"/>
  <c r="Q596" s="1"/>
  <c r="M596"/>
  <c r="L596"/>
  <c r="Y596" s="1"/>
  <c r="K596"/>
  <c r="P595"/>
  <c r="O595"/>
  <c r="N595"/>
  <c r="M595"/>
  <c r="L595"/>
  <c r="Y595" s="1"/>
  <c r="K595"/>
  <c r="P594"/>
  <c r="O594"/>
  <c r="N594"/>
  <c r="Q594" s="1"/>
  <c r="M594"/>
  <c r="L594"/>
  <c r="Y594" s="1"/>
  <c r="K594"/>
  <c r="P593"/>
  <c r="O593"/>
  <c r="N593"/>
  <c r="M593"/>
  <c r="L593"/>
  <c r="Y593" s="1"/>
  <c r="K593"/>
  <c r="P592"/>
  <c r="O592"/>
  <c r="N592"/>
  <c r="Q592" s="1"/>
  <c r="M592"/>
  <c r="L592"/>
  <c r="Y592" s="1"/>
  <c r="K592"/>
  <c r="P591"/>
  <c r="O591"/>
  <c r="N591"/>
  <c r="M591"/>
  <c r="L591"/>
  <c r="Y591" s="1"/>
  <c r="K591"/>
  <c r="P590"/>
  <c r="O590"/>
  <c r="N590"/>
  <c r="Q590" s="1"/>
  <c r="M590"/>
  <c r="L590"/>
  <c r="Y590" s="1"/>
  <c r="K590"/>
  <c r="P589"/>
  <c r="O589"/>
  <c r="N589"/>
  <c r="M589"/>
  <c r="L589"/>
  <c r="Y589" s="1"/>
  <c r="K589"/>
  <c r="P588"/>
  <c r="O588"/>
  <c r="N588"/>
  <c r="Q588" s="1"/>
  <c r="M588"/>
  <c r="L588"/>
  <c r="Y588" s="1"/>
  <c r="K588"/>
  <c r="P587"/>
  <c r="O587"/>
  <c r="N587"/>
  <c r="M587"/>
  <c r="L587"/>
  <c r="Y587" s="1"/>
  <c r="K587"/>
  <c r="P586"/>
  <c r="O586"/>
  <c r="N586"/>
  <c r="Q586" s="1"/>
  <c r="M586"/>
  <c r="L586"/>
  <c r="Y586" s="1"/>
  <c r="K586"/>
  <c r="P585"/>
  <c r="O585"/>
  <c r="N585"/>
  <c r="M585"/>
  <c r="L585"/>
  <c r="Y585" s="1"/>
  <c r="K585"/>
  <c r="P584"/>
  <c r="O584"/>
  <c r="N584"/>
  <c r="Q584" s="1"/>
  <c r="M584"/>
  <c r="L584"/>
  <c r="Y584" s="1"/>
  <c r="K584"/>
  <c r="P583"/>
  <c r="O583"/>
  <c r="N583"/>
  <c r="M583"/>
  <c r="L583"/>
  <c r="Y583" s="1"/>
  <c r="K583"/>
  <c r="P582"/>
  <c r="O582"/>
  <c r="N582"/>
  <c r="Q582" s="1"/>
  <c r="M582"/>
  <c r="L582"/>
  <c r="Y582" s="1"/>
  <c r="K582"/>
  <c r="P581"/>
  <c r="O581"/>
  <c r="N581"/>
  <c r="M581"/>
  <c r="L581"/>
  <c r="Y581" s="1"/>
  <c r="K581"/>
  <c r="P580"/>
  <c r="O580"/>
  <c r="N580"/>
  <c r="Q580" s="1"/>
  <c r="M580"/>
  <c r="L580"/>
  <c r="Y580" s="1"/>
  <c r="K580"/>
  <c r="P579"/>
  <c r="O579"/>
  <c r="N579"/>
  <c r="M579"/>
  <c r="L579"/>
  <c r="Y579" s="1"/>
  <c r="K579"/>
  <c r="P578"/>
  <c r="O578"/>
  <c r="N578"/>
  <c r="Q578" s="1"/>
  <c r="M578"/>
  <c r="L578"/>
  <c r="Y578" s="1"/>
  <c r="K578"/>
  <c r="P577"/>
  <c r="O577"/>
  <c r="N577"/>
  <c r="M577"/>
  <c r="L577"/>
  <c r="Y577" s="1"/>
  <c r="K577"/>
  <c r="P576"/>
  <c r="O576"/>
  <c r="N576"/>
  <c r="Q576" s="1"/>
  <c r="M576"/>
  <c r="L576"/>
  <c r="Y576" s="1"/>
  <c r="K576"/>
  <c r="P575"/>
  <c r="O575"/>
  <c r="N575"/>
  <c r="M575"/>
  <c r="L575"/>
  <c r="Y575" s="1"/>
  <c r="K575"/>
  <c r="P574"/>
  <c r="O574"/>
  <c r="N574"/>
  <c r="Q574" s="1"/>
  <c r="M574"/>
  <c r="L574"/>
  <c r="Y574" s="1"/>
  <c r="K574"/>
  <c r="P573"/>
  <c r="O573"/>
  <c r="N573"/>
  <c r="M573"/>
  <c r="L573"/>
  <c r="Y573" s="1"/>
  <c r="K573"/>
  <c r="P572"/>
  <c r="O572"/>
  <c r="N572"/>
  <c r="Q572" s="1"/>
  <c r="M572"/>
  <c r="L572"/>
  <c r="Y572" s="1"/>
  <c r="K572"/>
  <c r="P571"/>
  <c r="O571"/>
  <c r="N571"/>
  <c r="M571"/>
  <c r="L571"/>
  <c r="Y571" s="1"/>
  <c r="K571"/>
  <c r="P570"/>
  <c r="O570"/>
  <c r="N570"/>
  <c r="Q570" s="1"/>
  <c r="M570"/>
  <c r="L570"/>
  <c r="Y570" s="1"/>
  <c r="K570"/>
  <c r="P569"/>
  <c r="O569"/>
  <c r="N569"/>
  <c r="M569"/>
  <c r="L569"/>
  <c r="Y569" s="1"/>
  <c r="K569"/>
  <c r="P568"/>
  <c r="O568"/>
  <c r="N568"/>
  <c r="Q568" s="1"/>
  <c r="M568"/>
  <c r="L568"/>
  <c r="Y568" s="1"/>
  <c r="K568"/>
  <c r="P567"/>
  <c r="O567"/>
  <c r="N567"/>
  <c r="M567"/>
  <c r="L567"/>
  <c r="Y567" s="1"/>
  <c r="K567"/>
  <c r="P566"/>
  <c r="O566"/>
  <c r="N566"/>
  <c r="Q566" s="1"/>
  <c r="M566"/>
  <c r="L566"/>
  <c r="Y566" s="1"/>
  <c r="K566"/>
  <c r="P565"/>
  <c r="O565"/>
  <c r="N565"/>
  <c r="M565"/>
  <c r="L565"/>
  <c r="Y565" s="1"/>
  <c r="K565"/>
  <c r="P564"/>
  <c r="O564"/>
  <c r="N564"/>
  <c r="Q564" s="1"/>
  <c r="M564"/>
  <c r="L564"/>
  <c r="Y564" s="1"/>
  <c r="K564"/>
  <c r="P563"/>
  <c r="O563"/>
  <c r="N563"/>
  <c r="M563"/>
  <c r="L563"/>
  <c r="Y563" s="1"/>
  <c r="K563"/>
  <c r="P562"/>
  <c r="O562"/>
  <c r="N562"/>
  <c r="Q562" s="1"/>
  <c r="M562"/>
  <c r="L562"/>
  <c r="Y562" s="1"/>
  <c r="K562"/>
  <c r="P561"/>
  <c r="O561"/>
  <c r="N561"/>
  <c r="M561"/>
  <c r="L561"/>
  <c r="Y561" s="1"/>
  <c r="K561"/>
  <c r="P560"/>
  <c r="O560"/>
  <c r="N560"/>
  <c r="Q560" s="1"/>
  <c r="M560"/>
  <c r="L560"/>
  <c r="Y560" s="1"/>
  <c r="K560"/>
  <c r="P559"/>
  <c r="O559"/>
  <c r="N559"/>
  <c r="M559"/>
  <c r="L559"/>
  <c r="Y559" s="1"/>
  <c r="K559"/>
  <c r="P558"/>
  <c r="O558"/>
  <c r="N558"/>
  <c r="Q558" s="1"/>
  <c r="M558"/>
  <c r="L558"/>
  <c r="Y558" s="1"/>
  <c r="K558"/>
  <c r="P557"/>
  <c r="O557"/>
  <c r="N557"/>
  <c r="M557"/>
  <c r="L557"/>
  <c r="Y557" s="1"/>
  <c r="K557"/>
  <c r="P556"/>
  <c r="O556"/>
  <c r="N556"/>
  <c r="Q556" s="1"/>
  <c r="M556"/>
  <c r="L556"/>
  <c r="Y556" s="1"/>
  <c r="K556"/>
  <c r="P555"/>
  <c r="O555"/>
  <c r="N555"/>
  <c r="M555"/>
  <c r="L555"/>
  <c r="Y555" s="1"/>
  <c r="K555"/>
  <c r="P554"/>
  <c r="O554"/>
  <c r="N554"/>
  <c r="Q554" s="1"/>
  <c r="M554"/>
  <c r="L554"/>
  <c r="Y554" s="1"/>
  <c r="K554"/>
  <c r="P553"/>
  <c r="O553"/>
  <c r="N553"/>
  <c r="M553"/>
  <c r="L553"/>
  <c r="Y553" s="1"/>
  <c r="K553"/>
  <c r="P552"/>
  <c r="O552"/>
  <c r="N552"/>
  <c r="Q552" s="1"/>
  <c r="M552"/>
  <c r="L552"/>
  <c r="Y552" s="1"/>
  <c r="K552"/>
  <c r="P551"/>
  <c r="O551"/>
  <c r="N551"/>
  <c r="M551"/>
  <c r="L551"/>
  <c r="Y551" s="1"/>
  <c r="K551"/>
  <c r="P550"/>
  <c r="O550"/>
  <c r="N550"/>
  <c r="Q550" s="1"/>
  <c r="M550"/>
  <c r="L550"/>
  <c r="Y550" s="1"/>
  <c r="K550"/>
  <c r="P549"/>
  <c r="O549"/>
  <c r="N549"/>
  <c r="M549"/>
  <c r="L549"/>
  <c r="Y549" s="1"/>
  <c r="K549"/>
  <c r="P548"/>
  <c r="O548"/>
  <c r="N548"/>
  <c r="Q548" s="1"/>
  <c r="M548"/>
  <c r="L548"/>
  <c r="Y548" s="1"/>
  <c r="K548"/>
  <c r="P547"/>
  <c r="O547"/>
  <c r="N547"/>
  <c r="M547"/>
  <c r="L547"/>
  <c r="Y547" s="1"/>
  <c r="K547"/>
  <c r="P546"/>
  <c r="O546"/>
  <c r="N546"/>
  <c r="Q546" s="1"/>
  <c r="M546"/>
  <c r="L546"/>
  <c r="Y546" s="1"/>
  <c r="K546"/>
  <c r="P545"/>
  <c r="O545"/>
  <c r="N545"/>
  <c r="M545"/>
  <c r="L545"/>
  <c r="Y545" s="1"/>
  <c r="K545"/>
  <c r="P544"/>
  <c r="O544"/>
  <c r="N544"/>
  <c r="Q544" s="1"/>
  <c r="M544"/>
  <c r="L544"/>
  <c r="Y544" s="1"/>
  <c r="K544"/>
  <c r="P543"/>
  <c r="O543"/>
  <c r="N543"/>
  <c r="M543"/>
  <c r="L543"/>
  <c r="Y543" s="1"/>
  <c r="K543"/>
  <c r="P542"/>
  <c r="O542"/>
  <c r="N542"/>
  <c r="Q542" s="1"/>
  <c r="M542"/>
  <c r="L542"/>
  <c r="Y542" s="1"/>
  <c r="K542"/>
  <c r="P541"/>
  <c r="O541"/>
  <c r="N541"/>
  <c r="M541"/>
  <c r="L541"/>
  <c r="Y541" s="1"/>
  <c r="K541"/>
  <c r="P540"/>
  <c r="O540"/>
  <c r="N540"/>
  <c r="Q540" s="1"/>
  <c r="M540"/>
  <c r="L540"/>
  <c r="Y540" s="1"/>
  <c r="K540"/>
  <c r="P539"/>
  <c r="O539"/>
  <c r="N539"/>
  <c r="M539"/>
  <c r="L539"/>
  <c r="Y539" s="1"/>
  <c r="K539"/>
  <c r="P538"/>
  <c r="O538"/>
  <c r="N538"/>
  <c r="Q538" s="1"/>
  <c r="M538"/>
  <c r="L538"/>
  <c r="Y538" s="1"/>
  <c r="K538"/>
  <c r="P537"/>
  <c r="O537"/>
  <c r="N537"/>
  <c r="M537"/>
  <c r="L537"/>
  <c r="Y537" s="1"/>
  <c r="K537"/>
  <c r="P536"/>
  <c r="O536"/>
  <c r="N536"/>
  <c r="Q536" s="1"/>
  <c r="M536"/>
  <c r="L536"/>
  <c r="Y536" s="1"/>
  <c r="K536"/>
  <c r="P535"/>
  <c r="O535"/>
  <c r="N535"/>
  <c r="M535"/>
  <c r="L535"/>
  <c r="Y535" s="1"/>
  <c r="K535"/>
  <c r="P534"/>
  <c r="O534"/>
  <c r="N534"/>
  <c r="Q534" s="1"/>
  <c r="M534"/>
  <c r="L534"/>
  <c r="Y534" s="1"/>
  <c r="K534"/>
  <c r="P533"/>
  <c r="O533"/>
  <c r="N533"/>
  <c r="M533"/>
  <c r="L533"/>
  <c r="Y533" s="1"/>
  <c r="K533"/>
  <c r="P532"/>
  <c r="O532"/>
  <c r="N532"/>
  <c r="Q532" s="1"/>
  <c r="M532"/>
  <c r="L532"/>
  <c r="Y532" s="1"/>
  <c r="K532"/>
  <c r="P531"/>
  <c r="O531"/>
  <c r="N531"/>
  <c r="M531"/>
  <c r="L531"/>
  <c r="Y531" s="1"/>
  <c r="K531"/>
  <c r="P530"/>
  <c r="O530"/>
  <c r="N530"/>
  <c r="Q530" s="1"/>
  <c r="M530"/>
  <c r="L530"/>
  <c r="Y530" s="1"/>
  <c r="K530"/>
  <c r="P529"/>
  <c r="O529"/>
  <c r="N529"/>
  <c r="M529"/>
  <c r="L529"/>
  <c r="Y529" s="1"/>
  <c r="K529"/>
  <c r="P528"/>
  <c r="O528"/>
  <c r="N528"/>
  <c r="Q528" s="1"/>
  <c r="M528"/>
  <c r="L528"/>
  <c r="Y528" s="1"/>
  <c r="K528"/>
  <c r="P527"/>
  <c r="O527"/>
  <c r="N527"/>
  <c r="M527"/>
  <c r="L527"/>
  <c r="Y527" s="1"/>
  <c r="K527"/>
  <c r="P526"/>
  <c r="O526"/>
  <c r="N526"/>
  <c r="Q526" s="1"/>
  <c r="M526"/>
  <c r="L526"/>
  <c r="Y526" s="1"/>
  <c r="K526"/>
  <c r="P525"/>
  <c r="O525"/>
  <c r="N525"/>
  <c r="M525"/>
  <c r="L525"/>
  <c r="Y525" s="1"/>
  <c r="K525"/>
  <c r="P524"/>
  <c r="O524"/>
  <c r="N524"/>
  <c r="Q524" s="1"/>
  <c r="M524"/>
  <c r="L524"/>
  <c r="Y524" s="1"/>
  <c r="K524"/>
  <c r="P523"/>
  <c r="O523"/>
  <c r="N523"/>
  <c r="M523"/>
  <c r="L523"/>
  <c r="Y523" s="1"/>
  <c r="K523"/>
  <c r="P522"/>
  <c r="O522"/>
  <c r="N522"/>
  <c r="Q522" s="1"/>
  <c r="M522"/>
  <c r="L522"/>
  <c r="Y522" s="1"/>
  <c r="K522"/>
  <c r="P521"/>
  <c r="O521"/>
  <c r="N521"/>
  <c r="M521"/>
  <c r="L521"/>
  <c r="Y521" s="1"/>
  <c r="K521"/>
  <c r="P520"/>
  <c r="O520"/>
  <c r="N520"/>
  <c r="Q520" s="1"/>
  <c r="M520"/>
  <c r="L520"/>
  <c r="Y520" s="1"/>
  <c r="K520"/>
  <c r="P519"/>
  <c r="O519"/>
  <c r="N519"/>
  <c r="M519"/>
  <c r="L519"/>
  <c r="Y519" s="1"/>
  <c r="K519"/>
  <c r="P518"/>
  <c r="O518"/>
  <c r="N518"/>
  <c r="Q518" s="1"/>
  <c r="M518"/>
  <c r="L518"/>
  <c r="Y518" s="1"/>
  <c r="K518"/>
  <c r="P517"/>
  <c r="O517"/>
  <c r="N517"/>
  <c r="M517"/>
  <c r="L517"/>
  <c r="Y517" s="1"/>
  <c r="K517"/>
  <c r="P516"/>
  <c r="O516"/>
  <c r="N516"/>
  <c r="Q516" s="1"/>
  <c r="M516"/>
  <c r="L516"/>
  <c r="Y516" s="1"/>
  <c r="K516"/>
  <c r="P515"/>
  <c r="O515"/>
  <c r="N515"/>
  <c r="M515"/>
  <c r="L515"/>
  <c r="Y515" s="1"/>
  <c r="K515"/>
  <c r="P514"/>
  <c r="O514"/>
  <c r="N514"/>
  <c r="Q514" s="1"/>
  <c r="M514"/>
  <c r="L514"/>
  <c r="Y514" s="1"/>
  <c r="K514"/>
  <c r="P513"/>
  <c r="O513"/>
  <c r="N513"/>
  <c r="M513"/>
  <c r="L513"/>
  <c r="Y513" s="1"/>
  <c r="K513"/>
  <c r="P512"/>
  <c r="O512"/>
  <c r="N512"/>
  <c r="Q512" s="1"/>
  <c r="M512"/>
  <c r="L512"/>
  <c r="Y512" s="1"/>
  <c r="K512"/>
  <c r="P511"/>
  <c r="O511"/>
  <c r="N511"/>
  <c r="M511"/>
  <c r="L511"/>
  <c r="Y511" s="1"/>
  <c r="K511"/>
  <c r="P510"/>
  <c r="O510"/>
  <c r="N510"/>
  <c r="Q510" s="1"/>
  <c r="M510"/>
  <c r="L510"/>
  <c r="Y510" s="1"/>
  <c r="K510"/>
  <c r="P509"/>
  <c r="O509"/>
  <c r="N509"/>
  <c r="M509"/>
  <c r="L509"/>
  <c r="Y509" s="1"/>
  <c r="K509"/>
  <c r="P508"/>
  <c r="O508"/>
  <c r="N508"/>
  <c r="Q508" s="1"/>
  <c r="M508"/>
  <c r="L508"/>
  <c r="Y508" s="1"/>
  <c r="K508"/>
  <c r="P507"/>
  <c r="O507"/>
  <c r="N507"/>
  <c r="M507"/>
  <c r="L507"/>
  <c r="Y507" s="1"/>
  <c r="K507"/>
  <c r="P506"/>
  <c r="O506"/>
  <c r="N506"/>
  <c r="Q506" s="1"/>
  <c r="M506"/>
  <c r="L506"/>
  <c r="Y506" s="1"/>
  <c r="K506"/>
  <c r="P505"/>
  <c r="O505"/>
  <c r="N505"/>
  <c r="M505"/>
  <c r="L505"/>
  <c r="Y505" s="1"/>
  <c r="K505"/>
  <c r="P504"/>
  <c r="O504"/>
  <c r="N504"/>
  <c r="Q504" s="1"/>
  <c r="M504"/>
  <c r="L504"/>
  <c r="Y504" s="1"/>
  <c r="K504"/>
  <c r="P503"/>
  <c r="O503"/>
  <c r="N503"/>
  <c r="M503"/>
  <c r="L503"/>
  <c r="Y503" s="1"/>
  <c r="K503"/>
  <c r="P502"/>
  <c r="O502"/>
  <c r="N502"/>
  <c r="Q502" s="1"/>
  <c r="M502"/>
  <c r="L502"/>
  <c r="Y502" s="1"/>
  <c r="K502"/>
  <c r="P501"/>
  <c r="O501"/>
  <c r="N501"/>
  <c r="M501"/>
  <c r="L501"/>
  <c r="Y501" s="1"/>
  <c r="K501"/>
  <c r="P500"/>
  <c r="O500"/>
  <c r="N500"/>
  <c r="Q500" s="1"/>
  <c r="M500"/>
  <c r="L500"/>
  <c r="Y500" s="1"/>
  <c r="K500"/>
  <c r="P499"/>
  <c r="O499"/>
  <c r="N499"/>
  <c r="M499"/>
  <c r="L499"/>
  <c r="Y499" s="1"/>
  <c r="K499"/>
  <c r="P498"/>
  <c r="O498"/>
  <c r="N498"/>
  <c r="Q498" s="1"/>
  <c r="M498"/>
  <c r="L498"/>
  <c r="Y498" s="1"/>
  <c r="K498"/>
  <c r="P497"/>
  <c r="O497"/>
  <c r="N497"/>
  <c r="M497"/>
  <c r="L497"/>
  <c r="Y497" s="1"/>
  <c r="K497"/>
  <c r="P496"/>
  <c r="O496"/>
  <c r="N496"/>
  <c r="Q496" s="1"/>
  <c r="M496"/>
  <c r="L496"/>
  <c r="Y496" s="1"/>
  <c r="K496"/>
  <c r="P495"/>
  <c r="O495"/>
  <c r="N495"/>
  <c r="M495"/>
  <c r="L495"/>
  <c r="Y495" s="1"/>
  <c r="K495"/>
  <c r="P494"/>
  <c r="O494"/>
  <c r="N494"/>
  <c r="Q494" s="1"/>
  <c r="M494"/>
  <c r="L494"/>
  <c r="Y494" s="1"/>
  <c r="K494"/>
  <c r="P493"/>
  <c r="O493"/>
  <c r="N493"/>
  <c r="M493"/>
  <c r="L493"/>
  <c r="Y493" s="1"/>
  <c r="K493"/>
  <c r="P492"/>
  <c r="O492"/>
  <c r="N492"/>
  <c r="Q492" s="1"/>
  <c r="M492"/>
  <c r="L492"/>
  <c r="Y492" s="1"/>
  <c r="K492"/>
  <c r="P491"/>
  <c r="O491"/>
  <c r="N491"/>
  <c r="M491"/>
  <c r="L491"/>
  <c r="Y491" s="1"/>
  <c r="K491"/>
  <c r="P490"/>
  <c r="O490"/>
  <c r="N490"/>
  <c r="Q490" s="1"/>
  <c r="M490"/>
  <c r="L490"/>
  <c r="Y490" s="1"/>
  <c r="K490"/>
  <c r="P489"/>
  <c r="O489"/>
  <c r="N489"/>
  <c r="M489"/>
  <c r="L489"/>
  <c r="Y489" s="1"/>
  <c r="K489"/>
  <c r="P488"/>
  <c r="O488"/>
  <c r="N488"/>
  <c r="Q488" s="1"/>
  <c r="M488"/>
  <c r="L488"/>
  <c r="Y488" s="1"/>
  <c r="K488"/>
  <c r="P487"/>
  <c r="O487"/>
  <c r="N487"/>
  <c r="M487"/>
  <c r="L487"/>
  <c r="Y487" s="1"/>
  <c r="K487"/>
  <c r="P486"/>
  <c r="O486"/>
  <c r="N486"/>
  <c r="Q486" s="1"/>
  <c r="M486"/>
  <c r="L486"/>
  <c r="Y486" s="1"/>
  <c r="K486"/>
  <c r="P485"/>
  <c r="O485"/>
  <c r="N485"/>
  <c r="M485"/>
  <c r="L485"/>
  <c r="Y485" s="1"/>
  <c r="K485"/>
  <c r="P484"/>
  <c r="O484"/>
  <c r="N484"/>
  <c r="Q484" s="1"/>
  <c r="M484"/>
  <c r="L484"/>
  <c r="Y484" s="1"/>
  <c r="K484"/>
  <c r="P483"/>
  <c r="O483"/>
  <c r="N483"/>
  <c r="M483"/>
  <c r="L483"/>
  <c r="Y483" s="1"/>
  <c r="K483"/>
  <c r="P482"/>
  <c r="O482"/>
  <c r="N482"/>
  <c r="Q482" s="1"/>
  <c r="M482"/>
  <c r="L482"/>
  <c r="Y482" s="1"/>
  <c r="K482"/>
  <c r="P481"/>
  <c r="O481"/>
  <c r="N481"/>
  <c r="M481"/>
  <c r="L481"/>
  <c r="Y481" s="1"/>
  <c r="K481"/>
  <c r="P480"/>
  <c r="O480"/>
  <c r="N480"/>
  <c r="Q480" s="1"/>
  <c r="M480"/>
  <c r="L480"/>
  <c r="Y480" s="1"/>
  <c r="K480"/>
  <c r="P479"/>
  <c r="O479"/>
  <c r="N479"/>
  <c r="M479"/>
  <c r="L479"/>
  <c r="Y479" s="1"/>
  <c r="K479"/>
  <c r="P478"/>
  <c r="O478"/>
  <c r="N478"/>
  <c r="Q478" s="1"/>
  <c r="M478"/>
  <c r="L478"/>
  <c r="Y478" s="1"/>
  <c r="K478"/>
  <c r="P477"/>
  <c r="O477"/>
  <c r="N477"/>
  <c r="M477"/>
  <c r="L477"/>
  <c r="Y477" s="1"/>
  <c r="K477"/>
  <c r="P476"/>
  <c r="O476"/>
  <c r="N476"/>
  <c r="Q476" s="1"/>
  <c r="M476"/>
  <c r="L476"/>
  <c r="Y476" s="1"/>
  <c r="K476"/>
  <c r="P475"/>
  <c r="O475"/>
  <c r="N475"/>
  <c r="M475"/>
  <c r="L475"/>
  <c r="Y475" s="1"/>
  <c r="K475"/>
  <c r="P474"/>
  <c r="O474"/>
  <c r="N474"/>
  <c r="Q474" s="1"/>
  <c r="M474"/>
  <c r="L474"/>
  <c r="Y474" s="1"/>
  <c r="K474"/>
  <c r="P473"/>
  <c r="O473"/>
  <c r="N473"/>
  <c r="M473"/>
  <c r="L473"/>
  <c r="Y473" s="1"/>
  <c r="K473"/>
  <c r="P472"/>
  <c r="O472"/>
  <c r="N472"/>
  <c r="Q472" s="1"/>
  <c r="M472"/>
  <c r="L472"/>
  <c r="Y472" s="1"/>
  <c r="K472"/>
  <c r="P471"/>
  <c r="O471"/>
  <c r="N471"/>
  <c r="M471"/>
  <c r="L471"/>
  <c r="Y471" s="1"/>
  <c r="K471"/>
  <c r="P470"/>
  <c r="O470"/>
  <c r="N470"/>
  <c r="Q470" s="1"/>
  <c r="M470"/>
  <c r="L470"/>
  <c r="Y470" s="1"/>
  <c r="K470"/>
  <c r="P469"/>
  <c r="O469"/>
  <c r="N469"/>
  <c r="M469"/>
  <c r="L469"/>
  <c r="Y469" s="1"/>
  <c r="K469"/>
  <c r="P468"/>
  <c r="O468"/>
  <c r="N468"/>
  <c r="Q468" s="1"/>
  <c r="M468"/>
  <c r="L468"/>
  <c r="Y468" s="1"/>
  <c r="K468"/>
  <c r="P467"/>
  <c r="O467"/>
  <c r="N467"/>
  <c r="M467"/>
  <c r="L467"/>
  <c r="Y467" s="1"/>
  <c r="K467"/>
  <c r="P466"/>
  <c r="O466"/>
  <c r="N466"/>
  <c r="Q466" s="1"/>
  <c r="M466"/>
  <c r="L466"/>
  <c r="Y466" s="1"/>
  <c r="K466"/>
  <c r="P465"/>
  <c r="O465"/>
  <c r="N465"/>
  <c r="M465"/>
  <c r="L465"/>
  <c r="Y465" s="1"/>
  <c r="K465"/>
  <c r="P464"/>
  <c r="O464"/>
  <c r="N464"/>
  <c r="Q464" s="1"/>
  <c r="M464"/>
  <c r="L464"/>
  <c r="Y464" s="1"/>
  <c r="K464"/>
  <c r="P463"/>
  <c r="O463"/>
  <c r="N463"/>
  <c r="M463"/>
  <c r="L463"/>
  <c r="Y463" s="1"/>
  <c r="K463"/>
  <c r="P462"/>
  <c r="O462"/>
  <c r="N462"/>
  <c r="Q462" s="1"/>
  <c r="M462"/>
  <c r="L462"/>
  <c r="Y462" s="1"/>
  <c r="K462"/>
  <c r="P461"/>
  <c r="O461"/>
  <c r="N461"/>
  <c r="M461"/>
  <c r="L461"/>
  <c r="Y461" s="1"/>
  <c r="K461"/>
  <c r="P460"/>
  <c r="O460"/>
  <c r="N460"/>
  <c r="Q460" s="1"/>
  <c r="M460"/>
  <c r="L460"/>
  <c r="Y460" s="1"/>
  <c r="K460"/>
  <c r="P459"/>
  <c r="O459"/>
  <c r="N459"/>
  <c r="M459"/>
  <c r="L459"/>
  <c r="Y459" s="1"/>
  <c r="K459"/>
  <c r="P458"/>
  <c r="O458"/>
  <c r="N458"/>
  <c r="Q458" s="1"/>
  <c r="M458"/>
  <c r="L458"/>
  <c r="Y458" s="1"/>
  <c r="K458"/>
  <c r="P457"/>
  <c r="O457"/>
  <c r="N457"/>
  <c r="M457"/>
  <c r="L457"/>
  <c r="Y457" s="1"/>
  <c r="K457"/>
  <c r="P456"/>
  <c r="O456"/>
  <c r="N456"/>
  <c r="Q456" s="1"/>
  <c r="M456"/>
  <c r="L456"/>
  <c r="Y456" s="1"/>
  <c r="K456"/>
  <c r="P455"/>
  <c r="O455"/>
  <c r="N455"/>
  <c r="M455"/>
  <c r="L455"/>
  <c r="Y455" s="1"/>
  <c r="K455"/>
  <c r="P454"/>
  <c r="O454"/>
  <c r="N454"/>
  <c r="Q454" s="1"/>
  <c r="M454"/>
  <c r="L454"/>
  <c r="Y454" s="1"/>
  <c r="K454"/>
  <c r="P453"/>
  <c r="O453"/>
  <c r="N453"/>
  <c r="M453"/>
  <c r="L453"/>
  <c r="Y453" s="1"/>
  <c r="K453"/>
  <c r="P452"/>
  <c r="O452"/>
  <c r="N452"/>
  <c r="Q452" s="1"/>
  <c r="M452"/>
  <c r="L452"/>
  <c r="Y452" s="1"/>
  <c r="K452"/>
  <c r="P451"/>
  <c r="O451"/>
  <c r="N451"/>
  <c r="M451"/>
  <c r="L451"/>
  <c r="Y451" s="1"/>
  <c r="K451"/>
  <c r="P450"/>
  <c r="O450"/>
  <c r="N450"/>
  <c r="Q450" s="1"/>
  <c r="M450"/>
  <c r="L450"/>
  <c r="Y450" s="1"/>
  <c r="K450"/>
  <c r="P449"/>
  <c r="O449"/>
  <c r="N449"/>
  <c r="M449"/>
  <c r="L449"/>
  <c r="Y449" s="1"/>
  <c r="K449"/>
  <c r="P448"/>
  <c r="O448"/>
  <c r="N448"/>
  <c r="Q448" s="1"/>
  <c r="M448"/>
  <c r="L448"/>
  <c r="Y448" s="1"/>
  <c r="K448"/>
  <c r="P447"/>
  <c r="O447"/>
  <c r="N447"/>
  <c r="M447"/>
  <c r="L447"/>
  <c r="Y447" s="1"/>
  <c r="K447"/>
  <c r="P446"/>
  <c r="O446"/>
  <c r="N446"/>
  <c r="Q446" s="1"/>
  <c r="M446"/>
  <c r="L446"/>
  <c r="Y446" s="1"/>
  <c r="K446"/>
  <c r="P445"/>
  <c r="O445"/>
  <c r="N445"/>
  <c r="M445"/>
  <c r="L445"/>
  <c r="Y445" s="1"/>
  <c r="K445"/>
  <c r="P444"/>
  <c r="O444"/>
  <c r="N444"/>
  <c r="Q444" s="1"/>
  <c r="M444"/>
  <c r="L444"/>
  <c r="Y444" s="1"/>
  <c r="K444"/>
  <c r="P443"/>
  <c r="O443"/>
  <c r="N443"/>
  <c r="M443"/>
  <c r="L443"/>
  <c r="Y443" s="1"/>
  <c r="K443"/>
  <c r="P442"/>
  <c r="O442"/>
  <c r="N442"/>
  <c r="Q442" s="1"/>
  <c r="M442"/>
  <c r="L442"/>
  <c r="Y442" s="1"/>
  <c r="K442"/>
  <c r="P441"/>
  <c r="O441"/>
  <c r="N441"/>
  <c r="M441"/>
  <c r="L441"/>
  <c r="Y441" s="1"/>
  <c r="K441"/>
  <c r="P440"/>
  <c r="O440"/>
  <c r="N440"/>
  <c r="Q440" s="1"/>
  <c r="M440"/>
  <c r="L440"/>
  <c r="Y440" s="1"/>
  <c r="K440"/>
  <c r="P439"/>
  <c r="O439"/>
  <c r="N439"/>
  <c r="M439"/>
  <c r="L439"/>
  <c r="Y439" s="1"/>
  <c r="K439"/>
  <c r="P438"/>
  <c r="O438"/>
  <c r="N438"/>
  <c r="Q438" s="1"/>
  <c r="M438"/>
  <c r="L438"/>
  <c r="Y438" s="1"/>
  <c r="K438"/>
  <c r="P437"/>
  <c r="O437"/>
  <c r="N437"/>
  <c r="M437"/>
  <c r="L437"/>
  <c r="Y437" s="1"/>
  <c r="K437"/>
  <c r="P436"/>
  <c r="O436"/>
  <c r="N436"/>
  <c r="Q436" s="1"/>
  <c r="M436"/>
  <c r="L436"/>
  <c r="Y436" s="1"/>
  <c r="K436"/>
  <c r="P435"/>
  <c r="O435"/>
  <c r="N435"/>
  <c r="M435"/>
  <c r="L435"/>
  <c r="Y435" s="1"/>
  <c r="K435"/>
  <c r="P434"/>
  <c r="O434"/>
  <c r="N434"/>
  <c r="Q434" s="1"/>
  <c r="M434"/>
  <c r="L434"/>
  <c r="Y434" s="1"/>
  <c r="K434"/>
  <c r="P433"/>
  <c r="O433"/>
  <c r="N433"/>
  <c r="M433"/>
  <c r="L433"/>
  <c r="Y433" s="1"/>
  <c r="K433"/>
  <c r="P432"/>
  <c r="O432"/>
  <c r="N432"/>
  <c r="Q432" s="1"/>
  <c r="M432"/>
  <c r="L432"/>
  <c r="Y432" s="1"/>
  <c r="K432"/>
  <c r="P431"/>
  <c r="O431"/>
  <c r="N431"/>
  <c r="M431"/>
  <c r="L431"/>
  <c r="Y431" s="1"/>
  <c r="K431"/>
  <c r="P430"/>
  <c r="O430"/>
  <c r="N430"/>
  <c r="Q430" s="1"/>
  <c r="M430"/>
  <c r="L430"/>
  <c r="Y430" s="1"/>
  <c r="K430"/>
  <c r="P429"/>
  <c r="O429"/>
  <c r="N429"/>
  <c r="M429"/>
  <c r="L429"/>
  <c r="Y429" s="1"/>
  <c r="K429"/>
  <c r="P428"/>
  <c r="O428"/>
  <c r="N428"/>
  <c r="Q428" s="1"/>
  <c r="M428"/>
  <c r="L428"/>
  <c r="Y428" s="1"/>
  <c r="K428"/>
  <c r="P427"/>
  <c r="O427"/>
  <c r="N427"/>
  <c r="M427"/>
  <c r="L427"/>
  <c r="Y427" s="1"/>
  <c r="K427"/>
  <c r="P426"/>
  <c r="O426"/>
  <c r="N426"/>
  <c r="Q426" s="1"/>
  <c r="M426"/>
  <c r="L426"/>
  <c r="Y426" s="1"/>
  <c r="K426"/>
  <c r="P425"/>
  <c r="O425"/>
  <c r="N425"/>
  <c r="M425"/>
  <c r="L425"/>
  <c r="Y425" s="1"/>
  <c r="K425"/>
  <c r="P424"/>
  <c r="O424"/>
  <c r="N424"/>
  <c r="Q424" s="1"/>
  <c r="M424"/>
  <c r="L424"/>
  <c r="Y424" s="1"/>
  <c r="K424"/>
  <c r="P423"/>
  <c r="O423"/>
  <c r="N423"/>
  <c r="M423"/>
  <c r="L423"/>
  <c r="Y423" s="1"/>
  <c r="K423"/>
  <c r="P422"/>
  <c r="O422"/>
  <c r="N422"/>
  <c r="Q422" s="1"/>
  <c r="M422"/>
  <c r="L422"/>
  <c r="Y422" s="1"/>
  <c r="K422"/>
  <c r="P421"/>
  <c r="O421"/>
  <c r="N421"/>
  <c r="M421"/>
  <c r="L421"/>
  <c r="Y421" s="1"/>
  <c r="K421"/>
  <c r="P420"/>
  <c r="O420"/>
  <c r="N420"/>
  <c r="Q420" s="1"/>
  <c r="M420"/>
  <c r="L420"/>
  <c r="Y420" s="1"/>
  <c r="K420"/>
  <c r="P419"/>
  <c r="O419"/>
  <c r="N419"/>
  <c r="M419"/>
  <c r="L419"/>
  <c r="Y419" s="1"/>
  <c r="K419"/>
  <c r="P418"/>
  <c r="O418"/>
  <c r="N418"/>
  <c r="Q418" s="1"/>
  <c r="M418"/>
  <c r="L418"/>
  <c r="Y418" s="1"/>
  <c r="K418"/>
  <c r="P417"/>
  <c r="O417"/>
  <c r="N417"/>
  <c r="M417"/>
  <c r="L417"/>
  <c r="Y417" s="1"/>
  <c r="K417"/>
  <c r="P416"/>
  <c r="O416"/>
  <c r="N416"/>
  <c r="Q416" s="1"/>
  <c r="M416"/>
  <c r="L416"/>
  <c r="Y416" s="1"/>
  <c r="K416"/>
  <c r="P415"/>
  <c r="O415"/>
  <c r="N415"/>
  <c r="M415"/>
  <c r="L415"/>
  <c r="Y415" s="1"/>
  <c r="K415"/>
  <c r="P414"/>
  <c r="O414"/>
  <c r="N414"/>
  <c r="Q414" s="1"/>
  <c r="M414"/>
  <c r="L414"/>
  <c r="Y414" s="1"/>
  <c r="K414"/>
  <c r="P413"/>
  <c r="O413"/>
  <c r="N413"/>
  <c r="M413"/>
  <c r="L413"/>
  <c r="Y413" s="1"/>
  <c r="K413"/>
  <c r="P412"/>
  <c r="O412"/>
  <c r="N412"/>
  <c r="Q412" s="1"/>
  <c r="M412"/>
  <c r="L412"/>
  <c r="Y412" s="1"/>
  <c r="K412"/>
  <c r="P411"/>
  <c r="O411"/>
  <c r="N411"/>
  <c r="M411"/>
  <c r="L411"/>
  <c r="Y411" s="1"/>
  <c r="K411"/>
  <c r="P410"/>
  <c r="O410"/>
  <c r="N410"/>
  <c r="Q410" s="1"/>
  <c r="M410"/>
  <c r="L410"/>
  <c r="Y410" s="1"/>
  <c r="K410"/>
  <c r="P409"/>
  <c r="O409"/>
  <c r="N409"/>
  <c r="M409"/>
  <c r="L409"/>
  <c r="Y409" s="1"/>
  <c r="K409"/>
  <c r="P408"/>
  <c r="O408"/>
  <c r="N408"/>
  <c r="Q408" s="1"/>
  <c r="M408"/>
  <c r="L408"/>
  <c r="Y408" s="1"/>
  <c r="K408"/>
  <c r="P407"/>
  <c r="O407"/>
  <c r="N407"/>
  <c r="M407"/>
  <c r="L407"/>
  <c r="Y407" s="1"/>
  <c r="K407"/>
  <c r="P406"/>
  <c r="O406"/>
  <c r="N406"/>
  <c r="Q406" s="1"/>
  <c r="M406"/>
  <c r="L406"/>
  <c r="Y406" s="1"/>
  <c r="K406"/>
  <c r="P405"/>
  <c r="O405"/>
  <c r="N405"/>
  <c r="M405"/>
  <c r="L405"/>
  <c r="Y405" s="1"/>
  <c r="K405"/>
  <c r="P404"/>
  <c r="O404"/>
  <c r="N404"/>
  <c r="Q404" s="1"/>
  <c r="M404"/>
  <c r="L404"/>
  <c r="Y404" s="1"/>
  <c r="K404"/>
  <c r="P403"/>
  <c r="O403"/>
  <c r="N403"/>
  <c r="M403"/>
  <c r="L403"/>
  <c r="Y403" s="1"/>
  <c r="K403"/>
  <c r="P402"/>
  <c r="O402"/>
  <c r="N402"/>
  <c r="Q402" s="1"/>
  <c r="M402"/>
  <c r="L402"/>
  <c r="Y402" s="1"/>
  <c r="K402"/>
  <c r="P401"/>
  <c r="O401"/>
  <c r="N401"/>
  <c r="M401"/>
  <c r="L401"/>
  <c r="Y401" s="1"/>
  <c r="K401"/>
  <c r="P400"/>
  <c r="O400"/>
  <c r="N400"/>
  <c r="Q400" s="1"/>
  <c r="M400"/>
  <c r="L400"/>
  <c r="Y400" s="1"/>
  <c r="K400"/>
  <c r="P399"/>
  <c r="O399"/>
  <c r="N399"/>
  <c r="M399"/>
  <c r="L399"/>
  <c r="Y399" s="1"/>
  <c r="K399"/>
  <c r="P398"/>
  <c r="O398"/>
  <c r="N398"/>
  <c r="Q398" s="1"/>
  <c r="M398"/>
  <c r="L398"/>
  <c r="Y398" s="1"/>
  <c r="K398"/>
  <c r="P397"/>
  <c r="O397"/>
  <c r="N397"/>
  <c r="M397"/>
  <c r="L397"/>
  <c r="Y397" s="1"/>
  <c r="K397"/>
  <c r="P396"/>
  <c r="O396"/>
  <c r="N396"/>
  <c r="Q396" s="1"/>
  <c r="M396"/>
  <c r="L396"/>
  <c r="Y396" s="1"/>
  <c r="K396"/>
  <c r="P395"/>
  <c r="O395"/>
  <c r="N395"/>
  <c r="M395"/>
  <c r="L395"/>
  <c r="Y395" s="1"/>
  <c r="K395"/>
  <c r="P394"/>
  <c r="O394"/>
  <c r="N394"/>
  <c r="Q394" s="1"/>
  <c r="M394"/>
  <c r="L394"/>
  <c r="Y394" s="1"/>
  <c r="K394"/>
  <c r="P393"/>
  <c r="O393"/>
  <c r="N393"/>
  <c r="M393"/>
  <c r="L393"/>
  <c r="Y393" s="1"/>
  <c r="K393"/>
  <c r="P392"/>
  <c r="O392"/>
  <c r="N392"/>
  <c r="Q392" s="1"/>
  <c r="M392"/>
  <c r="L392"/>
  <c r="Y392" s="1"/>
  <c r="K392"/>
  <c r="P391"/>
  <c r="O391"/>
  <c r="N391"/>
  <c r="M391"/>
  <c r="L391"/>
  <c r="Y391" s="1"/>
  <c r="K391"/>
  <c r="P390"/>
  <c r="O390"/>
  <c r="N390"/>
  <c r="Q390" s="1"/>
  <c r="M390"/>
  <c r="L390"/>
  <c r="Y390" s="1"/>
  <c r="K390"/>
  <c r="P389"/>
  <c r="O389"/>
  <c r="N389"/>
  <c r="M389"/>
  <c r="L389"/>
  <c r="Y389" s="1"/>
  <c r="K389"/>
  <c r="P388"/>
  <c r="O388"/>
  <c r="N388"/>
  <c r="Q388" s="1"/>
  <c r="M388"/>
  <c r="L388"/>
  <c r="Y388" s="1"/>
  <c r="K388"/>
  <c r="P387"/>
  <c r="O387"/>
  <c r="N387"/>
  <c r="M387"/>
  <c r="L387"/>
  <c r="Y387" s="1"/>
  <c r="K387"/>
  <c r="P386"/>
  <c r="O386"/>
  <c r="N386"/>
  <c r="Q386" s="1"/>
  <c r="M386"/>
  <c r="L386"/>
  <c r="Y386" s="1"/>
  <c r="K386"/>
  <c r="P385"/>
  <c r="O385"/>
  <c r="N385"/>
  <c r="M385"/>
  <c r="L385"/>
  <c r="Y385" s="1"/>
  <c r="K385"/>
  <c r="P384"/>
  <c r="O384"/>
  <c r="N384"/>
  <c r="Q384" s="1"/>
  <c r="M384"/>
  <c r="L384"/>
  <c r="Y384" s="1"/>
  <c r="K384"/>
  <c r="P383"/>
  <c r="O383"/>
  <c r="N383"/>
  <c r="M383"/>
  <c r="L383"/>
  <c r="Y383" s="1"/>
  <c r="K383"/>
  <c r="P382"/>
  <c r="O382"/>
  <c r="N382"/>
  <c r="Q382" s="1"/>
  <c r="M382"/>
  <c r="L382"/>
  <c r="Y382" s="1"/>
  <c r="K382"/>
  <c r="P381"/>
  <c r="O381"/>
  <c r="N381"/>
  <c r="M381"/>
  <c r="L381"/>
  <c r="Y381" s="1"/>
  <c r="K381"/>
  <c r="P380"/>
  <c r="O380"/>
  <c r="N380"/>
  <c r="Q380" s="1"/>
  <c r="M380"/>
  <c r="L380"/>
  <c r="Y380" s="1"/>
  <c r="K380"/>
  <c r="P379"/>
  <c r="O379"/>
  <c r="N379"/>
  <c r="M379"/>
  <c r="L379"/>
  <c r="Y379" s="1"/>
  <c r="K379"/>
  <c r="P378"/>
  <c r="O378"/>
  <c r="N378"/>
  <c r="Q378" s="1"/>
  <c r="M378"/>
  <c r="L378"/>
  <c r="Y378" s="1"/>
  <c r="K378"/>
  <c r="P377"/>
  <c r="O377"/>
  <c r="N377"/>
  <c r="M377"/>
  <c r="L377"/>
  <c r="Y377" s="1"/>
  <c r="K377"/>
  <c r="P376"/>
  <c r="O376"/>
  <c r="N376"/>
  <c r="Q376" s="1"/>
  <c r="M376"/>
  <c r="L376"/>
  <c r="Y376" s="1"/>
  <c r="K376"/>
  <c r="P375"/>
  <c r="O375"/>
  <c r="N375"/>
  <c r="M375"/>
  <c r="L375"/>
  <c r="Y375" s="1"/>
  <c r="K375"/>
  <c r="P374"/>
  <c r="O374"/>
  <c r="N374"/>
  <c r="Q374" s="1"/>
  <c r="M374"/>
  <c r="L374"/>
  <c r="Y374" s="1"/>
  <c r="K374"/>
  <c r="P373"/>
  <c r="O373"/>
  <c r="N373"/>
  <c r="M373"/>
  <c r="L373"/>
  <c r="Y373" s="1"/>
  <c r="K373"/>
  <c r="P372"/>
  <c r="O372"/>
  <c r="N372"/>
  <c r="Q372" s="1"/>
  <c r="M372"/>
  <c r="L372"/>
  <c r="Y372" s="1"/>
  <c r="K372"/>
  <c r="P371"/>
  <c r="O371"/>
  <c r="N371"/>
  <c r="M371"/>
  <c r="L371"/>
  <c r="Y371" s="1"/>
  <c r="K371"/>
  <c r="P370"/>
  <c r="O370"/>
  <c r="N370"/>
  <c r="Q370" s="1"/>
  <c r="M370"/>
  <c r="L370"/>
  <c r="Y370" s="1"/>
  <c r="K370"/>
  <c r="P369"/>
  <c r="O369"/>
  <c r="N369"/>
  <c r="M369"/>
  <c r="L369"/>
  <c r="Y369" s="1"/>
  <c r="K369"/>
  <c r="P368"/>
  <c r="O368"/>
  <c r="N368"/>
  <c r="Q368" s="1"/>
  <c r="M368"/>
  <c r="L368"/>
  <c r="Y368" s="1"/>
  <c r="K368"/>
  <c r="P367"/>
  <c r="O367"/>
  <c r="N367"/>
  <c r="M367"/>
  <c r="L367"/>
  <c r="Y367" s="1"/>
  <c r="K367"/>
  <c r="P366"/>
  <c r="O366"/>
  <c r="N366"/>
  <c r="Q366" s="1"/>
  <c r="M366"/>
  <c r="L366"/>
  <c r="Y366" s="1"/>
  <c r="K366"/>
  <c r="P365"/>
  <c r="O365"/>
  <c r="N365"/>
  <c r="M365"/>
  <c r="L365"/>
  <c r="Y365" s="1"/>
  <c r="K365"/>
  <c r="P364"/>
  <c r="O364"/>
  <c r="N364"/>
  <c r="Q364" s="1"/>
  <c r="M364"/>
  <c r="L364"/>
  <c r="Y364" s="1"/>
  <c r="K364"/>
  <c r="P363"/>
  <c r="O363"/>
  <c r="N363"/>
  <c r="M363"/>
  <c r="L363"/>
  <c r="Y363" s="1"/>
  <c r="K363"/>
  <c r="P362"/>
  <c r="O362"/>
  <c r="N362"/>
  <c r="Q362" s="1"/>
  <c r="M362"/>
  <c r="L362"/>
  <c r="Y362" s="1"/>
  <c r="K362"/>
  <c r="P361"/>
  <c r="O361"/>
  <c r="N361"/>
  <c r="M361"/>
  <c r="L361"/>
  <c r="Y361" s="1"/>
  <c r="K361"/>
  <c r="P360"/>
  <c r="O360"/>
  <c r="N360"/>
  <c r="Q360" s="1"/>
  <c r="M360"/>
  <c r="L360"/>
  <c r="Y360" s="1"/>
  <c r="K360"/>
  <c r="P359"/>
  <c r="O359"/>
  <c r="N359"/>
  <c r="M359"/>
  <c r="L359"/>
  <c r="Y359" s="1"/>
  <c r="K359"/>
  <c r="P358"/>
  <c r="O358"/>
  <c r="N358"/>
  <c r="Q358" s="1"/>
  <c r="M358"/>
  <c r="L358"/>
  <c r="Y358" s="1"/>
  <c r="K358"/>
  <c r="P357"/>
  <c r="O357"/>
  <c r="N357"/>
  <c r="M357"/>
  <c r="L357"/>
  <c r="Y357" s="1"/>
  <c r="K357"/>
  <c r="P356"/>
  <c r="O356"/>
  <c r="N356"/>
  <c r="Q356" s="1"/>
  <c r="M356"/>
  <c r="L356"/>
  <c r="Y356" s="1"/>
  <c r="K356"/>
  <c r="P355"/>
  <c r="O355"/>
  <c r="N355"/>
  <c r="M355"/>
  <c r="L355"/>
  <c r="Y355" s="1"/>
  <c r="K355"/>
  <c r="P354"/>
  <c r="O354"/>
  <c r="N354"/>
  <c r="Q354" s="1"/>
  <c r="M354"/>
  <c r="L354"/>
  <c r="Y354" s="1"/>
  <c r="K354"/>
  <c r="P353"/>
  <c r="O353"/>
  <c r="N353"/>
  <c r="M353"/>
  <c r="L353"/>
  <c r="Y353" s="1"/>
  <c r="K353"/>
  <c r="P352"/>
  <c r="O352"/>
  <c r="N352"/>
  <c r="Q352" s="1"/>
  <c r="M352"/>
  <c r="L352"/>
  <c r="Y352" s="1"/>
  <c r="K352"/>
  <c r="P351"/>
  <c r="O351"/>
  <c r="N351"/>
  <c r="M351"/>
  <c r="L351"/>
  <c r="Y351" s="1"/>
  <c r="K351"/>
  <c r="P350"/>
  <c r="O350"/>
  <c r="N350"/>
  <c r="Q350" s="1"/>
  <c r="M350"/>
  <c r="L350"/>
  <c r="Y350" s="1"/>
  <c r="K350"/>
  <c r="P349"/>
  <c r="O349"/>
  <c r="N349"/>
  <c r="M349"/>
  <c r="L349"/>
  <c r="Y349" s="1"/>
  <c r="K349"/>
  <c r="P348"/>
  <c r="O348"/>
  <c r="N348"/>
  <c r="Q348" s="1"/>
  <c r="M348"/>
  <c r="L348"/>
  <c r="Y348" s="1"/>
  <c r="K348"/>
  <c r="P347"/>
  <c r="O347"/>
  <c r="N347"/>
  <c r="M347"/>
  <c r="L347"/>
  <c r="Y347" s="1"/>
  <c r="K347"/>
  <c r="P346"/>
  <c r="O346"/>
  <c r="N346"/>
  <c r="Q346" s="1"/>
  <c r="M346"/>
  <c r="L346"/>
  <c r="Y346" s="1"/>
  <c r="K346"/>
  <c r="P345"/>
  <c r="O345"/>
  <c r="N345"/>
  <c r="M345"/>
  <c r="L345"/>
  <c r="Y345" s="1"/>
  <c r="K345"/>
  <c r="P344"/>
  <c r="O344"/>
  <c r="N344"/>
  <c r="Q344" s="1"/>
  <c r="M344"/>
  <c r="L344"/>
  <c r="Y344" s="1"/>
  <c r="K344"/>
  <c r="P343"/>
  <c r="O343"/>
  <c r="N343"/>
  <c r="M343"/>
  <c r="L343"/>
  <c r="Y343" s="1"/>
  <c r="K343"/>
  <c r="P342"/>
  <c r="O342"/>
  <c r="N342"/>
  <c r="Q342" s="1"/>
  <c r="M342"/>
  <c r="L342"/>
  <c r="Y342" s="1"/>
  <c r="K342"/>
  <c r="P341"/>
  <c r="O341"/>
  <c r="N341"/>
  <c r="M341"/>
  <c r="L341"/>
  <c r="Y341" s="1"/>
  <c r="K341"/>
  <c r="P340"/>
  <c r="O340"/>
  <c r="N340"/>
  <c r="Q340" s="1"/>
  <c r="M340"/>
  <c r="L340"/>
  <c r="Y340" s="1"/>
  <c r="K340"/>
  <c r="P339"/>
  <c r="O339"/>
  <c r="N339"/>
  <c r="M339"/>
  <c r="L339"/>
  <c r="Y339" s="1"/>
  <c r="K339"/>
  <c r="P338"/>
  <c r="O338"/>
  <c r="N338"/>
  <c r="Q338" s="1"/>
  <c r="M338"/>
  <c r="L338"/>
  <c r="Y338" s="1"/>
  <c r="K338"/>
  <c r="P337"/>
  <c r="O337"/>
  <c r="N337"/>
  <c r="M337"/>
  <c r="L337"/>
  <c r="Y337" s="1"/>
  <c r="K337"/>
  <c r="P336"/>
  <c r="O336"/>
  <c r="N336"/>
  <c r="Q336" s="1"/>
  <c r="M336"/>
  <c r="L336"/>
  <c r="Y336" s="1"/>
  <c r="K336"/>
  <c r="P335"/>
  <c r="O335"/>
  <c r="N335"/>
  <c r="M335"/>
  <c r="L335"/>
  <c r="Y335" s="1"/>
  <c r="K335"/>
  <c r="P334"/>
  <c r="O334"/>
  <c r="N334"/>
  <c r="Q334" s="1"/>
  <c r="M334"/>
  <c r="L334"/>
  <c r="Y334" s="1"/>
  <c r="K334"/>
  <c r="P333"/>
  <c r="O333"/>
  <c r="N333"/>
  <c r="M333"/>
  <c r="L333"/>
  <c r="Y333" s="1"/>
  <c r="K333"/>
  <c r="P332"/>
  <c r="O332"/>
  <c r="N332"/>
  <c r="Q332" s="1"/>
  <c r="M332"/>
  <c r="L332"/>
  <c r="Y332" s="1"/>
  <c r="K332"/>
  <c r="P331"/>
  <c r="O331"/>
  <c r="N331"/>
  <c r="M331"/>
  <c r="L331"/>
  <c r="Y331" s="1"/>
  <c r="K331"/>
  <c r="P330"/>
  <c r="O330"/>
  <c r="N330"/>
  <c r="Q330" s="1"/>
  <c r="M330"/>
  <c r="L330"/>
  <c r="Y330" s="1"/>
  <c r="K330"/>
  <c r="P329"/>
  <c r="O329"/>
  <c r="N329"/>
  <c r="M329"/>
  <c r="L329"/>
  <c r="Y329" s="1"/>
  <c r="K329"/>
  <c r="P328"/>
  <c r="O328"/>
  <c r="N328"/>
  <c r="Q328" s="1"/>
  <c r="M328"/>
  <c r="L328"/>
  <c r="Y328" s="1"/>
  <c r="K328"/>
  <c r="P327"/>
  <c r="O327"/>
  <c r="N327"/>
  <c r="M327"/>
  <c r="L327"/>
  <c r="Y327" s="1"/>
  <c r="K327"/>
  <c r="P326"/>
  <c r="O326"/>
  <c r="N326"/>
  <c r="Q326" s="1"/>
  <c r="M326"/>
  <c r="L326"/>
  <c r="Y326" s="1"/>
  <c r="K326"/>
  <c r="P325"/>
  <c r="O325"/>
  <c r="N325"/>
  <c r="M325"/>
  <c r="L325"/>
  <c r="Y325" s="1"/>
  <c r="K325"/>
  <c r="P324"/>
  <c r="O324"/>
  <c r="N324"/>
  <c r="Q324" s="1"/>
  <c r="M324"/>
  <c r="L324"/>
  <c r="Y324" s="1"/>
  <c r="K324"/>
  <c r="P323"/>
  <c r="O323"/>
  <c r="N323"/>
  <c r="M323"/>
  <c r="L323"/>
  <c r="Y323" s="1"/>
  <c r="K323"/>
  <c r="P322"/>
  <c r="O322"/>
  <c r="N322"/>
  <c r="Q322" s="1"/>
  <c r="M322"/>
  <c r="L322"/>
  <c r="Y322" s="1"/>
  <c r="K322"/>
  <c r="P321"/>
  <c r="O321"/>
  <c r="N321"/>
  <c r="M321"/>
  <c r="L321"/>
  <c r="Y321" s="1"/>
  <c r="K321"/>
  <c r="P320"/>
  <c r="O320"/>
  <c r="N320"/>
  <c r="Q320" s="1"/>
  <c r="M320"/>
  <c r="L320"/>
  <c r="Y320" s="1"/>
  <c r="K320"/>
  <c r="P319"/>
  <c r="O319"/>
  <c r="N319"/>
  <c r="M319"/>
  <c r="L319"/>
  <c r="Y319" s="1"/>
  <c r="K319"/>
  <c r="P318"/>
  <c r="O318"/>
  <c r="N318"/>
  <c r="Q318" s="1"/>
  <c r="M318"/>
  <c r="L318"/>
  <c r="Y318" s="1"/>
  <c r="K318"/>
  <c r="P317"/>
  <c r="O317"/>
  <c r="N317"/>
  <c r="M317"/>
  <c r="L317"/>
  <c r="Y317" s="1"/>
  <c r="K317"/>
  <c r="P316"/>
  <c r="O316"/>
  <c r="N316"/>
  <c r="Q316" s="1"/>
  <c r="M316"/>
  <c r="L316"/>
  <c r="Y316" s="1"/>
  <c r="K316"/>
  <c r="P315"/>
  <c r="O315"/>
  <c r="N315"/>
  <c r="M315"/>
  <c r="L315"/>
  <c r="Y315" s="1"/>
  <c r="K315"/>
  <c r="P314"/>
  <c r="O314"/>
  <c r="N314"/>
  <c r="Q314" s="1"/>
  <c r="M314"/>
  <c r="L314"/>
  <c r="Y314" s="1"/>
  <c r="K314"/>
  <c r="P313"/>
  <c r="O313"/>
  <c r="N313"/>
  <c r="M313"/>
  <c r="L313"/>
  <c r="Y313" s="1"/>
  <c r="K313"/>
  <c r="P312"/>
  <c r="O312"/>
  <c r="N312"/>
  <c r="Q312" s="1"/>
  <c r="M312"/>
  <c r="L312"/>
  <c r="Y312" s="1"/>
  <c r="K312"/>
  <c r="P311"/>
  <c r="O311"/>
  <c r="N311"/>
  <c r="M311"/>
  <c r="L311"/>
  <c r="Y311" s="1"/>
  <c r="K311"/>
  <c r="P310"/>
  <c r="O310"/>
  <c r="N310"/>
  <c r="Q310" s="1"/>
  <c r="M310"/>
  <c r="L310"/>
  <c r="Y310" s="1"/>
  <c r="K310"/>
  <c r="P309"/>
  <c r="O309"/>
  <c r="N309"/>
  <c r="M309"/>
  <c r="L309"/>
  <c r="Y309" s="1"/>
  <c r="K309"/>
  <c r="P308"/>
  <c r="O308"/>
  <c r="N308"/>
  <c r="Q308" s="1"/>
  <c r="M308"/>
  <c r="L308"/>
  <c r="Y308" s="1"/>
  <c r="K308"/>
  <c r="P307"/>
  <c r="O307"/>
  <c r="N307"/>
  <c r="M307"/>
  <c r="L307"/>
  <c r="Y307" s="1"/>
  <c r="K307"/>
  <c r="P306"/>
  <c r="O306"/>
  <c r="N306"/>
  <c r="Q306" s="1"/>
  <c r="M306"/>
  <c r="L306"/>
  <c r="Y306" s="1"/>
  <c r="K306"/>
  <c r="P305"/>
  <c r="O305"/>
  <c r="N305"/>
  <c r="M305"/>
  <c r="L305"/>
  <c r="Y305" s="1"/>
  <c r="K305"/>
  <c r="P304"/>
  <c r="O304"/>
  <c r="N304"/>
  <c r="Q304" s="1"/>
  <c r="M304"/>
  <c r="L304"/>
  <c r="Y304" s="1"/>
  <c r="K304"/>
  <c r="P303"/>
  <c r="O303"/>
  <c r="N303"/>
  <c r="M303"/>
  <c r="L303"/>
  <c r="Y303" s="1"/>
  <c r="K303"/>
  <c r="P302"/>
  <c r="O302"/>
  <c r="N302"/>
  <c r="Q302" s="1"/>
  <c r="M302"/>
  <c r="L302"/>
  <c r="Y302" s="1"/>
  <c r="K302"/>
  <c r="P301"/>
  <c r="O301"/>
  <c r="N301"/>
  <c r="M301"/>
  <c r="L301"/>
  <c r="Y301" s="1"/>
  <c r="K301"/>
  <c r="P300"/>
  <c r="O300"/>
  <c r="N300"/>
  <c r="Q300" s="1"/>
  <c r="M300"/>
  <c r="L300"/>
  <c r="Y300" s="1"/>
  <c r="K300"/>
  <c r="P299"/>
  <c r="O299"/>
  <c r="N299"/>
  <c r="M299"/>
  <c r="L299"/>
  <c r="Y299" s="1"/>
  <c r="K299"/>
  <c r="P298"/>
  <c r="O298"/>
  <c r="N298"/>
  <c r="Q298" s="1"/>
  <c r="M298"/>
  <c r="L298"/>
  <c r="Y298" s="1"/>
  <c r="K298"/>
  <c r="P297"/>
  <c r="O297"/>
  <c r="N297"/>
  <c r="M297"/>
  <c r="L297"/>
  <c r="Y297" s="1"/>
  <c r="K297"/>
  <c r="P296"/>
  <c r="O296"/>
  <c r="N296"/>
  <c r="Q296" s="1"/>
  <c r="M296"/>
  <c r="L296"/>
  <c r="Y296" s="1"/>
  <c r="K296"/>
  <c r="P295"/>
  <c r="O295"/>
  <c r="N295"/>
  <c r="M295"/>
  <c r="L295"/>
  <c r="Y295" s="1"/>
  <c r="K295"/>
  <c r="P294"/>
  <c r="O294"/>
  <c r="N294"/>
  <c r="Q294" s="1"/>
  <c r="M294"/>
  <c r="L294"/>
  <c r="Y294" s="1"/>
  <c r="K294"/>
  <c r="P293"/>
  <c r="O293"/>
  <c r="N293"/>
  <c r="M293"/>
  <c r="L293"/>
  <c r="Y293" s="1"/>
  <c r="K293"/>
  <c r="P292"/>
  <c r="O292"/>
  <c r="N292"/>
  <c r="Q292" s="1"/>
  <c r="M292"/>
  <c r="L292"/>
  <c r="Y292" s="1"/>
  <c r="K292"/>
  <c r="P291"/>
  <c r="O291"/>
  <c r="N291"/>
  <c r="M291"/>
  <c r="L291"/>
  <c r="Y291" s="1"/>
  <c r="K291"/>
  <c r="P290"/>
  <c r="O290"/>
  <c r="N290"/>
  <c r="Q290" s="1"/>
  <c r="M290"/>
  <c r="L290"/>
  <c r="Y290" s="1"/>
  <c r="K290"/>
  <c r="P289"/>
  <c r="O289"/>
  <c r="N289"/>
  <c r="M289"/>
  <c r="L289"/>
  <c r="Y289" s="1"/>
  <c r="K289"/>
  <c r="P288"/>
  <c r="O288"/>
  <c r="N288"/>
  <c r="Q288" s="1"/>
  <c r="M288"/>
  <c r="L288"/>
  <c r="Y288" s="1"/>
  <c r="K288"/>
  <c r="P287"/>
  <c r="O287"/>
  <c r="N287"/>
  <c r="M287"/>
  <c r="L287"/>
  <c r="Y287" s="1"/>
  <c r="K287"/>
  <c r="P286"/>
  <c r="O286"/>
  <c r="N286"/>
  <c r="Q286" s="1"/>
  <c r="M286"/>
  <c r="L286"/>
  <c r="Y286" s="1"/>
  <c r="K286"/>
  <c r="P285"/>
  <c r="O285"/>
  <c r="N285"/>
  <c r="M285"/>
  <c r="L285"/>
  <c r="Y285" s="1"/>
  <c r="K285"/>
  <c r="P284"/>
  <c r="O284"/>
  <c r="N284"/>
  <c r="Q284" s="1"/>
  <c r="M284"/>
  <c r="L284"/>
  <c r="Y284" s="1"/>
  <c r="K284"/>
  <c r="P283"/>
  <c r="O283"/>
  <c r="N283"/>
  <c r="M283"/>
  <c r="L283"/>
  <c r="Y283" s="1"/>
  <c r="K283"/>
  <c r="P282"/>
  <c r="O282"/>
  <c r="N282"/>
  <c r="Q282" s="1"/>
  <c r="M282"/>
  <c r="L282"/>
  <c r="Y282" s="1"/>
  <c r="K282"/>
  <c r="P281"/>
  <c r="O281"/>
  <c r="N281"/>
  <c r="M281"/>
  <c r="L281"/>
  <c r="Y281" s="1"/>
  <c r="K281"/>
  <c r="P280"/>
  <c r="O280"/>
  <c r="N280"/>
  <c r="Q280" s="1"/>
  <c r="M280"/>
  <c r="L280"/>
  <c r="Y280" s="1"/>
  <c r="K280"/>
  <c r="P279"/>
  <c r="O279"/>
  <c r="N279"/>
  <c r="M279"/>
  <c r="L279"/>
  <c r="Y279" s="1"/>
  <c r="K279"/>
  <c r="P278"/>
  <c r="O278"/>
  <c r="N278"/>
  <c r="Q278" s="1"/>
  <c r="M278"/>
  <c r="L278"/>
  <c r="Y278" s="1"/>
  <c r="K278"/>
  <c r="P277"/>
  <c r="O277"/>
  <c r="N277"/>
  <c r="M277"/>
  <c r="L277"/>
  <c r="Y277" s="1"/>
  <c r="K277"/>
  <c r="P276"/>
  <c r="O276"/>
  <c r="N276"/>
  <c r="Q276" s="1"/>
  <c r="M276"/>
  <c r="L276"/>
  <c r="Y276" s="1"/>
  <c r="K276"/>
  <c r="P275"/>
  <c r="O275"/>
  <c r="N275"/>
  <c r="M275"/>
  <c r="L275"/>
  <c r="Y275" s="1"/>
  <c r="K275"/>
  <c r="P274"/>
  <c r="O274"/>
  <c r="N274"/>
  <c r="Q274" s="1"/>
  <c r="M274"/>
  <c r="L274"/>
  <c r="Y274" s="1"/>
  <c r="K274"/>
  <c r="P273"/>
  <c r="O273"/>
  <c r="N273"/>
  <c r="M273"/>
  <c r="L273"/>
  <c r="Y273" s="1"/>
  <c r="K273"/>
  <c r="P272"/>
  <c r="O272"/>
  <c r="N272"/>
  <c r="Q272" s="1"/>
  <c r="M272"/>
  <c r="L272"/>
  <c r="Y272" s="1"/>
  <c r="K272"/>
  <c r="P271"/>
  <c r="O271"/>
  <c r="N271"/>
  <c r="M271"/>
  <c r="L271"/>
  <c r="Y271" s="1"/>
  <c r="K271"/>
  <c r="P270"/>
  <c r="O270"/>
  <c r="N270"/>
  <c r="Q270" s="1"/>
  <c r="M270"/>
  <c r="L270"/>
  <c r="Y270" s="1"/>
  <c r="K270"/>
  <c r="P269"/>
  <c r="O269"/>
  <c r="N269"/>
  <c r="M269"/>
  <c r="L269"/>
  <c r="Y269" s="1"/>
  <c r="K269"/>
  <c r="P268"/>
  <c r="O268"/>
  <c r="N268"/>
  <c r="Q268" s="1"/>
  <c r="M268"/>
  <c r="L268"/>
  <c r="Y268" s="1"/>
  <c r="K268"/>
  <c r="P267"/>
  <c r="O267"/>
  <c r="N267"/>
  <c r="M267"/>
  <c r="L267"/>
  <c r="Y267" s="1"/>
  <c r="K267"/>
  <c r="P266"/>
  <c r="O266"/>
  <c r="N266"/>
  <c r="Q266" s="1"/>
  <c r="M266"/>
  <c r="L266"/>
  <c r="Y266" s="1"/>
  <c r="K266"/>
  <c r="P265"/>
  <c r="O265"/>
  <c r="N265"/>
  <c r="M265"/>
  <c r="L265"/>
  <c r="Y265" s="1"/>
  <c r="K265"/>
  <c r="P264"/>
  <c r="O264"/>
  <c r="N264"/>
  <c r="Q264" s="1"/>
  <c r="M264"/>
  <c r="L264"/>
  <c r="Y264" s="1"/>
  <c r="K264"/>
  <c r="P263"/>
  <c r="O263"/>
  <c r="N263"/>
  <c r="M263"/>
  <c r="L263"/>
  <c r="Y263" s="1"/>
  <c r="K263"/>
  <c r="P262"/>
  <c r="O262"/>
  <c r="N262"/>
  <c r="Q262" s="1"/>
  <c r="M262"/>
  <c r="L262"/>
  <c r="Y262" s="1"/>
  <c r="K262"/>
  <c r="P261"/>
  <c r="O261"/>
  <c r="N261"/>
  <c r="M261"/>
  <c r="L261"/>
  <c r="Y261" s="1"/>
  <c r="K261"/>
  <c r="P260"/>
  <c r="O260"/>
  <c r="N260"/>
  <c r="Q260" s="1"/>
  <c r="M260"/>
  <c r="L260"/>
  <c r="Y260" s="1"/>
  <c r="K260"/>
  <c r="P259"/>
  <c r="O259"/>
  <c r="N259"/>
  <c r="M259"/>
  <c r="L259"/>
  <c r="Y259" s="1"/>
  <c r="K259"/>
  <c r="P258"/>
  <c r="O258"/>
  <c r="N258"/>
  <c r="Q258" s="1"/>
  <c r="M258"/>
  <c r="L258"/>
  <c r="Y258" s="1"/>
  <c r="K258"/>
  <c r="P257"/>
  <c r="O257"/>
  <c r="N257"/>
  <c r="M257"/>
  <c r="L257"/>
  <c r="Y257" s="1"/>
  <c r="K257"/>
  <c r="P256"/>
  <c r="O256"/>
  <c r="N256"/>
  <c r="Q256" s="1"/>
  <c r="M256"/>
  <c r="L256"/>
  <c r="Y256" s="1"/>
  <c r="K256"/>
  <c r="P255"/>
  <c r="O255"/>
  <c r="N255"/>
  <c r="M255"/>
  <c r="L255"/>
  <c r="Y255" s="1"/>
  <c r="K255"/>
  <c r="P254"/>
  <c r="O254"/>
  <c r="N254"/>
  <c r="Q254" s="1"/>
  <c r="M254"/>
  <c r="L254"/>
  <c r="Y254" s="1"/>
  <c r="K254"/>
  <c r="P253"/>
  <c r="O253"/>
  <c r="N253"/>
  <c r="M253"/>
  <c r="L253"/>
  <c r="Y253" s="1"/>
  <c r="K253"/>
  <c r="P252"/>
  <c r="O252"/>
  <c r="N252"/>
  <c r="Q252" s="1"/>
  <c r="M252"/>
  <c r="L252"/>
  <c r="Y252" s="1"/>
  <c r="K252"/>
  <c r="P251"/>
  <c r="O251"/>
  <c r="N251"/>
  <c r="M251"/>
  <c r="L251"/>
  <c r="Y251" s="1"/>
  <c r="K251"/>
  <c r="P250"/>
  <c r="O250"/>
  <c r="N250"/>
  <c r="Q250" s="1"/>
  <c r="M250"/>
  <c r="L250"/>
  <c r="Y250" s="1"/>
  <c r="K250"/>
  <c r="P249"/>
  <c r="O249"/>
  <c r="N249"/>
  <c r="M249"/>
  <c r="L249"/>
  <c r="Y249" s="1"/>
  <c r="K249"/>
  <c r="P248"/>
  <c r="O248"/>
  <c r="N248"/>
  <c r="Q248" s="1"/>
  <c r="M248"/>
  <c r="L248"/>
  <c r="Y248" s="1"/>
  <c r="K248"/>
  <c r="P247"/>
  <c r="O247"/>
  <c r="N247"/>
  <c r="M247"/>
  <c r="L247"/>
  <c r="Y247" s="1"/>
  <c r="K247"/>
  <c r="P246"/>
  <c r="O246"/>
  <c r="N246"/>
  <c r="Q246" s="1"/>
  <c r="M246"/>
  <c r="L246"/>
  <c r="Y246" s="1"/>
  <c r="K246"/>
  <c r="P245"/>
  <c r="O245"/>
  <c r="N245"/>
  <c r="M245"/>
  <c r="L245"/>
  <c r="Y245" s="1"/>
  <c r="K245"/>
  <c r="P244"/>
  <c r="O244"/>
  <c r="N244"/>
  <c r="Q244" s="1"/>
  <c r="M244"/>
  <c r="L244"/>
  <c r="Y244" s="1"/>
  <c r="K244"/>
  <c r="P243"/>
  <c r="O243"/>
  <c r="N243"/>
  <c r="M243"/>
  <c r="L243"/>
  <c r="Y243" s="1"/>
  <c r="K243"/>
  <c r="P242"/>
  <c r="O242"/>
  <c r="N242"/>
  <c r="Q242" s="1"/>
  <c r="M242"/>
  <c r="L242"/>
  <c r="Y242" s="1"/>
  <c r="K242"/>
  <c r="P241"/>
  <c r="O241"/>
  <c r="N241"/>
  <c r="M241"/>
  <c r="L241"/>
  <c r="Y241" s="1"/>
  <c r="K241"/>
  <c r="P240"/>
  <c r="O240"/>
  <c r="N240"/>
  <c r="Q240" s="1"/>
  <c r="M240"/>
  <c r="L240"/>
  <c r="Y240" s="1"/>
  <c r="K240"/>
  <c r="P239"/>
  <c r="O239"/>
  <c r="N239"/>
  <c r="M239"/>
  <c r="L239"/>
  <c r="Y239" s="1"/>
  <c r="K239"/>
  <c r="P238"/>
  <c r="O238"/>
  <c r="N238"/>
  <c r="Q238" s="1"/>
  <c r="M238"/>
  <c r="L238"/>
  <c r="Y238" s="1"/>
  <c r="K238"/>
  <c r="P237"/>
  <c r="O237"/>
  <c r="N237"/>
  <c r="M237"/>
  <c r="L237"/>
  <c r="Y237" s="1"/>
  <c r="K237"/>
  <c r="P236"/>
  <c r="O236"/>
  <c r="N236"/>
  <c r="Q236" s="1"/>
  <c r="M236"/>
  <c r="L236"/>
  <c r="Y236" s="1"/>
  <c r="K236"/>
  <c r="P235"/>
  <c r="O235"/>
  <c r="N235"/>
  <c r="M235"/>
  <c r="L235"/>
  <c r="Y235" s="1"/>
  <c r="K235"/>
  <c r="P234"/>
  <c r="O234"/>
  <c r="N234"/>
  <c r="Q234" s="1"/>
  <c r="M234"/>
  <c r="L234"/>
  <c r="Y234" s="1"/>
  <c r="K234"/>
  <c r="P233"/>
  <c r="O233"/>
  <c r="N233"/>
  <c r="M233"/>
  <c r="L233"/>
  <c r="Y233" s="1"/>
  <c r="K233"/>
  <c r="P232"/>
  <c r="O232"/>
  <c r="N232"/>
  <c r="Q232" s="1"/>
  <c r="M232"/>
  <c r="L232"/>
  <c r="Y232" s="1"/>
  <c r="K232"/>
  <c r="P231"/>
  <c r="O231"/>
  <c r="N231"/>
  <c r="M231"/>
  <c r="L231"/>
  <c r="Y231" s="1"/>
  <c r="K231"/>
  <c r="P230"/>
  <c r="O230"/>
  <c r="N230"/>
  <c r="Q230" s="1"/>
  <c r="M230"/>
  <c r="L230"/>
  <c r="Y230" s="1"/>
  <c r="K230"/>
  <c r="P229"/>
  <c r="O229"/>
  <c r="N229"/>
  <c r="M229"/>
  <c r="L229"/>
  <c r="Y229" s="1"/>
  <c r="K229"/>
  <c r="P228"/>
  <c r="O228"/>
  <c r="N228"/>
  <c r="Q228" s="1"/>
  <c r="M228"/>
  <c r="L228"/>
  <c r="Y228" s="1"/>
  <c r="K228"/>
  <c r="P227"/>
  <c r="O227"/>
  <c r="N227"/>
  <c r="M227"/>
  <c r="L227"/>
  <c r="Y227" s="1"/>
  <c r="K227"/>
  <c r="P226"/>
  <c r="O226"/>
  <c r="N226"/>
  <c r="Q226" s="1"/>
  <c r="M226"/>
  <c r="L226"/>
  <c r="Y226" s="1"/>
  <c r="K226"/>
  <c r="P225"/>
  <c r="O225"/>
  <c r="N225"/>
  <c r="M225"/>
  <c r="L225"/>
  <c r="Y225" s="1"/>
  <c r="K225"/>
  <c r="P224"/>
  <c r="O224"/>
  <c r="N224"/>
  <c r="Q224" s="1"/>
  <c r="M224"/>
  <c r="L224"/>
  <c r="Y224" s="1"/>
  <c r="K224"/>
  <c r="P223"/>
  <c r="O223"/>
  <c r="N223"/>
  <c r="M223"/>
  <c r="L223"/>
  <c r="Y223" s="1"/>
  <c r="K223"/>
  <c r="P222"/>
  <c r="O222"/>
  <c r="N222"/>
  <c r="Q222" s="1"/>
  <c r="M222"/>
  <c r="L222"/>
  <c r="Y222" s="1"/>
  <c r="K222"/>
  <c r="P221"/>
  <c r="O221"/>
  <c r="N221"/>
  <c r="M221"/>
  <c r="L221"/>
  <c r="Y221" s="1"/>
  <c r="K221"/>
  <c r="P220"/>
  <c r="O220"/>
  <c r="N220"/>
  <c r="Q220" s="1"/>
  <c r="M220"/>
  <c r="L220"/>
  <c r="Y220" s="1"/>
  <c r="K220"/>
  <c r="P219"/>
  <c r="O219"/>
  <c r="N219"/>
  <c r="M219"/>
  <c r="L219"/>
  <c r="Y219" s="1"/>
  <c r="K219"/>
  <c r="P218"/>
  <c r="O218"/>
  <c r="N218"/>
  <c r="Q218" s="1"/>
  <c r="M218"/>
  <c r="L218"/>
  <c r="Y218" s="1"/>
  <c r="K218"/>
  <c r="P217"/>
  <c r="O217"/>
  <c r="N217"/>
  <c r="M217"/>
  <c r="L217"/>
  <c r="Y217" s="1"/>
  <c r="K217"/>
  <c r="P216"/>
  <c r="O216"/>
  <c r="N216"/>
  <c r="Q216" s="1"/>
  <c r="M216"/>
  <c r="L216"/>
  <c r="Y216" s="1"/>
  <c r="K216"/>
  <c r="P215"/>
  <c r="O215"/>
  <c r="N215"/>
  <c r="M215"/>
  <c r="L215"/>
  <c r="Y215" s="1"/>
  <c r="K215"/>
  <c r="P214"/>
  <c r="O214"/>
  <c r="N214"/>
  <c r="Q214" s="1"/>
  <c r="M214"/>
  <c r="L214"/>
  <c r="Y214" s="1"/>
  <c r="K214"/>
  <c r="P213"/>
  <c r="O213"/>
  <c r="N213"/>
  <c r="M213"/>
  <c r="L213"/>
  <c r="Y213" s="1"/>
  <c r="K213"/>
  <c r="P212"/>
  <c r="O212"/>
  <c r="N212"/>
  <c r="M212"/>
  <c r="L212"/>
  <c r="Y212" s="1"/>
  <c r="K212"/>
  <c r="P211"/>
  <c r="O211"/>
  <c r="N211"/>
  <c r="M211"/>
  <c r="L211"/>
  <c r="Y211" s="1"/>
  <c r="K211"/>
  <c r="P210"/>
  <c r="O210"/>
  <c r="N210"/>
  <c r="Q210" s="1"/>
  <c r="M210"/>
  <c r="L210"/>
  <c r="Y210" s="1"/>
  <c r="K210"/>
  <c r="P209"/>
  <c r="O209"/>
  <c r="N209"/>
  <c r="M209"/>
  <c r="L209"/>
  <c r="Y209" s="1"/>
  <c r="K209"/>
  <c r="P208"/>
  <c r="O208"/>
  <c r="N208"/>
  <c r="M208"/>
  <c r="L208"/>
  <c r="Y208" s="1"/>
  <c r="K208"/>
  <c r="P207"/>
  <c r="O207"/>
  <c r="N207"/>
  <c r="M207"/>
  <c r="L207"/>
  <c r="Y207" s="1"/>
  <c r="K207"/>
  <c r="P206"/>
  <c r="O206"/>
  <c r="N206"/>
  <c r="Q206" s="1"/>
  <c r="M206"/>
  <c r="L206"/>
  <c r="Y206" s="1"/>
  <c r="K206"/>
  <c r="P205"/>
  <c r="O205"/>
  <c r="N205"/>
  <c r="M205"/>
  <c r="L205"/>
  <c r="Y205" s="1"/>
  <c r="K205"/>
  <c r="P204"/>
  <c r="O204"/>
  <c r="N204"/>
  <c r="M204"/>
  <c r="L204"/>
  <c r="Y204" s="1"/>
  <c r="K204"/>
  <c r="P203"/>
  <c r="O203"/>
  <c r="N203"/>
  <c r="M203"/>
  <c r="L203"/>
  <c r="Y203" s="1"/>
  <c r="K203"/>
  <c r="P202"/>
  <c r="O202"/>
  <c r="N202"/>
  <c r="Q202" s="1"/>
  <c r="M202"/>
  <c r="L202"/>
  <c r="Y202" s="1"/>
  <c r="K202"/>
  <c r="P201"/>
  <c r="O201"/>
  <c r="N201"/>
  <c r="M201"/>
  <c r="L201"/>
  <c r="Y201" s="1"/>
  <c r="K201"/>
  <c r="P200"/>
  <c r="O200"/>
  <c r="N200"/>
  <c r="M200"/>
  <c r="L200"/>
  <c r="Y200" s="1"/>
  <c r="K200"/>
  <c r="P199"/>
  <c r="O199"/>
  <c r="N199"/>
  <c r="M199"/>
  <c r="L199"/>
  <c r="Y199" s="1"/>
  <c r="K199"/>
  <c r="P198"/>
  <c r="O198"/>
  <c r="N198"/>
  <c r="Q198" s="1"/>
  <c r="M198"/>
  <c r="L198"/>
  <c r="Y198" s="1"/>
  <c r="K198"/>
  <c r="P197"/>
  <c r="O197"/>
  <c r="N197"/>
  <c r="M197"/>
  <c r="L197"/>
  <c r="Y197" s="1"/>
  <c r="K197"/>
  <c r="P196"/>
  <c r="O196"/>
  <c r="N196"/>
  <c r="M196"/>
  <c r="L196"/>
  <c r="Y196" s="1"/>
  <c r="K196"/>
  <c r="P195"/>
  <c r="O195"/>
  <c r="N195"/>
  <c r="M195"/>
  <c r="L195"/>
  <c r="Y195" s="1"/>
  <c r="K195"/>
  <c r="P194"/>
  <c r="O194"/>
  <c r="N194"/>
  <c r="Q194" s="1"/>
  <c r="M194"/>
  <c r="L194"/>
  <c r="Y194" s="1"/>
  <c r="K194"/>
  <c r="P193"/>
  <c r="O193"/>
  <c r="N193"/>
  <c r="M193"/>
  <c r="L193"/>
  <c r="Y193" s="1"/>
  <c r="K193"/>
  <c r="P192"/>
  <c r="O192"/>
  <c r="N192"/>
  <c r="M192"/>
  <c r="L192"/>
  <c r="Y192" s="1"/>
  <c r="K192"/>
  <c r="P191"/>
  <c r="O191"/>
  <c r="N191"/>
  <c r="M191"/>
  <c r="L191"/>
  <c r="Y191" s="1"/>
  <c r="K191"/>
  <c r="P190"/>
  <c r="O190"/>
  <c r="N190"/>
  <c r="Q190" s="1"/>
  <c r="M190"/>
  <c r="L190"/>
  <c r="Y190" s="1"/>
  <c r="K190"/>
  <c r="P189"/>
  <c r="O189"/>
  <c r="N189"/>
  <c r="M189"/>
  <c r="L189"/>
  <c r="Y189" s="1"/>
  <c r="K189"/>
  <c r="P188"/>
  <c r="O188"/>
  <c r="N188"/>
  <c r="M188"/>
  <c r="L188"/>
  <c r="Y188" s="1"/>
  <c r="K188"/>
  <c r="P187"/>
  <c r="O187"/>
  <c r="N187"/>
  <c r="M187"/>
  <c r="L187"/>
  <c r="Y187" s="1"/>
  <c r="K187"/>
  <c r="P186"/>
  <c r="O186"/>
  <c r="N186"/>
  <c r="Q186" s="1"/>
  <c r="M186"/>
  <c r="L186"/>
  <c r="Y186" s="1"/>
  <c r="K186"/>
  <c r="P185"/>
  <c r="O185"/>
  <c r="N185"/>
  <c r="M185"/>
  <c r="L185"/>
  <c r="Y185" s="1"/>
  <c r="K185"/>
  <c r="P184"/>
  <c r="O184"/>
  <c r="N184"/>
  <c r="M184"/>
  <c r="L184"/>
  <c r="Y184" s="1"/>
  <c r="K184"/>
  <c r="P183"/>
  <c r="O183"/>
  <c r="N183"/>
  <c r="M183"/>
  <c r="L183"/>
  <c r="Y183" s="1"/>
  <c r="K183"/>
  <c r="P182"/>
  <c r="O182"/>
  <c r="N182"/>
  <c r="Q182" s="1"/>
  <c r="M182"/>
  <c r="L182"/>
  <c r="Y182" s="1"/>
  <c r="K182"/>
  <c r="P181"/>
  <c r="O181"/>
  <c r="N181"/>
  <c r="M181"/>
  <c r="L181"/>
  <c r="Y181" s="1"/>
  <c r="K181"/>
  <c r="P180"/>
  <c r="O180"/>
  <c r="N180"/>
  <c r="M180"/>
  <c r="L180"/>
  <c r="Y180" s="1"/>
  <c r="K180"/>
  <c r="P179"/>
  <c r="O179"/>
  <c r="N179"/>
  <c r="M179"/>
  <c r="L179"/>
  <c r="Y179" s="1"/>
  <c r="K179"/>
  <c r="P178"/>
  <c r="O178"/>
  <c r="N178"/>
  <c r="Q178" s="1"/>
  <c r="M178"/>
  <c r="L178"/>
  <c r="Y178" s="1"/>
  <c r="K178"/>
  <c r="P177"/>
  <c r="O177"/>
  <c r="N177"/>
  <c r="M177"/>
  <c r="L177"/>
  <c r="Y177" s="1"/>
  <c r="K177"/>
  <c r="P176"/>
  <c r="O176"/>
  <c r="N176"/>
  <c r="M176"/>
  <c r="L176"/>
  <c r="Y176" s="1"/>
  <c r="K176"/>
  <c r="P175"/>
  <c r="O175"/>
  <c r="N175"/>
  <c r="M175"/>
  <c r="L175"/>
  <c r="Y175" s="1"/>
  <c r="K175"/>
  <c r="P174"/>
  <c r="O174"/>
  <c r="N174"/>
  <c r="Q174" s="1"/>
  <c r="M174"/>
  <c r="L174"/>
  <c r="Y174" s="1"/>
  <c r="K174"/>
  <c r="P173"/>
  <c r="O173"/>
  <c r="N173"/>
  <c r="M173"/>
  <c r="L173"/>
  <c r="Y173" s="1"/>
  <c r="K173"/>
  <c r="P172"/>
  <c r="O172"/>
  <c r="N172"/>
  <c r="M172"/>
  <c r="L172"/>
  <c r="Y172" s="1"/>
  <c r="K172"/>
  <c r="P171"/>
  <c r="O171"/>
  <c r="N171"/>
  <c r="M171"/>
  <c r="L171"/>
  <c r="Y171" s="1"/>
  <c r="K171"/>
  <c r="P170"/>
  <c r="O170"/>
  <c r="N170"/>
  <c r="Q170" s="1"/>
  <c r="M170"/>
  <c r="L170"/>
  <c r="Y170" s="1"/>
  <c r="K170"/>
  <c r="P169"/>
  <c r="O169"/>
  <c r="N169"/>
  <c r="M169"/>
  <c r="L169"/>
  <c r="Y169" s="1"/>
  <c r="K169"/>
  <c r="P168"/>
  <c r="O168"/>
  <c r="N168"/>
  <c r="M168"/>
  <c r="L168"/>
  <c r="Y168" s="1"/>
  <c r="K168"/>
  <c r="P167"/>
  <c r="O167"/>
  <c r="N167"/>
  <c r="M167"/>
  <c r="L167"/>
  <c r="Y167" s="1"/>
  <c r="K167"/>
  <c r="P166"/>
  <c r="O166"/>
  <c r="N166"/>
  <c r="Q166" s="1"/>
  <c r="M166"/>
  <c r="L166"/>
  <c r="Y166" s="1"/>
  <c r="K166"/>
  <c r="P165"/>
  <c r="O165"/>
  <c r="N165"/>
  <c r="M165"/>
  <c r="L165"/>
  <c r="Y165" s="1"/>
  <c r="K165"/>
  <c r="P164"/>
  <c r="O164"/>
  <c r="N164"/>
  <c r="M164"/>
  <c r="L164"/>
  <c r="Y164" s="1"/>
  <c r="K164"/>
  <c r="P163"/>
  <c r="O163"/>
  <c r="N163"/>
  <c r="M163"/>
  <c r="L163"/>
  <c r="Y163" s="1"/>
  <c r="K163"/>
  <c r="P162"/>
  <c r="O162"/>
  <c r="N162"/>
  <c r="Q162" s="1"/>
  <c r="M162"/>
  <c r="L162"/>
  <c r="Y162" s="1"/>
  <c r="K162"/>
  <c r="P161"/>
  <c r="O161"/>
  <c r="N161"/>
  <c r="M161"/>
  <c r="L161"/>
  <c r="Y161" s="1"/>
  <c r="K161"/>
  <c r="P160"/>
  <c r="O160"/>
  <c r="N160"/>
  <c r="M160"/>
  <c r="L160"/>
  <c r="Y160" s="1"/>
  <c r="K160"/>
  <c r="P159"/>
  <c r="O159"/>
  <c r="N159"/>
  <c r="M159"/>
  <c r="L159"/>
  <c r="Y159" s="1"/>
  <c r="K159"/>
  <c r="P158"/>
  <c r="O158"/>
  <c r="N158"/>
  <c r="Q158" s="1"/>
  <c r="M158"/>
  <c r="L158"/>
  <c r="Y158" s="1"/>
  <c r="K158"/>
  <c r="P157"/>
  <c r="O157"/>
  <c r="N157"/>
  <c r="M157"/>
  <c r="L157"/>
  <c r="Y157" s="1"/>
  <c r="K157"/>
  <c r="P156"/>
  <c r="O156"/>
  <c r="N156"/>
  <c r="M156"/>
  <c r="L156"/>
  <c r="Y156" s="1"/>
  <c r="K156"/>
  <c r="P155"/>
  <c r="O155"/>
  <c r="N155"/>
  <c r="M155"/>
  <c r="L155"/>
  <c r="Y155" s="1"/>
  <c r="K155"/>
  <c r="P154"/>
  <c r="O154"/>
  <c r="N154"/>
  <c r="Q154" s="1"/>
  <c r="M154"/>
  <c r="L154"/>
  <c r="Y154" s="1"/>
  <c r="K154"/>
  <c r="P153"/>
  <c r="O153"/>
  <c r="N153"/>
  <c r="M153"/>
  <c r="L153"/>
  <c r="Y153" s="1"/>
  <c r="K153"/>
  <c r="P152"/>
  <c r="O152"/>
  <c r="N152"/>
  <c r="M152"/>
  <c r="L152"/>
  <c r="Y152" s="1"/>
  <c r="K152"/>
  <c r="P151"/>
  <c r="O151"/>
  <c r="N151"/>
  <c r="M151"/>
  <c r="L151"/>
  <c r="Y151" s="1"/>
  <c r="K151"/>
  <c r="P150"/>
  <c r="O150"/>
  <c r="N150"/>
  <c r="Q150" s="1"/>
  <c r="M150"/>
  <c r="L150"/>
  <c r="Y150" s="1"/>
  <c r="K150"/>
  <c r="P149"/>
  <c r="O149"/>
  <c r="N149"/>
  <c r="M149"/>
  <c r="L149"/>
  <c r="Y149" s="1"/>
  <c r="K149"/>
  <c r="P148"/>
  <c r="O148"/>
  <c r="N148"/>
  <c r="M148"/>
  <c r="L148"/>
  <c r="Y148" s="1"/>
  <c r="K148"/>
  <c r="P147"/>
  <c r="O147"/>
  <c r="N147"/>
  <c r="M147"/>
  <c r="L147"/>
  <c r="Y147" s="1"/>
  <c r="K147"/>
  <c r="P146"/>
  <c r="O146"/>
  <c r="N146"/>
  <c r="Q146" s="1"/>
  <c r="M146"/>
  <c r="L146"/>
  <c r="Y146" s="1"/>
  <c r="K146"/>
  <c r="P145"/>
  <c r="O145"/>
  <c r="N145"/>
  <c r="M145"/>
  <c r="L145"/>
  <c r="Y145" s="1"/>
  <c r="K145"/>
  <c r="P144"/>
  <c r="O144"/>
  <c r="N144"/>
  <c r="M144"/>
  <c r="L144"/>
  <c r="Y144" s="1"/>
  <c r="K144"/>
  <c r="P143"/>
  <c r="O143"/>
  <c r="N143"/>
  <c r="M143"/>
  <c r="L143"/>
  <c r="Y143" s="1"/>
  <c r="K143"/>
  <c r="P142"/>
  <c r="O142"/>
  <c r="N142"/>
  <c r="Q142" s="1"/>
  <c r="M142"/>
  <c r="L142"/>
  <c r="Y142" s="1"/>
  <c r="K142"/>
  <c r="P141"/>
  <c r="O141"/>
  <c r="N141"/>
  <c r="M141"/>
  <c r="L141"/>
  <c r="Y141" s="1"/>
  <c r="K141"/>
  <c r="P140"/>
  <c r="O140"/>
  <c r="N140"/>
  <c r="M140"/>
  <c r="L140"/>
  <c r="Y140" s="1"/>
  <c r="K140"/>
  <c r="P139"/>
  <c r="O139"/>
  <c r="N139"/>
  <c r="M139"/>
  <c r="L139"/>
  <c r="Y139" s="1"/>
  <c r="K139"/>
  <c r="P138"/>
  <c r="O138"/>
  <c r="N138"/>
  <c r="Q138" s="1"/>
  <c r="M138"/>
  <c r="L138"/>
  <c r="Y138" s="1"/>
  <c r="K138"/>
  <c r="P137"/>
  <c r="O137"/>
  <c r="N137"/>
  <c r="M137"/>
  <c r="L137"/>
  <c r="Y137" s="1"/>
  <c r="K137"/>
  <c r="P136"/>
  <c r="O136"/>
  <c r="N136"/>
  <c r="M136"/>
  <c r="L136"/>
  <c r="Y136" s="1"/>
  <c r="K136"/>
  <c r="P135"/>
  <c r="O135"/>
  <c r="N135"/>
  <c r="M135"/>
  <c r="L135"/>
  <c r="Y135" s="1"/>
  <c r="K135"/>
  <c r="P134"/>
  <c r="O134"/>
  <c r="N134"/>
  <c r="Q134" s="1"/>
  <c r="M134"/>
  <c r="L134"/>
  <c r="Y134" s="1"/>
  <c r="K134"/>
  <c r="P133"/>
  <c r="O133"/>
  <c r="N133"/>
  <c r="M133"/>
  <c r="L133"/>
  <c r="Y133" s="1"/>
  <c r="K133"/>
  <c r="P132"/>
  <c r="O132"/>
  <c r="N132"/>
  <c r="M132"/>
  <c r="L132"/>
  <c r="Y132" s="1"/>
  <c r="K132"/>
  <c r="P131"/>
  <c r="O131"/>
  <c r="N131"/>
  <c r="M131"/>
  <c r="L131"/>
  <c r="Y131" s="1"/>
  <c r="K131"/>
  <c r="P130"/>
  <c r="O130"/>
  <c r="N130"/>
  <c r="Q130" s="1"/>
  <c r="M130"/>
  <c r="L130"/>
  <c r="Y130" s="1"/>
  <c r="K130"/>
  <c r="P129"/>
  <c r="O129"/>
  <c r="N129"/>
  <c r="M129"/>
  <c r="L129"/>
  <c r="Y129" s="1"/>
  <c r="K129"/>
  <c r="P128"/>
  <c r="O128"/>
  <c r="N128"/>
  <c r="M128"/>
  <c r="L128"/>
  <c r="Y128" s="1"/>
  <c r="K128"/>
  <c r="P127"/>
  <c r="O127"/>
  <c r="N127"/>
  <c r="M127"/>
  <c r="L127"/>
  <c r="Y127" s="1"/>
  <c r="K127"/>
  <c r="P126"/>
  <c r="O126"/>
  <c r="N126"/>
  <c r="Q126" s="1"/>
  <c r="M126"/>
  <c r="L126"/>
  <c r="Y126" s="1"/>
  <c r="K126"/>
  <c r="P125"/>
  <c r="O125"/>
  <c r="N125"/>
  <c r="M125"/>
  <c r="L125"/>
  <c r="Y125" s="1"/>
  <c r="K125"/>
  <c r="P124"/>
  <c r="O124"/>
  <c r="N124"/>
  <c r="M124"/>
  <c r="L124"/>
  <c r="Y124" s="1"/>
  <c r="K124"/>
  <c r="P123"/>
  <c r="O123"/>
  <c r="N123"/>
  <c r="M123"/>
  <c r="L123"/>
  <c r="Y123" s="1"/>
  <c r="K123"/>
  <c r="P122"/>
  <c r="O122"/>
  <c r="N122"/>
  <c r="Q122" s="1"/>
  <c r="M122"/>
  <c r="L122"/>
  <c r="Y122" s="1"/>
  <c r="K122"/>
  <c r="P121"/>
  <c r="O121"/>
  <c r="N121"/>
  <c r="M121"/>
  <c r="L121"/>
  <c r="Y121" s="1"/>
  <c r="K121"/>
  <c r="P120"/>
  <c r="O120"/>
  <c r="N120"/>
  <c r="M120"/>
  <c r="L120"/>
  <c r="Y120" s="1"/>
  <c r="K120"/>
  <c r="P119"/>
  <c r="O119"/>
  <c r="N119"/>
  <c r="M119"/>
  <c r="L119"/>
  <c r="Y119" s="1"/>
  <c r="K119"/>
  <c r="P118"/>
  <c r="O118"/>
  <c r="N118"/>
  <c r="Q118" s="1"/>
  <c r="M118"/>
  <c r="L118"/>
  <c r="Y118" s="1"/>
  <c r="K118"/>
  <c r="P117"/>
  <c r="O117"/>
  <c r="N117"/>
  <c r="M117"/>
  <c r="L117"/>
  <c r="Y117" s="1"/>
  <c r="K117"/>
  <c r="P116"/>
  <c r="O116"/>
  <c r="N116"/>
  <c r="M116"/>
  <c r="L116"/>
  <c r="Y116" s="1"/>
  <c r="K116"/>
  <c r="P115"/>
  <c r="O115"/>
  <c r="N115"/>
  <c r="M115"/>
  <c r="L115"/>
  <c r="Y115" s="1"/>
  <c r="K115"/>
  <c r="P114"/>
  <c r="O114"/>
  <c r="N114"/>
  <c r="Q114" s="1"/>
  <c r="M114"/>
  <c r="L114"/>
  <c r="Y114" s="1"/>
  <c r="K114"/>
  <c r="P113"/>
  <c r="O113"/>
  <c r="N113"/>
  <c r="M113"/>
  <c r="L113"/>
  <c r="Y113" s="1"/>
  <c r="K113"/>
  <c r="P112"/>
  <c r="O112"/>
  <c r="N112"/>
  <c r="M112"/>
  <c r="L112"/>
  <c r="Y112" s="1"/>
  <c r="K112"/>
  <c r="P111"/>
  <c r="O111"/>
  <c r="N111"/>
  <c r="M111"/>
  <c r="L111"/>
  <c r="Y111" s="1"/>
  <c r="K111"/>
  <c r="P110"/>
  <c r="O110"/>
  <c r="N110"/>
  <c r="Q110" s="1"/>
  <c r="M110"/>
  <c r="L110"/>
  <c r="Y110" s="1"/>
  <c r="K110"/>
  <c r="P109"/>
  <c r="O109"/>
  <c r="N109"/>
  <c r="M109"/>
  <c r="L109"/>
  <c r="Y109" s="1"/>
  <c r="K109"/>
  <c r="P108"/>
  <c r="O108"/>
  <c r="N108"/>
  <c r="M108"/>
  <c r="L108"/>
  <c r="Y108" s="1"/>
  <c r="K108"/>
  <c r="P107"/>
  <c r="O107"/>
  <c r="N107"/>
  <c r="M107"/>
  <c r="L107"/>
  <c r="Y107" s="1"/>
  <c r="K107"/>
  <c r="P106"/>
  <c r="O106"/>
  <c r="N106"/>
  <c r="Q106" s="1"/>
  <c r="M106"/>
  <c r="L106"/>
  <c r="Y106" s="1"/>
  <c r="K106"/>
  <c r="P105"/>
  <c r="O105"/>
  <c r="N105"/>
  <c r="M105"/>
  <c r="L105"/>
  <c r="Y105" s="1"/>
  <c r="K105"/>
  <c r="P104"/>
  <c r="O104"/>
  <c r="N104"/>
  <c r="M104"/>
  <c r="L104"/>
  <c r="Y104" s="1"/>
  <c r="K104"/>
  <c r="P103"/>
  <c r="O103"/>
  <c r="N103"/>
  <c r="M103"/>
  <c r="L103"/>
  <c r="Y103" s="1"/>
  <c r="K103"/>
  <c r="P102"/>
  <c r="O102"/>
  <c r="N102"/>
  <c r="Q102" s="1"/>
  <c r="M102"/>
  <c r="L102"/>
  <c r="Y102" s="1"/>
  <c r="K102"/>
  <c r="P101"/>
  <c r="O101"/>
  <c r="N101"/>
  <c r="M101"/>
  <c r="L101"/>
  <c r="Y101" s="1"/>
  <c r="K101"/>
  <c r="P100"/>
  <c r="O100"/>
  <c r="N100"/>
  <c r="M100"/>
  <c r="L100"/>
  <c r="Y100" s="1"/>
  <c r="K100"/>
  <c r="P99"/>
  <c r="O99"/>
  <c r="N99"/>
  <c r="Q99" s="1"/>
  <c r="M99"/>
  <c r="L99"/>
  <c r="Y99" s="1"/>
  <c r="K99"/>
  <c r="P98"/>
  <c r="O98"/>
  <c r="N98"/>
  <c r="M98"/>
  <c r="L98"/>
  <c r="Y98" s="1"/>
  <c r="K98"/>
  <c r="P97"/>
  <c r="O97"/>
  <c r="N97"/>
  <c r="Q97" s="1"/>
  <c r="M97"/>
  <c r="L97"/>
  <c r="Y97" s="1"/>
  <c r="K97"/>
  <c r="P96"/>
  <c r="O96"/>
  <c r="N96"/>
  <c r="M96"/>
  <c r="L96"/>
  <c r="Y96" s="1"/>
  <c r="K96"/>
  <c r="P95"/>
  <c r="O95"/>
  <c r="N95"/>
  <c r="Q95" s="1"/>
  <c r="M95"/>
  <c r="L95"/>
  <c r="Y95" s="1"/>
  <c r="K95"/>
  <c r="P94"/>
  <c r="O94"/>
  <c r="N94"/>
  <c r="M94"/>
  <c r="L94"/>
  <c r="Y94" s="1"/>
  <c r="K94"/>
  <c r="P93"/>
  <c r="O93"/>
  <c r="N93"/>
  <c r="Q93" s="1"/>
  <c r="M93"/>
  <c r="L93"/>
  <c r="Y93" s="1"/>
  <c r="K93"/>
  <c r="P92"/>
  <c r="O92"/>
  <c r="N92"/>
  <c r="M92"/>
  <c r="L92"/>
  <c r="Y92" s="1"/>
  <c r="K92"/>
  <c r="P91"/>
  <c r="O91"/>
  <c r="N91"/>
  <c r="Q91" s="1"/>
  <c r="M91"/>
  <c r="L91"/>
  <c r="Y91" s="1"/>
  <c r="K91"/>
  <c r="P90"/>
  <c r="O90"/>
  <c r="N90"/>
  <c r="M90"/>
  <c r="L90"/>
  <c r="Y90" s="1"/>
  <c r="K90"/>
  <c r="P89"/>
  <c r="O89"/>
  <c r="N89"/>
  <c r="Q89" s="1"/>
  <c r="M89"/>
  <c r="L89"/>
  <c r="Y89" s="1"/>
  <c r="K89"/>
  <c r="P88"/>
  <c r="O88"/>
  <c r="N88"/>
  <c r="M88"/>
  <c r="L88"/>
  <c r="Y88" s="1"/>
  <c r="K88"/>
  <c r="P87"/>
  <c r="O87"/>
  <c r="N87"/>
  <c r="Q87" s="1"/>
  <c r="M87"/>
  <c r="L87"/>
  <c r="Y87" s="1"/>
  <c r="K87"/>
  <c r="P86"/>
  <c r="O86"/>
  <c r="N86"/>
  <c r="M86"/>
  <c r="L86"/>
  <c r="Y86" s="1"/>
  <c r="K86"/>
  <c r="P85"/>
  <c r="O85"/>
  <c r="N85"/>
  <c r="Q85" s="1"/>
  <c r="M85"/>
  <c r="L85"/>
  <c r="Y85" s="1"/>
  <c r="K85"/>
  <c r="P84"/>
  <c r="O84"/>
  <c r="N84"/>
  <c r="M84"/>
  <c r="L84"/>
  <c r="Y84" s="1"/>
  <c r="K84"/>
  <c r="P83"/>
  <c r="O83"/>
  <c r="N83"/>
  <c r="Q83" s="1"/>
  <c r="M83"/>
  <c r="L83"/>
  <c r="Y83" s="1"/>
  <c r="K83"/>
  <c r="P82"/>
  <c r="O82"/>
  <c r="N82"/>
  <c r="M82"/>
  <c r="L82"/>
  <c r="Y82" s="1"/>
  <c r="K82"/>
  <c r="P81"/>
  <c r="O81"/>
  <c r="N81"/>
  <c r="Q81" s="1"/>
  <c r="M81"/>
  <c r="L81"/>
  <c r="Y81" s="1"/>
  <c r="K81"/>
  <c r="P80"/>
  <c r="O80"/>
  <c r="N80"/>
  <c r="M80"/>
  <c r="L80"/>
  <c r="Y80" s="1"/>
  <c r="K80"/>
  <c r="P79"/>
  <c r="O79"/>
  <c r="N79"/>
  <c r="Q79" s="1"/>
  <c r="M79"/>
  <c r="L79"/>
  <c r="Y79" s="1"/>
  <c r="K79"/>
  <c r="P78"/>
  <c r="O78"/>
  <c r="N78"/>
  <c r="M78"/>
  <c r="L78"/>
  <c r="Y78" s="1"/>
  <c r="K78"/>
  <c r="P77"/>
  <c r="O77"/>
  <c r="N77"/>
  <c r="Q77" s="1"/>
  <c r="M77"/>
  <c r="L77"/>
  <c r="Y77" s="1"/>
  <c r="K77"/>
  <c r="P76"/>
  <c r="O76"/>
  <c r="N76"/>
  <c r="M76"/>
  <c r="L76"/>
  <c r="Y76" s="1"/>
  <c r="K76"/>
  <c r="P75"/>
  <c r="O75"/>
  <c r="N75"/>
  <c r="Q75" s="1"/>
  <c r="M75"/>
  <c r="L75"/>
  <c r="Y75" s="1"/>
  <c r="K75"/>
  <c r="P74"/>
  <c r="O74"/>
  <c r="N74"/>
  <c r="M74"/>
  <c r="L74"/>
  <c r="Y74" s="1"/>
  <c r="K74"/>
  <c r="P73"/>
  <c r="O73"/>
  <c r="N73"/>
  <c r="Q73" s="1"/>
  <c r="M73"/>
  <c r="L73"/>
  <c r="Y73" s="1"/>
  <c r="K73"/>
  <c r="P72"/>
  <c r="O72"/>
  <c r="N72"/>
  <c r="M72"/>
  <c r="L72"/>
  <c r="Y72" s="1"/>
  <c r="K72"/>
  <c r="P71"/>
  <c r="O71"/>
  <c r="N71"/>
  <c r="Q71" s="1"/>
  <c r="M71"/>
  <c r="L71"/>
  <c r="Y71" s="1"/>
  <c r="K71"/>
  <c r="P70"/>
  <c r="O70"/>
  <c r="N70"/>
  <c r="M70"/>
  <c r="L70"/>
  <c r="Y70" s="1"/>
  <c r="K70"/>
  <c r="P69"/>
  <c r="O69"/>
  <c r="N69"/>
  <c r="Q69" s="1"/>
  <c r="M69"/>
  <c r="L69"/>
  <c r="Y69" s="1"/>
  <c r="K69"/>
  <c r="P68"/>
  <c r="O68"/>
  <c r="N68"/>
  <c r="M68"/>
  <c r="L68"/>
  <c r="Y68" s="1"/>
  <c r="K68"/>
  <c r="P67"/>
  <c r="O67"/>
  <c r="N67"/>
  <c r="Q67" s="1"/>
  <c r="M67"/>
  <c r="L67"/>
  <c r="Y67" s="1"/>
  <c r="K67"/>
  <c r="P66"/>
  <c r="O66"/>
  <c r="N66"/>
  <c r="M66"/>
  <c r="L66"/>
  <c r="Y66" s="1"/>
  <c r="K66"/>
  <c r="P65"/>
  <c r="O65"/>
  <c r="N65"/>
  <c r="Q65" s="1"/>
  <c r="M65"/>
  <c r="L65"/>
  <c r="Y65" s="1"/>
  <c r="K65"/>
  <c r="P64"/>
  <c r="O64"/>
  <c r="N64"/>
  <c r="M64"/>
  <c r="L64"/>
  <c r="Y64" s="1"/>
  <c r="K64"/>
  <c r="P63"/>
  <c r="O63"/>
  <c r="N63"/>
  <c r="Q63" s="1"/>
  <c r="M63"/>
  <c r="L63"/>
  <c r="Y63" s="1"/>
  <c r="K63"/>
  <c r="P62"/>
  <c r="O62"/>
  <c r="N62"/>
  <c r="M62"/>
  <c r="L62"/>
  <c r="Y62" s="1"/>
  <c r="K62"/>
  <c r="P61"/>
  <c r="O61"/>
  <c r="N61"/>
  <c r="Q61" s="1"/>
  <c r="M61"/>
  <c r="L61"/>
  <c r="Y61" s="1"/>
  <c r="K61"/>
  <c r="P60"/>
  <c r="O60"/>
  <c r="N60"/>
  <c r="M60"/>
  <c r="L60"/>
  <c r="Y60" s="1"/>
  <c r="K60"/>
  <c r="P59"/>
  <c r="O59"/>
  <c r="N59"/>
  <c r="Q59" s="1"/>
  <c r="M59"/>
  <c r="L59"/>
  <c r="Y59" s="1"/>
  <c r="K59"/>
  <c r="P58"/>
  <c r="O58"/>
  <c r="N58"/>
  <c r="M58"/>
  <c r="L58"/>
  <c r="Y58" s="1"/>
  <c r="K58"/>
  <c r="P57"/>
  <c r="O57"/>
  <c r="N57"/>
  <c r="Q57" s="1"/>
  <c r="M57"/>
  <c r="L57"/>
  <c r="Y57" s="1"/>
  <c r="K57"/>
  <c r="P56"/>
  <c r="O56"/>
  <c r="N56"/>
  <c r="M56"/>
  <c r="L56"/>
  <c r="Y56" s="1"/>
  <c r="K56"/>
  <c r="P55"/>
  <c r="O55"/>
  <c r="N55"/>
  <c r="Q55" s="1"/>
  <c r="M55"/>
  <c r="L55"/>
  <c r="Y55" s="1"/>
  <c r="K55"/>
  <c r="P54"/>
  <c r="O54"/>
  <c r="N54"/>
  <c r="M54"/>
  <c r="L54"/>
  <c r="Y54" s="1"/>
  <c r="K54"/>
  <c r="P53"/>
  <c r="O53"/>
  <c r="N53"/>
  <c r="Q53" s="1"/>
  <c r="M53"/>
  <c r="L53"/>
  <c r="Y53" s="1"/>
  <c r="K53"/>
  <c r="P52"/>
  <c r="O52"/>
  <c r="N52"/>
  <c r="M52"/>
  <c r="L52"/>
  <c r="Y52" s="1"/>
  <c r="K52"/>
  <c r="P51"/>
  <c r="O51"/>
  <c r="N51"/>
  <c r="Q51" s="1"/>
  <c r="M51"/>
  <c r="L51"/>
  <c r="Y51" s="1"/>
  <c r="K51"/>
  <c r="P50"/>
  <c r="O50"/>
  <c r="N50"/>
  <c r="M50"/>
  <c r="L50"/>
  <c r="Y50" s="1"/>
  <c r="K50"/>
  <c r="P49"/>
  <c r="O49"/>
  <c r="N49"/>
  <c r="Q49" s="1"/>
  <c r="M49"/>
  <c r="L49"/>
  <c r="Y49" s="1"/>
  <c r="K49"/>
  <c r="P48"/>
  <c r="O48"/>
  <c r="N48"/>
  <c r="M48"/>
  <c r="L48"/>
  <c r="Y48" s="1"/>
  <c r="K48"/>
  <c r="P47"/>
  <c r="O47"/>
  <c r="N47"/>
  <c r="Q47" s="1"/>
  <c r="M47"/>
  <c r="L47"/>
  <c r="Y47" s="1"/>
  <c r="K47"/>
  <c r="P46"/>
  <c r="O46"/>
  <c r="N46"/>
  <c r="M46"/>
  <c r="L46"/>
  <c r="Y46" s="1"/>
  <c r="K46"/>
  <c r="P45"/>
  <c r="O45"/>
  <c r="N45"/>
  <c r="Q45" s="1"/>
  <c r="M45"/>
  <c r="L45"/>
  <c r="Y45" s="1"/>
  <c r="K45"/>
  <c r="P44"/>
  <c r="O44"/>
  <c r="N44"/>
  <c r="M44"/>
  <c r="L44"/>
  <c r="Y44" s="1"/>
  <c r="K44"/>
  <c r="P43"/>
  <c r="O43"/>
  <c r="N43"/>
  <c r="Q43" s="1"/>
  <c r="M43"/>
  <c r="L43"/>
  <c r="Y43" s="1"/>
  <c r="K43"/>
  <c r="P42"/>
  <c r="O42"/>
  <c r="N42"/>
  <c r="M42"/>
  <c r="L42"/>
  <c r="Y42" s="1"/>
  <c r="K42"/>
  <c r="P41"/>
  <c r="O41"/>
  <c r="N41"/>
  <c r="Q41" s="1"/>
  <c r="M41"/>
  <c r="L41"/>
  <c r="Y41" s="1"/>
  <c r="K41"/>
  <c r="P40"/>
  <c r="O40"/>
  <c r="N40"/>
  <c r="M40"/>
  <c r="L40"/>
  <c r="Y40" s="1"/>
  <c r="K40"/>
  <c r="P39"/>
  <c r="O39"/>
  <c r="N39"/>
  <c r="Q39" s="1"/>
  <c r="M39"/>
  <c r="L39"/>
  <c r="Y39" s="1"/>
  <c r="K39"/>
  <c r="P38"/>
  <c r="O38"/>
  <c r="N38"/>
  <c r="M38"/>
  <c r="L38"/>
  <c r="Y38" s="1"/>
  <c r="K38"/>
  <c r="P37"/>
  <c r="O37"/>
  <c r="N37"/>
  <c r="Q37" s="1"/>
  <c r="M37"/>
  <c r="L37"/>
  <c r="Y37" s="1"/>
  <c r="K37"/>
  <c r="P36"/>
  <c r="O36"/>
  <c r="N36"/>
  <c r="M36"/>
  <c r="L36"/>
  <c r="Y36" s="1"/>
  <c r="K36"/>
  <c r="P35"/>
  <c r="O35"/>
  <c r="N35"/>
  <c r="Q35" s="1"/>
  <c r="M35"/>
  <c r="L35"/>
  <c r="Y35" s="1"/>
  <c r="K35"/>
  <c r="P34"/>
  <c r="O34"/>
  <c r="N34"/>
  <c r="M34"/>
  <c r="L34"/>
  <c r="Y34" s="1"/>
  <c r="K34"/>
  <c r="P33"/>
  <c r="O33"/>
  <c r="N33"/>
  <c r="Q33" s="1"/>
  <c r="M33"/>
  <c r="L33"/>
  <c r="Y33" s="1"/>
  <c r="K33"/>
  <c r="P32"/>
  <c r="O32"/>
  <c r="N32"/>
  <c r="M32"/>
  <c r="L32"/>
  <c r="Y32" s="1"/>
  <c r="K32"/>
  <c r="P31"/>
  <c r="O31"/>
  <c r="N31"/>
  <c r="Q31" s="1"/>
  <c r="M31"/>
  <c r="L31"/>
  <c r="Y31" s="1"/>
  <c r="K31"/>
  <c r="P30"/>
  <c r="O30"/>
  <c r="N30"/>
  <c r="M30"/>
  <c r="L30"/>
  <c r="Y30" s="1"/>
  <c r="K30"/>
  <c r="P29"/>
  <c r="O29"/>
  <c r="N29"/>
  <c r="Q29" s="1"/>
  <c r="M29"/>
  <c r="L29"/>
  <c r="Y29" s="1"/>
  <c r="K29"/>
  <c r="P28"/>
  <c r="O28"/>
  <c r="N28"/>
  <c r="M28"/>
  <c r="L28"/>
  <c r="Y28" s="1"/>
  <c r="K28"/>
  <c r="P27"/>
  <c r="O27"/>
  <c r="N27"/>
  <c r="Q27" s="1"/>
  <c r="M27"/>
  <c r="L27"/>
  <c r="Y27" s="1"/>
  <c r="K27"/>
  <c r="P26"/>
  <c r="O26"/>
  <c r="N26"/>
  <c r="M26"/>
  <c r="L26"/>
  <c r="Y26" s="1"/>
  <c r="K26"/>
  <c r="P25"/>
  <c r="O25"/>
  <c r="N25"/>
  <c r="Q25" s="1"/>
  <c r="M25"/>
  <c r="L25"/>
  <c r="Y25" s="1"/>
  <c r="K25"/>
  <c r="P24"/>
  <c r="O24"/>
  <c r="N24"/>
  <c r="M24"/>
  <c r="L24"/>
  <c r="Y24" s="1"/>
  <c r="K24"/>
  <c r="P23"/>
  <c r="O23"/>
  <c r="N23"/>
  <c r="Q23" s="1"/>
  <c r="M23"/>
  <c r="L23"/>
  <c r="Y23" s="1"/>
  <c r="K23"/>
  <c r="P22"/>
  <c r="O22"/>
  <c r="N22"/>
  <c r="M22"/>
  <c r="L22"/>
  <c r="Y22" s="1"/>
  <c r="K22"/>
  <c r="P21"/>
  <c r="O21"/>
  <c r="N21"/>
  <c r="Q21" s="1"/>
  <c r="M21"/>
  <c r="L21"/>
  <c r="Y21" s="1"/>
  <c r="K21"/>
  <c r="P20"/>
  <c r="O20"/>
  <c r="N20"/>
  <c r="M20"/>
  <c r="L20"/>
  <c r="Y20" s="1"/>
  <c r="K20"/>
  <c r="P19"/>
  <c r="O19"/>
  <c r="N19"/>
  <c r="Q19" s="1"/>
  <c r="M19"/>
  <c r="L19"/>
  <c r="Y19" s="1"/>
  <c r="K19"/>
  <c r="P18"/>
  <c r="O18"/>
  <c r="N18"/>
  <c r="M18"/>
  <c r="L18"/>
  <c r="Y18" s="1"/>
  <c r="K18"/>
  <c r="P17"/>
  <c r="O17"/>
  <c r="N17"/>
  <c r="Q17" s="1"/>
  <c r="M17"/>
  <c r="L17"/>
  <c r="Y17" s="1"/>
  <c r="K17"/>
  <c r="P16"/>
  <c r="O16"/>
  <c r="N16"/>
  <c r="M16"/>
  <c r="L16"/>
  <c r="Y16" s="1"/>
  <c r="K16"/>
  <c r="P15"/>
  <c r="O15"/>
  <c r="N15"/>
  <c r="Q15" s="1"/>
  <c r="M15"/>
  <c r="L15"/>
  <c r="Y15" s="1"/>
  <c r="K15"/>
  <c r="P14"/>
  <c r="O14"/>
  <c r="N14"/>
  <c r="M14"/>
  <c r="L14"/>
  <c r="Y14" s="1"/>
  <c r="K14"/>
  <c r="P13"/>
  <c r="O13"/>
  <c r="N13"/>
  <c r="Q13" s="1"/>
  <c r="M13"/>
  <c r="L13"/>
  <c r="Y13" s="1"/>
  <c r="K13"/>
  <c r="P12"/>
  <c r="O12"/>
  <c r="N12"/>
  <c r="M12"/>
  <c r="L12"/>
  <c r="Y12" s="1"/>
  <c r="K12"/>
  <c r="P11"/>
  <c r="O11"/>
  <c r="N11"/>
  <c r="Q11" s="1"/>
  <c r="M11"/>
  <c r="L11"/>
  <c r="Y11" s="1"/>
  <c r="K11"/>
  <c r="P10"/>
  <c r="O10"/>
  <c r="N10"/>
  <c r="M10"/>
  <c r="L10"/>
  <c r="Y10" s="1"/>
  <c r="K10"/>
  <c r="P9"/>
  <c r="O9"/>
  <c r="N9"/>
  <c r="Q9" s="1"/>
  <c r="M9"/>
  <c r="L9"/>
  <c r="Y9" s="1"/>
  <c r="K9"/>
  <c r="P8"/>
  <c r="O8"/>
  <c r="N8"/>
  <c r="M8"/>
  <c r="L8"/>
  <c r="Y8" s="1"/>
  <c r="K8"/>
  <c r="P7"/>
  <c r="O7"/>
  <c r="N7"/>
  <c r="Q7" s="1"/>
  <c r="M7"/>
  <c r="L7"/>
  <c r="Y7" s="1"/>
  <c r="K7"/>
  <c r="P6"/>
  <c r="O6"/>
  <c r="N6"/>
  <c r="M6"/>
  <c r="L6"/>
  <c r="Y6" s="1"/>
  <c r="K6"/>
  <c r="P5"/>
  <c r="O5"/>
  <c r="N5"/>
  <c r="Q5" s="1"/>
  <c r="M5"/>
  <c r="L5"/>
  <c r="Y5" s="1"/>
  <c r="K5"/>
  <c r="P4"/>
  <c r="O4"/>
  <c r="N4"/>
  <c r="M4"/>
  <c r="L4"/>
  <c r="Y4" s="1"/>
  <c r="K4"/>
  <c r="P3"/>
  <c r="O3"/>
  <c r="N3"/>
  <c r="Q3" s="1"/>
  <c r="M3"/>
  <c r="L3"/>
  <c r="Y3" s="1"/>
  <c r="K3"/>
  <c r="P2"/>
  <c r="O2"/>
  <c r="N2"/>
  <c r="M2"/>
  <c r="L2"/>
  <c r="Y2" s="1"/>
  <c r="K2"/>
  <c r="P3" i="1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2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2"/>
  <c r="Q2" i="7" l="1"/>
  <c r="Q6"/>
  <c r="Q10"/>
  <c r="Q14"/>
  <c r="Q18"/>
  <c r="Q22"/>
  <c r="Q26"/>
  <c r="Q30"/>
  <c r="Q34"/>
  <c r="Q38"/>
  <c r="Q42"/>
  <c r="Q46"/>
  <c r="Q50"/>
  <c r="Q54"/>
  <c r="Q58"/>
  <c r="Q62"/>
  <c r="Q66"/>
  <c r="Q70"/>
  <c r="Q74"/>
  <c r="Q78"/>
  <c r="Q82"/>
  <c r="Q86"/>
  <c r="Q90"/>
  <c r="Q94"/>
  <c r="Q98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Q185"/>
  <c r="Q187"/>
  <c r="Q189"/>
  <c r="Q191"/>
  <c r="Q193"/>
  <c r="Q195"/>
  <c r="Q197"/>
  <c r="Q199"/>
  <c r="Q201"/>
  <c r="Q203"/>
  <c r="Q205"/>
  <c r="Q207"/>
  <c r="Q209"/>
  <c r="Q211"/>
  <c r="Q213"/>
  <c r="Q215"/>
  <c r="Q217"/>
  <c r="Q219"/>
  <c r="Q221"/>
  <c r="Q223"/>
  <c r="Q225"/>
  <c r="Q227"/>
  <c r="Q229"/>
  <c r="Q231"/>
  <c r="Q233"/>
  <c r="Q235"/>
  <c r="Q237"/>
  <c r="Q239"/>
  <c r="Q241"/>
  <c r="Q243"/>
  <c r="Q245"/>
  <c r="Q247"/>
  <c r="Q249"/>
  <c r="Q251"/>
  <c r="Q253"/>
  <c r="Q255"/>
  <c r="Q257"/>
  <c r="Q259"/>
  <c r="Q261"/>
  <c r="Q263"/>
  <c r="Q265"/>
  <c r="Q267"/>
  <c r="Q269"/>
  <c r="Q271"/>
  <c r="Q273"/>
  <c r="Q275"/>
  <c r="Q277"/>
  <c r="Q279"/>
  <c r="Q281"/>
  <c r="Q283"/>
  <c r="Q285"/>
  <c r="Q287"/>
  <c r="Q289"/>
  <c r="Q291"/>
  <c r="Q293"/>
  <c r="Q295"/>
  <c r="Q297"/>
  <c r="Q299"/>
  <c r="Q301"/>
  <c r="Q303"/>
  <c r="Q305"/>
  <c r="Q307"/>
  <c r="Q309"/>
  <c r="Q311"/>
  <c r="Q313"/>
  <c r="Q315"/>
  <c r="Q317"/>
  <c r="Q319"/>
  <c r="Q321"/>
  <c r="Q323"/>
  <c r="Q325"/>
  <c r="Q327"/>
  <c r="Q329"/>
  <c r="Q331"/>
  <c r="Q333"/>
  <c r="Q335"/>
  <c r="Q337"/>
  <c r="Q339"/>
  <c r="Q341"/>
  <c r="Q343"/>
  <c r="Q345"/>
  <c r="Q347"/>
  <c r="Q349"/>
  <c r="Q351"/>
  <c r="Q353"/>
  <c r="Q355"/>
  <c r="Q357"/>
  <c r="Q359"/>
  <c r="Q361"/>
  <c r="Q363"/>
  <c r="Q365"/>
  <c r="Q367"/>
  <c r="Q369"/>
  <c r="Q371"/>
  <c r="Q373"/>
  <c r="Q375"/>
  <c r="Q377"/>
  <c r="Q379"/>
  <c r="Q381"/>
  <c r="Q383"/>
  <c r="Q385"/>
  <c r="Q387"/>
  <c r="Q389"/>
  <c r="Q391"/>
  <c r="Q393"/>
  <c r="Q395"/>
  <c r="Q397"/>
  <c r="Q399"/>
  <c r="Q401"/>
  <c r="Q403"/>
  <c r="Q405"/>
  <c r="Q407"/>
  <c r="Q409"/>
  <c r="Q411"/>
  <c r="Q413"/>
  <c r="Q415"/>
  <c r="Q417"/>
  <c r="Q419"/>
  <c r="Q421"/>
  <c r="Q423"/>
  <c r="Q425"/>
  <c r="Q427"/>
  <c r="Q429"/>
  <c r="Q431"/>
  <c r="Q433"/>
  <c r="Q435"/>
  <c r="Q437"/>
  <c r="Q439"/>
  <c r="Q441"/>
  <c r="Q443"/>
  <c r="Q445"/>
  <c r="Q447"/>
  <c r="Q449"/>
  <c r="Q451"/>
  <c r="Q453"/>
  <c r="Q455"/>
  <c r="Q457"/>
  <c r="Q459"/>
  <c r="Q461"/>
  <c r="Q463"/>
  <c r="Q465"/>
  <c r="Q467"/>
  <c r="Q469"/>
  <c r="Q471"/>
  <c r="Q473"/>
  <c r="Q475"/>
  <c r="Q477"/>
  <c r="Q479"/>
  <c r="Q481"/>
  <c r="Q483"/>
  <c r="Q485"/>
  <c r="Q487"/>
  <c r="Q489"/>
  <c r="Q491"/>
  <c r="Q493"/>
  <c r="Q495"/>
  <c r="Q497"/>
  <c r="Q499"/>
  <c r="Q501"/>
  <c r="Q503"/>
  <c r="Q505"/>
  <c r="Q507"/>
  <c r="Q509"/>
  <c r="Q511"/>
  <c r="Q513"/>
  <c r="Q515"/>
  <c r="Q517"/>
  <c r="Q519"/>
  <c r="Q521"/>
  <c r="Q523"/>
  <c r="Q525"/>
  <c r="Q527"/>
  <c r="Q529"/>
  <c r="Q531"/>
  <c r="Q533"/>
  <c r="Q535"/>
  <c r="Q537"/>
  <c r="Q539"/>
  <c r="Q541"/>
  <c r="Q543"/>
  <c r="Q545"/>
  <c r="Q547"/>
  <c r="Q549"/>
  <c r="Q551"/>
  <c r="Q553"/>
  <c r="Q555"/>
  <c r="Q557"/>
  <c r="Q559"/>
  <c r="Q561"/>
  <c r="Q563"/>
  <c r="Q565"/>
  <c r="Q567"/>
  <c r="Q569"/>
  <c r="Q571"/>
  <c r="Q573"/>
  <c r="Q575"/>
  <c r="Q577"/>
  <c r="Q579"/>
  <c r="Q581"/>
  <c r="Q583"/>
  <c r="Q585"/>
  <c r="Q587"/>
  <c r="Q589"/>
  <c r="Q591"/>
  <c r="Q593"/>
  <c r="Q595"/>
  <c r="Q597"/>
  <c r="Q599"/>
  <c r="Q601"/>
  <c r="Q603"/>
  <c r="Q605"/>
  <c r="Q607"/>
  <c r="Q609"/>
  <c r="Q611"/>
  <c r="J5" i="4"/>
  <c r="G5"/>
  <c r="Q4" i="7"/>
  <c r="Q8"/>
  <c r="Q12"/>
  <c r="Q16"/>
  <c r="Q20"/>
  <c r="Q24"/>
  <c r="Q28"/>
  <c r="Q32"/>
  <c r="Q36"/>
  <c r="Q40"/>
  <c r="Q44"/>
  <c r="Q48"/>
  <c r="Q52"/>
  <c r="Q56"/>
  <c r="Q60"/>
  <c r="Q64"/>
  <c r="Q68"/>
  <c r="Q72"/>
  <c r="Q76"/>
  <c r="Q80"/>
  <c r="Q84"/>
  <c r="Q88"/>
  <c r="Q92"/>
  <c r="Q96"/>
  <c r="Q100"/>
  <c r="Q104"/>
  <c r="Q108"/>
  <c r="Q112"/>
  <c r="Q116"/>
  <c r="Q120"/>
  <c r="Q124"/>
  <c r="Q128"/>
  <c r="Q132"/>
  <c r="Q136"/>
  <c r="Q140"/>
  <c r="Q144"/>
  <c r="Q148"/>
  <c r="Q152"/>
  <c r="Q156"/>
  <c r="Q160"/>
  <c r="Q164"/>
  <c r="Q168"/>
  <c r="Q172"/>
  <c r="Q176"/>
  <c r="Q180"/>
  <c r="Q184"/>
  <c r="Q188"/>
  <c r="Q192"/>
  <c r="Q196"/>
  <c r="Q200"/>
  <c r="Q204"/>
  <c r="Q208"/>
  <c r="Q212"/>
  <c r="D5" i="4"/>
  <c r="A5"/>
</calcChain>
</file>

<file path=xl/sharedStrings.xml><?xml version="1.0" encoding="utf-8"?>
<sst xmlns="http://schemas.openxmlformats.org/spreadsheetml/2006/main" count="101" uniqueCount="55">
  <si>
    <t>instant</t>
  </si>
  <si>
    <t>dteday</t>
  </si>
  <si>
    <t>season</t>
  </si>
  <si>
    <t>yr</t>
  </si>
  <si>
    <t>mnth</t>
  </si>
  <si>
    <t>hr</t>
  </si>
  <si>
    <t>holiday</t>
  </si>
  <si>
    <t>weekday</t>
  </si>
  <si>
    <t>weathersit</t>
  </si>
  <si>
    <t>temp</t>
  </si>
  <si>
    <t>atemp</t>
  </si>
  <si>
    <t>hum</t>
  </si>
  <si>
    <t>windspeed</t>
  </si>
  <si>
    <t>casual</t>
  </si>
  <si>
    <t>registered</t>
  </si>
  <si>
    <t>cnt</t>
  </si>
  <si>
    <t>Check Total</t>
  </si>
  <si>
    <t>Month Name</t>
  </si>
  <si>
    <t>Day Name</t>
  </si>
  <si>
    <t>Day Type</t>
  </si>
  <si>
    <t>Season Name</t>
  </si>
  <si>
    <t>Weather</t>
  </si>
  <si>
    <t>Peak Hours</t>
  </si>
  <si>
    <t>Temp Category</t>
  </si>
  <si>
    <t>Humidity Category</t>
  </si>
  <si>
    <t>January</t>
  </si>
  <si>
    <t>Grand Total</t>
  </si>
  <si>
    <t>Sum of cnt</t>
  </si>
  <si>
    <t>Hours</t>
  </si>
  <si>
    <t>Month</t>
  </si>
  <si>
    <t>Total Rentals</t>
  </si>
  <si>
    <t>Clear</t>
  </si>
  <si>
    <t>Heavy Rain</t>
  </si>
  <si>
    <t>Light Rain</t>
  </si>
  <si>
    <t>Mist</t>
  </si>
  <si>
    <t>Rentals</t>
  </si>
  <si>
    <t>Rentals By Month</t>
  </si>
  <si>
    <t>Sum of casual</t>
  </si>
  <si>
    <t>Sum of registered</t>
  </si>
  <si>
    <t>User Type</t>
  </si>
  <si>
    <t>Evening Peak</t>
  </si>
  <si>
    <t>Morning Peak</t>
  </si>
  <si>
    <t>Off Peak</t>
  </si>
  <si>
    <t>Low</t>
  </si>
  <si>
    <t>Medium</t>
  </si>
  <si>
    <t>Bike Sharing Demand Analysis Dashboard</t>
  </si>
  <si>
    <t>Average Rentals</t>
  </si>
  <si>
    <t>Registered Users</t>
  </si>
  <si>
    <t>Casual Users</t>
  </si>
  <si>
    <t>A</t>
  </si>
  <si>
    <t>B</t>
  </si>
  <si>
    <t>KPI SUMMARY</t>
  </si>
  <si>
    <t>WEATHER SUMMARY</t>
  </si>
  <si>
    <t>PEAK HOUR SUMMARY</t>
  </si>
  <si>
    <t>Category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</si>
</sst>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36"/>
      <color theme="0"/>
      <name val="Cambria"/>
      <family val="1"/>
      <scheme val="major"/>
    </font>
    <font>
      <sz val="3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31">
    <xf numFmtId="0" fontId="0" fillId="0" borderId="0" xfId="0"/>
    <xf numFmtId="0" fontId="4" fillId="0" borderId="3" xfId="0" applyFont="1" applyBorder="1" applyAlignment="1">
      <alignment horizontal="right" wrapText="1"/>
    </xf>
    <xf numFmtId="14" fontId="4" fillId="0" borderId="3" xfId="0" applyNumberFormat="1" applyFont="1" applyBorder="1" applyAlignment="1">
      <alignment horizontal="right" wrapText="1"/>
    </xf>
    <xf numFmtId="0" fontId="4" fillId="0" borderId="3" xfId="0" applyFont="1" applyBorder="1" applyAlignment="1">
      <alignment horizontal="center" wrapText="1"/>
    </xf>
    <xf numFmtId="14" fontId="0" fillId="0" borderId="0" xfId="0" applyNumberFormat="1"/>
    <xf numFmtId="0" fontId="0" fillId="0" borderId="3" xfId="0" applyBorder="1" applyAlignment="1">
      <alignment wrapText="1"/>
    </xf>
    <xf numFmtId="0" fontId="0" fillId="0" borderId="3" xfId="0" applyBorder="1" applyAlignment="1">
      <alignment horizontal="right" wrapText="1"/>
    </xf>
    <xf numFmtId="2" fontId="4" fillId="0" borderId="3" xfId="0" applyNumberFormat="1" applyFont="1" applyBorder="1" applyAlignment="1">
      <alignment horizontal="right" wrapText="1"/>
    </xf>
    <xf numFmtId="2" fontId="0" fillId="0" borderId="0" xfId="0" applyNumberFormat="1"/>
    <xf numFmtId="1" fontId="0" fillId="0" borderId="0" xfId="0" applyNumberFormat="1"/>
    <xf numFmtId="0" fontId="3" fillId="0" borderId="0" xfId="0" applyFont="1"/>
    <xf numFmtId="0" fontId="6" fillId="0" borderId="0" xfId="0" applyNumberFormat="1" applyFont="1" applyAlignment="1">
      <alignment vertical="center"/>
    </xf>
    <xf numFmtId="0" fontId="5" fillId="0" borderId="3" xfId="0" applyNumberFormat="1" applyFont="1" applyBorder="1" applyAlignment="1">
      <alignment vertical="center"/>
    </xf>
    <xf numFmtId="0" fontId="5" fillId="0" borderId="4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7" fillId="4" borderId="2" xfId="2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1" xfId="1"/>
    <xf numFmtId="2" fontId="1" fillId="2" borderId="1" xfId="1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4" fillId="0" borderId="3" xfId="0" applyFont="1" applyBorder="1" applyAlignment="1">
      <alignment vertical="center" wrapText="1"/>
    </xf>
    <xf numFmtId="14" fontId="4" fillId="0" borderId="3" xfId="0" applyNumberFormat="1" applyFont="1" applyBorder="1" applyAlignment="1">
      <alignment vertical="center" wrapText="1"/>
    </xf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</cellXfs>
  <cellStyles count="3">
    <cellStyle name="Check Cell" xfId="2" builtinId="23"/>
    <cellStyle name="Normal" xfId="0" builtinId="0"/>
    <cellStyle name="Output" xfId="1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pivotSource>
    <c:name>[Bike_Sharing_Demand_Analysis.xlsm]Pivot_Tables!PivotTable1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Monthly Bike Rentals</a:t>
            </a:r>
          </a:p>
        </c:rich>
      </c:tx>
      <c:layout/>
    </c:title>
    <c:pivotFmts>
      <c:pivotFmt>
        <c:idx val="0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Pivot_Tables!$A$2:$A$3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Pivot_Tables!$B$2:$B$3</c:f>
              <c:numCache>
                <c:formatCode>General</c:formatCode>
                <c:ptCount val="1"/>
                <c:pt idx="0">
                  <c:v>33898</c:v>
                </c:pt>
              </c:numCache>
            </c:numRef>
          </c:val>
        </c:ser>
        <c:axId val="185278848"/>
        <c:axId val="185280384"/>
      </c:barChart>
      <c:catAx>
        <c:axId val="185278848"/>
        <c:scaling>
          <c:orientation val="minMax"/>
        </c:scaling>
        <c:axPos val="b"/>
        <c:tickLblPos val="nextTo"/>
        <c:crossAx val="185280384"/>
        <c:crosses val="autoZero"/>
        <c:auto val="1"/>
        <c:lblAlgn val="ctr"/>
        <c:lblOffset val="100"/>
      </c:catAx>
      <c:valAx>
        <c:axId val="185280384"/>
        <c:scaling>
          <c:orientation val="minMax"/>
        </c:scaling>
        <c:axPos val="l"/>
        <c:majorGridlines/>
        <c:numFmt formatCode="General" sourceLinked="1"/>
        <c:tickLblPos val="nextTo"/>
        <c:crossAx val="185278848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pivotSource>
    <c:name>[Bike_Sharing_Demand_Analysis.xlsm]Pivot_Tables!PivotTable2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Bike</a:t>
            </a:r>
            <a:r>
              <a:rPr lang="en-US" baseline="0"/>
              <a:t> Rentals By Hour</a:t>
            </a:r>
            <a:endParaRPr lang="en-US"/>
          </a:p>
        </c:rich>
      </c:tx>
      <c:layout/>
    </c:title>
    <c:pivotFmts>
      <c:pivotFmt>
        <c:idx val="0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Pivot_Tables!$B$12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Pivot_Tables!$A$13:$A$37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Pivot_Tables!$B$13:$B$37</c:f>
              <c:numCache>
                <c:formatCode>General</c:formatCode>
                <c:ptCount val="24"/>
                <c:pt idx="0">
                  <c:v>370</c:v>
                </c:pt>
                <c:pt idx="1">
                  <c:v>239</c:v>
                </c:pt>
                <c:pt idx="2">
                  <c:v>170</c:v>
                </c:pt>
                <c:pt idx="3">
                  <c:v>76</c:v>
                </c:pt>
                <c:pt idx="4">
                  <c:v>38</c:v>
                </c:pt>
                <c:pt idx="5">
                  <c:v>95</c:v>
                </c:pt>
                <c:pt idx="6">
                  <c:v>476</c:v>
                </c:pt>
                <c:pt idx="7">
                  <c:v>1393</c:v>
                </c:pt>
                <c:pt idx="8">
                  <c:v>3318</c:v>
                </c:pt>
                <c:pt idx="9">
                  <c:v>2196</c:v>
                </c:pt>
                <c:pt idx="10">
                  <c:v>1301</c:v>
                </c:pt>
                <c:pt idx="11">
                  <c:v>1455</c:v>
                </c:pt>
                <c:pt idx="12">
                  <c:v>1936</c:v>
                </c:pt>
                <c:pt idx="13">
                  <c:v>2015</c:v>
                </c:pt>
                <c:pt idx="14">
                  <c:v>1827</c:v>
                </c:pt>
                <c:pt idx="15">
                  <c:v>1934</c:v>
                </c:pt>
                <c:pt idx="16">
                  <c:v>2200</c:v>
                </c:pt>
                <c:pt idx="17">
                  <c:v>3550</c:v>
                </c:pt>
                <c:pt idx="18">
                  <c:v>3082</c:v>
                </c:pt>
                <c:pt idx="19">
                  <c:v>2213</c:v>
                </c:pt>
                <c:pt idx="20">
                  <c:v>1541</c:v>
                </c:pt>
                <c:pt idx="21">
                  <c:v>1075</c:v>
                </c:pt>
                <c:pt idx="22">
                  <c:v>838</c:v>
                </c:pt>
                <c:pt idx="23">
                  <c:v>560</c:v>
                </c:pt>
              </c:numCache>
            </c:numRef>
          </c:val>
        </c:ser>
        <c:axId val="131190784"/>
        <c:axId val="131192704"/>
      </c:barChart>
      <c:catAx>
        <c:axId val="131190784"/>
        <c:scaling>
          <c:orientation val="minMax"/>
        </c:scaling>
        <c:axPos val="b"/>
        <c:tickLblPos val="nextTo"/>
        <c:crossAx val="131192704"/>
        <c:crosses val="autoZero"/>
        <c:auto val="1"/>
        <c:lblAlgn val="ctr"/>
        <c:lblOffset val="100"/>
      </c:catAx>
      <c:valAx>
        <c:axId val="131192704"/>
        <c:scaling>
          <c:orientation val="minMax"/>
        </c:scaling>
        <c:axPos val="l"/>
        <c:majorGridlines/>
        <c:numFmt formatCode="General" sourceLinked="1"/>
        <c:tickLblPos val="nextTo"/>
        <c:crossAx val="13119078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pivotSource>
    <c:name>[Bike_Sharing_Demand_Analysis.xlsm]Pivot_Tables!PivotTable3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baseline="0"/>
              <a:t>Weather Impact On Bike Rentals</a:t>
            </a:r>
            <a:endParaRPr lang="en-US"/>
          </a:p>
        </c:rich>
      </c:tx>
      <c:layout/>
    </c:title>
    <c:pivotFmts>
      <c:pivotFmt>
        <c:idx val="0"/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Pivot_Tables!$B$42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Pivot_Tables!$A$43:$A$47</c:f>
              <c:strCache>
                <c:ptCount val="4"/>
                <c:pt idx="0">
                  <c:v>Clear</c:v>
                </c:pt>
                <c:pt idx="1">
                  <c:v>Heavy Rain</c:v>
                </c:pt>
                <c:pt idx="2">
                  <c:v>Light Rain</c:v>
                </c:pt>
                <c:pt idx="3">
                  <c:v>Mist</c:v>
                </c:pt>
              </c:strCache>
            </c:strRef>
          </c:cat>
          <c:val>
            <c:numRef>
              <c:f>Pivot_Tables!$B$43:$B$47</c:f>
              <c:numCache>
                <c:formatCode>General</c:formatCode>
                <c:ptCount val="4"/>
                <c:pt idx="0">
                  <c:v>21973</c:v>
                </c:pt>
                <c:pt idx="1">
                  <c:v>36</c:v>
                </c:pt>
                <c:pt idx="2">
                  <c:v>1463</c:v>
                </c:pt>
                <c:pt idx="3">
                  <c:v>10426</c:v>
                </c:pt>
              </c:numCache>
            </c:numRef>
          </c:val>
        </c:ser>
        <c:dLbls/>
        <c:axId val="168553472"/>
        <c:axId val="168555648"/>
      </c:barChart>
      <c:catAx>
        <c:axId val="168553472"/>
        <c:scaling>
          <c:orientation val="minMax"/>
        </c:scaling>
        <c:axPos val="l"/>
        <c:majorTickMark val="none"/>
        <c:tickLblPos val="nextTo"/>
        <c:crossAx val="168555648"/>
        <c:crosses val="autoZero"/>
        <c:auto val="1"/>
        <c:lblAlgn val="ctr"/>
        <c:lblOffset val="100"/>
      </c:catAx>
      <c:valAx>
        <c:axId val="168555648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1685534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6"/>
  <c:pivotSource>
    <c:name>[Bike_Sharing_Demand_Analysis.xlsm]Pivot_Tables!PivotTable4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User Distribution</a:t>
            </a:r>
          </a:p>
        </c:rich>
      </c:tx>
      <c:layout/>
    </c:title>
    <c:pivotFmts>
      <c:pivotFmt>
        <c:idx val="0"/>
        <c:dLbl>
          <c:idx val="0"/>
          <c:layout/>
          <c:showPercent val="1"/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Pivot_Tables!$B$56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Pivot_Tables!$A$57:$A$58</c:f>
              <c:strCache>
                <c:ptCount val="2"/>
                <c:pt idx="0">
                  <c:v>Sum of casual</c:v>
                </c:pt>
                <c:pt idx="1">
                  <c:v>Sum of registered</c:v>
                </c:pt>
              </c:strCache>
            </c:strRef>
          </c:cat>
          <c:val>
            <c:numRef>
              <c:f>Pivot_Tables!$B$57:$B$58</c:f>
              <c:numCache>
                <c:formatCode>General</c:formatCode>
                <c:ptCount val="2"/>
                <c:pt idx="0">
                  <c:v>2746</c:v>
                </c:pt>
                <c:pt idx="1">
                  <c:v>31152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t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pivotSource>
    <c:name>[Bike_Sharing_Demand_Analysis.xlsm]Pivot_Tables!PivotTable5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Peak</a:t>
            </a:r>
            <a:r>
              <a:rPr lang="en-US" baseline="0"/>
              <a:t> Hour Demand</a:t>
            </a:r>
            <a:endParaRPr lang="en-US"/>
          </a:p>
        </c:rich>
      </c:tx>
      <c:layout/>
    </c:title>
    <c:pivotFmts>
      <c:pivotFmt>
        <c:idx val="0"/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Pivot_Tables!$B$70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Pivot_Tables!$A$71:$A$74</c:f>
              <c:strCache>
                <c:ptCount val="3"/>
                <c:pt idx="0">
                  <c:v>Evening Peak</c:v>
                </c:pt>
                <c:pt idx="1">
                  <c:v>Morning Peak</c:v>
                </c:pt>
                <c:pt idx="2">
                  <c:v>Off Peak</c:v>
                </c:pt>
              </c:strCache>
            </c:strRef>
          </c:cat>
          <c:val>
            <c:numRef>
              <c:f>Pivot_Tables!$B$71:$B$74</c:f>
              <c:numCache>
                <c:formatCode>General</c:formatCode>
                <c:ptCount val="3"/>
                <c:pt idx="0">
                  <c:v>10386</c:v>
                </c:pt>
                <c:pt idx="1">
                  <c:v>6907</c:v>
                </c:pt>
                <c:pt idx="2">
                  <c:v>16605</c:v>
                </c:pt>
              </c:numCache>
            </c:numRef>
          </c:val>
        </c:ser>
        <c:dLbls>
          <c:showVal val="1"/>
        </c:dLbls>
        <c:overlap val="-25"/>
        <c:axId val="242779264"/>
        <c:axId val="252274560"/>
      </c:barChart>
      <c:catAx>
        <c:axId val="242779264"/>
        <c:scaling>
          <c:orientation val="minMax"/>
        </c:scaling>
        <c:axPos val="b"/>
        <c:majorTickMark val="none"/>
        <c:tickLblPos val="nextTo"/>
        <c:crossAx val="252274560"/>
        <c:crosses val="autoZero"/>
        <c:auto val="1"/>
        <c:lblAlgn val="ctr"/>
        <c:lblOffset val="100"/>
      </c:catAx>
      <c:valAx>
        <c:axId val="252274560"/>
        <c:scaling>
          <c:orientation val="minMax"/>
        </c:scaling>
        <c:delete val="1"/>
        <c:axPos val="l"/>
        <c:numFmt formatCode="General" sourceLinked="1"/>
        <c:majorTickMark val="none"/>
        <c:tickLblPos val="nextTo"/>
        <c:crossAx val="24277926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pivotSource>
    <c:name>[Bike_Sharing_Demand_Analysis.xlsm]Pivot_Tables!PivotTable6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Rentals By Temperature</a:t>
            </a:r>
          </a:p>
        </c:rich>
      </c:tx>
      <c:layout/>
    </c:title>
    <c:pivotFmts>
      <c:pivotFmt>
        <c:idx val="0"/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Pivot_Tables!$B$84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Pivot_Tables!$A$85:$A$87</c:f>
              <c:strCache>
                <c:ptCount val="2"/>
                <c:pt idx="0">
                  <c:v>Low</c:v>
                </c:pt>
                <c:pt idx="1">
                  <c:v>Medium</c:v>
                </c:pt>
              </c:strCache>
            </c:strRef>
          </c:cat>
          <c:val>
            <c:numRef>
              <c:f>Pivot_Tables!$B$85:$B$87</c:f>
              <c:numCache>
                <c:formatCode>General</c:formatCode>
                <c:ptCount val="2"/>
                <c:pt idx="0">
                  <c:v>28839</c:v>
                </c:pt>
                <c:pt idx="1">
                  <c:v>5059</c:v>
                </c:pt>
              </c:numCache>
            </c:numRef>
          </c:val>
        </c:ser>
        <c:axId val="191472768"/>
        <c:axId val="191477632"/>
      </c:barChart>
      <c:catAx>
        <c:axId val="191472768"/>
        <c:scaling>
          <c:orientation val="minMax"/>
        </c:scaling>
        <c:axPos val="l"/>
        <c:tickLblPos val="nextTo"/>
        <c:crossAx val="191477632"/>
        <c:crosses val="autoZero"/>
        <c:auto val="1"/>
        <c:lblAlgn val="ctr"/>
        <c:lblOffset val="100"/>
      </c:catAx>
      <c:valAx>
        <c:axId val="191477632"/>
        <c:scaling>
          <c:orientation val="minMax"/>
        </c:scaling>
        <c:axPos val="b"/>
        <c:majorGridlines/>
        <c:numFmt formatCode="General" sourceLinked="1"/>
        <c:tickLblPos val="nextTo"/>
        <c:crossAx val="191472768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Monthly Bike Rentals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Pivot_Tables!$A$2:$A$3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Pivot_Tables!$B$2:$B$3</c:f>
              <c:numCache>
                <c:formatCode>General</c:formatCode>
                <c:ptCount val="1"/>
                <c:pt idx="0">
                  <c:v>33898</c:v>
                </c:pt>
              </c:numCache>
            </c:numRef>
          </c:val>
        </c:ser>
        <c:axId val="185477376"/>
        <c:axId val="185520512"/>
      </c:barChart>
      <c:catAx>
        <c:axId val="185477376"/>
        <c:scaling>
          <c:orientation val="minMax"/>
        </c:scaling>
        <c:axPos val="b"/>
        <c:tickLblPos val="nextTo"/>
        <c:crossAx val="185520512"/>
        <c:crosses val="autoZero"/>
        <c:auto val="1"/>
        <c:lblAlgn val="ctr"/>
        <c:lblOffset val="100"/>
      </c:catAx>
      <c:valAx>
        <c:axId val="185520512"/>
        <c:scaling>
          <c:orientation val="minMax"/>
        </c:scaling>
        <c:axPos val="l"/>
        <c:majorGridlines/>
        <c:numFmt formatCode="General" sourceLinked="1"/>
        <c:tickLblPos val="nextTo"/>
        <c:crossAx val="18547737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[Bike_Sharing_Demand_Analysis.xlsm]Pivot_Tables!PivotTable2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Bike Rentals By Hour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Pivot_Tables!$B$12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Pivot_Tables!$A$13:$A$37</c:f>
              <c:strCach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Pivot_Tables!$B$13:$B$37</c:f>
              <c:numCache>
                <c:formatCode>General</c:formatCode>
                <c:ptCount val="24"/>
                <c:pt idx="0">
                  <c:v>370</c:v>
                </c:pt>
                <c:pt idx="1">
                  <c:v>239</c:v>
                </c:pt>
                <c:pt idx="2">
                  <c:v>170</c:v>
                </c:pt>
                <c:pt idx="3">
                  <c:v>76</c:v>
                </c:pt>
                <c:pt idx="4">
                  <c:v>38</c:v>
                </c:pt>
                <c:pt idx="5">
                  <c:v>95</c:v>
                </c:pt>
                <c:pt idx="6">
                  <c:v>476</c:v>
                </c:pt>
                <c:pt idx="7">
                  <c:v>1393</c:v>
                </c:pt>
                <c:pt idx="8">
                  <c:v>3318</c:v>
                </c:pt>
                <c:pt idx="9">
                  <c:v>2196</c:v>
                </c:pt>
                <c:pt idx="10">
                  <c:v>1301</c:v>
                </c:pt>
                <c:pt idx="11">
                  <c:v>1455</c:v>
                </c:pt>
                <c:pt idx="12">
                  <c:v>1936</c:v>
                </c:pt>
                <c:pt idx="13">
                  <c:v>2015</c:v>
                </c:pt>
                <c:pt idx="14">
                  <c:v>1827</c:v>
                </c:pt>
                <c:pt idx="15">
                  <c:v>1934</c:v>
                </c:pt>
                <c:pt idx="16">
                  <c:v>2200</c:v>
                </c:pt>
                <c:pt idx="17">
                  <c:v>3550</c:v>
                </c:pt>
                <c:pt idx="18">
                  <c:v>3082</c:v>
                </c:pt>
                <c:pt idx="19">
                  <c:v>2213</c:v>
                </c:pt>
                <c:pt idx="20">
                  <c:v>1541</c:v>
                </c:pt>
                <c:pt idx="21">
                  <c:v>1075</c:v>
                </c:pt>
                <c:pt idx="22">
                  <c:v>838</c:v>
                </c:pt>
                <c:pt idx="23">
                  <c:v>560</c:v>
                </c:pt>
              </c:numCache>
            </c:numRef>
          </c:val>
        </c:ser>
        <c:axId val="175961984"/>
        <c:axId val="178393856"/>
      </c:barChart>
      <c:catAx>
        <c:axId val="175961984"/>
        <c:scaling>
          <c:orientation val="minMax"/>
        </c:scaling>
        <c:axPos val="b"/>
        <c:tickLblPos val="nextTo"/>
        <c:crossAx val="178393856"/>
        <c:crosses val="autoZero"/>
        <c:auto val="1"/>
        <c:lblAlgn val="ctr"/>
        <c:lblOffset val="100"/>
      </c:catAx>
      <c:valAx>
        <c:axId val="178393856"/>
        <c:scaling>
          <c:orientation val="minMax"/>
        </c:scaling>
        <c:axPos val="l"/>
        <c:majorGridlines/>
        <c:numFmt formatCode="General" sourceLinked="1"/>
        <c:tickLblPos val="nextTo"/>
        <c:crossAx val="175961984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[Bike_Sharing_Demand_Analysis.xlsm]Pivot_Tables!PivotTable3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Weather Impact On Bike Rentals</a:t>
            </a:r>
          </a:p>
        </c:rich>
      </c:tx>
      <c:layout/>
    </c:title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Pivot_Tables!$B$42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Pivot_Tables!$A$43:$A$47</c:f>
              <c:strCache>
                <c:ptCount val="4"/>
                <c:pt idx="0">
                  <c:v>Clear</c:v>
                </c:pt>
                <c:pt idx="1">
                  <c:v>Heavy Rain</c:v>
                </c:pt>
                <c:pt idx="2">
                  <c:v>Light Rain</c:v>
                </c:pt>
                <c:pt idx="3">
                  <c:v>Mist</c:v>
                </c:pt>
              </c:strCache>
            </c:strRef>
          </c:cat>
          <c:val>
            <c:numRef>
              <c:f>Pivot_Tables!$B$43:$B$47</c:f>
              <c:numCache>
                <c:formatCode>General</c:formatCode>
                <c:ptCount val="4"/>
                <c:pt idx="0">
                  <c:v>21973</c:v>
                </c:pt>
                <c:pt idx="1">
                  <c:v>36</c:v>
                </c:pt>
                <c:pt idx="2">
                  <c:v>1463</c:v>
                </c:pt>
                <c:pt idx="3">
                  <c:v>10426</c:v>
                </c:pt>
              </c:numCache>
            </c:numRef>
          </c:val>
        </c:ser>
        <c:axId val="244152576"/>
        <c:axId val="244155520"/>
      </c:barChart>
      <c:catAx>
        <c:axId val="244152576"/>
        <c:scaling>
          <c:orientation val="minMax"/>
        </c:scaling>
        <c:axPos val="l"/>
        <c:majorTickMark val="none"/>
        <c:tickLblPos val="nextTo"/>
        <c:crossAx val="244155520"/>
        <c:crosses val="autoZero"/>
        <c:auto val="1"/>
        <c:lblAlgn val="ctr"/>
        <c:lblOffset val="100"/>
      </c:catAx>
      <c:valAx>
        <c:axId val="244155520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24415257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[Bike_Sharing_Demand_Analysis.xlsm]Pivot_Tables!PivotTable4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User Distribution</a:t>
            </a:r>
          </a:p>
        </c:rich>
      </c:tx>
      <c:layout/>
    </c:title>
    <c:pivotFmts>
      <c:pivotFmt>
        <c:idx val="0"/>
        <c:dLbl>
          <c:idx val="0"/>
          <c:showPercent val="1"/>
        </c:dLbl>
      </c:pivotFmt>
      <c:pivotFmt>
        <c:idx val="1"/>
        <c:dLbl>
          <c:idx val="0"/>
          <c:showPercent val="1"/>
        </c:dLbl>
      </c:pivotFmt>
      <c:pivotFmt>
        <c:idx val="2"/>
        <c:dLbl>
          <c:idx val="0"/>
          <c:layout/>
          <c:showPercent val="1"/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Pivot_Tables!$B$56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Pivot_Tables!$A$57:$A$58</c:f>
              <c:strCache>
                <c:ptCount val="2"/>
                <c:pt idx="0">
                  <c:v>Sum of casual</c:v>
                </c:pt>
                <c:pt idx="1">
                  <c:v>Sum of registered</c:v>
                </c:pt>
              </c:strCache>
            </c:strRef>
          </c:cat>
          <c:val>
            <c:numRef>
              <c:f>Pivot_Tables!$B$57:$B$58</c:f>
              <c:numCache>
                <c:formatCode>General</c:formatCode>
                <c:ptCount val="2"/>
                <c:pt idx="0">
                  <c:v>2746</c:v>
                </c:pt>
                <c:pt idx="1">
                  <c:v>31152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t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Peak Hour Demand</a:t>
            </a:r>
          </a:p>
        </c:rich>
      </c:tx>
      <c:layout/>
    </c:title>
    <c:pivotFmts>
      <c:pivotFmt>
        <c:idx val="0"/>
        <c:dLbl>
          <c:idx val="0"/>
          <c:showVal val="1"/>
        </c:dLbl>
      </c:pivotFmt>
      <c:pivotFmt>
        <c:idx val="1"/>
        <c:dLbl>
          <c:idx val="0"/>
          <c:showVal val="1"/>
        </c:dLbl>
      </c:pivotFmt>
      <c:pivotFmt>
        <c:idx val="2"/>
        <c:dLbl>
          <c:idx val="0"/>
          <c:layout/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Pivot_Tables!$B$70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Pivot_Tables!$A$71:$A$74</c:f>
              <c:strCache>
                <c:ptCount val="3"/>
                <c:pt idx="0">
                  <c:v>Evening Peak</c:v>
                </c:pt>
                <c:pt idx="1">
                  <c:v>Morning Peak</c:v>
                </c:pt>
                <c:pt idx="2">
                  <c:v>Off Peak</c:v>
                </c:pt>
              </c:strCache>
            </c:strRef>
          </c:cat>
          <c:val>
            <c:numRef>
              <c:f>Pivot_Tables!$B$71:$B$74</c:f>
              <c:numCache>
                <c:formatCode>General</c:formatCode>
                <c:ptCount val="3"/>
                <c:pt idx="0">
                  <c:v>10386</c:v>
                </c:pt>
                <c:pt idx="1">
                  <c:v>6907</c:v>
                </c:pt>
                <c:pt idx="2">
                  <c:v>16605</c:v>
                </c:pt>
              </c:numCache>
            </c:numRef>
          </c:val>
        </c:ser>
        <c:dLbls>
          <c:showVal val="1"/>
        </c:dLbls>
        <c:overlap val="-25"/>
        <c:axId val="295730560"/>
        <c:axId val="293131392"/>
      </c:barChart>
      <c:catAx>
        <c:axId val="295730560"/>
        <c:scaling>
          <c:orientation val="minMax"/>
        </c:scaling>
        <c:axPos val="b"/>
        <c:majorTickMark val="none"/>
        <c:tickLblPos val="nextTo"/>
        <c:crossAx val="293131392"/>
        <c:crosses val="autoZero"/>
        <c:auto val="1"/>
        <c:lblAlgn val="ctr"/>
        <c:lblOffset val="100"/>
      </c:catAx>
      <c:valAx>
        <c:axId val="293131392"/>
        <c:scaling>
          <c:orientation val="minMax"/>
        </c:scaling>
        <c:delete val="1"/>
        <c:axPos val="l"/>
        <c:numFmt formatCode="General" sourceLinked="1"/>
        <c:majorTickMark val="none"/>
        <c:tickLblPos val="nextTo"/>
        <c:crossAx val="295730560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[Bike_Sharing_Demand_Analysis.xlsm]Pivot_Tables!PivotTable6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Rentals By Temperature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Pivot_Tables!$B$84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Pivot_Tables!$A$85:$A$87</c:f>
              <c:strCache>
                <c:ptCount val="2"/>
                <c:pt idx="0">
                  <c:v>Low</c:v>
                </c:pt>
                <c:pt idx="1">
                  <c:v>Medium</c:v>
                </c:pt>
              </c:strCache>
            </c:strRef>
          </c:cat>
          <c:val>
            <c:numRef>
              <c:f>Pivot_Tables!$B$85:$B$87</c:f>
              <c:numCache>
                <c:formatCode>General</c:formatCode>
                <c:ptCount val="2"/>
                <c:pt idx="0">
                  <c:v>28839</c:v>
                </c:pt>
                <c:pt idx="1">
                  <c:v>5059</c:v>
                </c:pt>
              </c:numCache>
            </c:numRef>
          </c:val>
        </c:ser>
        <c:axId val="284537984"/>
        <c:axId val="284540288"/>
      </c:barChart>
      <c:catAx>
        <c:axId val="284537984"/>
        <c:scaling>
          <c:orientation val="minMax"/>
        </c:scaling>
        <c:axPos val="l"/>
        <c:tickLblPos val="nextTo"/>
        <c:crossAx val="284540288"/>
        <c:crosses val="autoZero"/>
        <c:auto val="1"/>
        <c:lblAlgn val="ctr"/>
        <c:lblOffset val="100"/>
      </c:catAx>
      <c:valAx>
        <c:axId val="284540288"/>
        <c:scaling>
          <c:orientation val="minMax"/>
        </c:scaling>
        <c:axPos val="b"/>
        <c:majorGridlines/>
        <c:numFmt formatCode="General" sourceLinked="1"/>
        <c:tickLblPos val="nextTo"/>
        <c:crossAx val="284537984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47625</xdr:rowOff>
    </xdr:from>
    <xdr:to>
      <xdr:col>6</xdr:col>
      <xdr:colOff>228600</xdr:colOff>
      <xdr:row>9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</xdr:colOff>
      <xdr:row>11</xdr:row>
      <xdr:rowOff>9524</xdr:rowOff>
    </xdr:from>
    <xdr:to>
      <xdr:col>15</xdr:col>
      <xdr:colOff>9525</xdr:colOff>
      <xdr:row>35</xdr:row>
      <xdr:rowOff>190499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38</xdr:row>
      <xdr:rowOff>0</xdr:rowOff>
    </xdr:from>
    <xdr:to>
      <xdr:col>10</xdr:col>
      <xdr:colOff>304800</xdr:colOff>
      <xdr:row>52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55</xdr:row>
      <xdr:rowOff>13607</xdr:rowOff>
    </xdr:from>
    <xdr:to>
      <xdr:col>8</xdr:col>
      <xdr:colOff>340179</xdr:colOff>
      <xdr:row>65</xdr:row>
      <xdr:rowOff>176893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69</xdr:row>
      <xdr:rowOff>2</xdr:rowOff>
    </xdr:from>
    <xdr:to>
      <xdr:col>8</xdr:col>
      <xdr:colOff>598714</xdr:colOff>
      <xdr:row>79</xdr:row>
      <xdr:rowOff>136072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598715</xdr:colOff>
      <xdr:row>83</xdr:row>
      <xdr:rowOff>13607</xdr:rowOff>
    </xdr:from>
    <xdr:to>
      <xdr:col>9</xdr:col>
      <xdr:colOff>13607</xdr:colOff>
      <xdr:row>97</xdr:row>
      <xdr:rowOff>95250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8</xdr:row>
      <xdr:rowOff>38100</xdr:rowOff>
    </xdr:from>
    <xdr:to>
      <xdr:col>4</xdr:col>
      <xdr:colOff>409575</xdr:colOff>
      <xdr:row>20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133350</xdr:colOff>
      <xdr:row>7</xdr:row>
      <xdr:rowOff>180976</xdr:rowOff>
    </xdr:from>
    <xdr:to>
      <xdr:col>11</xdr:col>
      <xdr:colOff>504825</xdr:colOff>
      <xdr:row>20</xdr:row>
      <xdr:rowOff>9526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276225</xdr:colOff>
      <xdr:row>22</xdr:row>
      <xdr:rowOff>104776</xdr:rowOff>
    </xdr:from>
    <xdr:to>
      <xdr:col>4</xdr:col>
      <xdr:colOff>447676</xdr:colOff>
      <xdr:row>34</xdr:row>
      <xdr:rowOff>28576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180975</xdr:colOff>
      <xdr:row>22</xdr:row>
      <xdr:rowOff>104775</xdr:rowOff>
    </xdr:from>
    <xdr:to>
      <xdr:col>11</xdr:col>
      <xdr:colOff>552450</xdr:colOff>
      <xdr:row>34</xdr:row>
      <xdr:rowOff>47624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323850</xdr:colOff>
      <xdr:row>36</xdr:row>
      <xdr:rowOff>142874</xdr:rowOff>
    </xdr:from>
    <xdr:to>
      <xdr:col>4</xdr:col>
      <xdr:colOff>447675</xdr:colOff>
      <xdr:row>47</xdr:row>
      <xdr:rowOff>171449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190500</xdr:colOff>
      <xdr:row>36</xdr:row>
      <xdr:rowOff>171449</xdr:rowOff>
    </xdr:from>
    <xdr:to>
      <xdr:col>11</xdr:col>
      <xdr:colOff>590550</xdr:colOff>
      <xdr:row>47</xdr:row>
      <xdr:rowOff>161924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530678</xdr:colOff>
      <xdr:row>50</xdr:row>
      <xdr:rowOff>108857</xdr:rowOff>
    </xdr:from>
    <xdr:to>
      <xdr:col>9</xdr:col>
      <xdr:colOff>27215</xdr:colOff>
      <xdr:row>64</xdr:row>
      <xdr:rowOff>95251</xdr:rowOff>
    </xdr:to>
    <xdr:sp macro="" textlink="">
      <xdr:nvSpPr>
        <xdr:cNvPr id="10" name="TextBox 9"/>
        <xdr:cNvSpPr txBox="1"/>
      </xdr:nvSpPr>
      <xdr:spPr>
        <a:xfrm>
          <a:off x="3265714" y="10273393"/>
          <a:ext cx="4966608" cy="265339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/>
        <a:lstStyle/>
        <a:p>
          <a:pPr algn="ctr"/>
          <a:r>
            <a:rPr lang="en-US" sz="3200" b="1" i="1" u="sng">
              <a:solidFill>
                <a:schemeClr val="bg1"/>
              </a:solidFill>
              <a:latin typeface="+mj-lt"/>
            </a:rPr>
            <a:t>Key Insights</a:t>
          </a:r>
        </a:p>
        <a:p>
          <a:endParaRPr lang="en-US" sz="2000"/>
        </a:p>
        <a:p>
          <a:pPr algn="l"/>
          <a:r>
            <a:rPr lang="en-US" sz="2000">
              <a:solidFill>
                <a:srgbClr val="00B0F0"/>
              </a:solidFill>
              <a:latin typeface="+mj-lt"/>
            </a:rPr>
            <a:t>- Total Rentals</a:t>
          </a:r>
          <a:r>
            <a:rPr lang="en-US" sz="2000" baseline="0">
              <a:solidFill>
                <a:srgbClr val="00B0F0"/>
              </a:solidFill>
              <a:latin typeface="+mj-lt"/>
            </a:rPr>
            <a:t> : 33,898</a:t>
          </a:r>
        </a:p>
        <a:p>
          <a:pPr algn="l"/>
          <a:r>
            <a:rPr lang="en-US" sz="2000" baseline="0">
              <a:solidFill>
                <a:srgbClr val="00B0F0"/>
              </a:solidFill>
              <a:latin typeface="+mj-lt"/>
            </a:rPr>
            <a:t>- Registered users contribute 92% of rentals.</a:t>
          </a:r>
        </a:p>
        <a:p>
          <a:pPr algn="l"/>
          <a:r>
            <a:rPr lang="en-US" sz="2000" baseline="0">
              <a:solidFill>
                <a:srgbClr val="00B0F0"/>
              </a:solidFill>
              <a:latin typeface="+mj-lt"/>
            </a:rPr>
            <a:t>- Highest Demand occurs at 5 PM (17:00).</a:t>
          </a:r>
        </a:p>
        <a:p>
          <a:pPr algn="l"/>
          <a:r>
            <a:rPr lang="en-US" sz="2000" baseline="0">
              <a:solidFill>
                <a:srgbClr val="00B0F0"/>
              </a:solidFill>
              <a:latin typeface="+mj-lt"/>
            </a:rPr>
            <a:t>- Lowest Demand occurs at 3 AM &amp; 5AM.</a:t>
          </a:r>
        </a:p>
        <a:p>
          <a:pPr algn="l"/>
          <a:r>
            <a:rPr lang="en-US" sz="2000" baseline="0">
              <a:solidFill>
                <a:srgbClr val="00B0F0"/>
              </a:solidFill>
              <a:latin typeface="+mj-lt"/>
            </a:rPr>
            <a:t>- Clear weather records the highest usage.</a:t>
          </a:r>
          <a:endParaRPr lang="en-US" sz="2000">
            <a:solidFill>
              <a:srgbClr val="00B0F0"/>
            </a:solidFill>
            <a:latin typeface="+mj-lt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SUS" refreshedDate="46229.221910416665" createdVersion="3" refreshedVersion="3" minRefreshableVersion="3" recordCount="610">
  <cacheSource type="worksheet">
    <worksheetSource name="'Cleaned_Data Sheet'!$A$1:$Y$611"/>
  </cacheSource>
  <cacheFields count="25">
    <cacheField name="instant" numFmtId="0">
      <sharedItems containsSemiMixedTypes="0" containsString="0" containsNumber="1" containsInteger="1" minValue="1" maxValue="610"/>
    </cacheField>
    <cacheField name="dteday" numFmtId="14">
      <sharedItems containsSemiMixedTypes="0" containsNonDate="0" containsDate="1" containsString="0" minDate="2011-01-01T00:00:00" maxDate="2011-01-29T00:00:00"/>
    </cacheField>
    <cacheField name="season" numFmtId="0">
      <sharedItems containsSemiMixedTypes="0" containsString="0" containsNumber="1" containsInteger="1" minValue="1" maxValue="1"/>
    </cacheField>
    <cacheField name="yr" numFmtId="0">
      <sharedItems containsSemiMixedTypes="0" containsString="0" containsNumber="1" containsInteger="1" minValue="0" maxValue="0"/>
    </cacheField>
    <cacheField name="mnth" numFmtId="0">
      <sharedItems containsSemiMixedTypes="0" containsString="0" containsNumber="1" containsInteger="1" minValue="1" maxValue="1"/>
    </cacheField>
    <cacheField name="hr" numFmtId="0">
      <sharedItems containsSemiMixedTypes="0" containsString="0" containsNumber="1" containsInteger="1" minValue="0" maxValue="23"/>
    </cacheField>
    <cacheField name="holiday" numFmtId="0">
      <sharedItems/>
    </cacheField>
    <cacheField name="weekday" numFmtId="0">
      <sharedItems containsSemiMixedTypes="0" containsString="0" containsNumber="1" containsInteger="1" minValue="0" maxValue="6"/>
    </cacheField>
    <cacheField name="weathersit" numFmtId="0">
      <sharedItems containsSemiMixedTypes="0" containsString="0" containsNumber="1" containsInteger="1" minValue="1" maxValue="4"/>
    </cacheField>
    <cacheField name="temp" numFmtId="2">
      <sharedItems containsSemiMixedTypes="0" containsString="0" containsNumber="1" minValue="0.02" maxValue="0.46"/>
    </cacheField>
    <cacheField name="atemp" numFmtId="2">
      <sharedItems containsSemiMixedTypes="0" containsString="0" containsNumber="1" minValue="0" maxValue="0.45450000000000002"/>
    </cacheField>
    <cacheField name="hum" numFmtId="2">
      <sharedItems containsSemiMixedTypes="0" containsString="0" containsNumber="1" minValue="0.21" maxValue="1"/>
    </cacheField>
    <cacheField name="windspeed" numFmtId="2">
      <sharedItems containsSemiMixedTypes="0" containsString="0" containsNumber="1" minValue="0" maxValue="0.58209999999999995"/>
    </cacheField>
    <cacheField name="casual" numFmtId="1">
      <sharedItems containsSemiMixedTypes="0" containsString="0" containsNumber="1" containsInteger="1" minValue="0" maxValue="47"/>
    </cacheField>
    <cacheField name="registered" numFmtId="1">
      <sharedItems containsSemiMixedTypes="0" containsString="0" containsNumber="1" containsInteger="1" minValue="0" maxValue="247"/>
    </cacheField>
    <cacheField name="cnt" numFmtId="1">
      <sharedItems containsSemiMixedTypes="0" containsString="0" containsNumber="1" containsInteger="1" minValue="1" maxValue="249"/>
    </cacheField>
    <cacheField name="Check Total" numFmtId="0">
      <sharedItems/>
    </cacheField>
    <cacheField name="Month Name" numFmtId="0">
      <sharedItems count="1">
        <s v="January"/>
      </sharedItems>
    </cacheField>
    <cacheField name="Day Name" numFmtId="0">
      <sharedItems/>
    </cacheField>
    <cacheField name="Day Type" numFmtId="0">
      <sharedItems/>
    </cacheField>
    <cacheField name="Season Name" numFmtId="0">
      <sharedItems/>
    </cacheField>
    <cacheField name="Weather" numFmtId="0">
      <sharedItems/>
    </cacheField>
    <cacheField name="Peak Hours" numFmtId="0">
      <sharedItems/>
    </cacheField>
    <cacheField name="Temp Category" numFmtId="0">
      <sharedItems/>
    </cacheField>
    <cacheField name="Humidity Category" numFmtId="0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SUS" refreshedDate="46229.295799305553" createdVersion="3" refreshedVersion="3" minRefreshableVersion="3" recordCount="610">
  <cacheSource type="worksheet">
    <worksheetSource ref="A1:Y611" sheet="Cleaned_Data Sheet"/>
  </cacheSource>
  <cacheFields count="25">
    <cacheField name="instant" numFmtId="0">
      <sharedItems containsSemiMixedTypes="0" containsString="0" containsNumber="1" containsInteger="1" minValue="1" maxValue="610"/>
    </cacheField>
    <cacheField name="dteday" numFmtId="14">
      <sharedItems containsSemiMixedTypes="0" containsNonDate="0" containsDate="1" containsString="0" minDate="2011-01-01T00:00:00" maxDate="2011-01-29T00:00:00"/>
    </cacheField>
    <cacheField name="season" numFmtId="0">
      <sharedItems containsSemiMixedTypes="0" containsString="0" containsNumber="1" containsInteger="1" minValue="1" maxValue="1"/>
    </cacheField>
    <cacheField name="yr" numFmtId="0">
      <sharedItems containsSemiMixedTypes="0" containsString="0" containsNumber="1" containsInteger="1" minValue="0" maxValue="0"/>
    </cacheField>
    <cacheField name="mnth" numFmtId="0">
      <sharedItems containsSemiMixedTypes="0" containsString="0" containsNumber="1" containsInteger="1" minValue="1" maxValue="1"/>
    </cacheField>
    <cacheField name="hr" numFmtId="0">
      <sharedItems containsSemiMixedTypes="0" containsString="0" containsNumber="1" containsInteger="1" minValue="0" maxValue="23" count="2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</sharedItems>
    </cacheField>
    <cacheField name="holiday" numFmtId="0">
      <sharedItems/>
    </cacheField>
    <cacheField name="weekday" numFmtId="0">
      <sharedItems containsSemiMixedTypes="0" containsString="0" containsNumber="1" containsInteger="1" minValue="0" maxValue="6"/>
    </cacheField>
    <cacheField name="weathersit" numFmtId="0">
      <sharedItems containsSemiMixedTypes="0" containsString="0" containsNumber="1" containsInteger="1" minValue="1" maxValue="4"/>
    </cacheField>
    <cacheField name="temp" numFmtId="2">
      <sharedItems containsSemiMixedTypes="0" containsString="0" containsNumber="1" minValue="0.02" maxValue="0.46"/>
    </cacheField>
    <cacheField name="atemp" numFmtId="2">
      <sharedItems containsSemiMixedTypes="0" containsString="0" containsNumber="1" minValue="0" maxValue="0.45450000000000002"/>
    </cacheField>
    <cacheField name="hum" numFmtId="2">
      <sharedItems containsSemiMixedTypes="0" containsString="0" containsNumber="1" minValue="0.21" maxValue="1"/>
    </cacheField>
    <cacheField name="windspeed" numFmtId="2">
      <sharedItems containsSemiMixedTypes="0" containsString="0" containsNumber="1" minValue="0" maxValue="0.58209999999999995"/>
    </cacheField>
    <cacheField name="casual" numFmtId="1">
      <sharedItems containsSemiMixedTypes="0" containsString="0" containsNumber="1" containsInteger="1" minValue="0" maxValue="47"/>
    </cacheField>
    <cacheField name="registered" numFmtId="1">
      <sharedItems containsSemiMixedTypes="0" containsString="0" containsNumber="1" containsInteger="1" minValue="0" maxValue="247"/>
    </cacheField>
    <cacheField name="cnt" numFmtId="1">
      <sharedItems containsSemiMixedTypes="0" containsString="0" containsNumber="1" containsInteger="1" minValue="1" maxValue="249"/>
    </cacheField>
    <cacheField name="Check Total" numFmtId="0">
      <sharedItems/>
    </cacheField>
    <cacheField name="Month Name" numFmtId="0">
      <sharedItems/>
    </cacheField>
    <cacheField name="Day Name" numFmtId="0">
      <sharedItems/>
    </cacheField>
    <cacheField name="Day Type" numFmtId="0">
      <sharedItems/>
    </cacheField>
    <cacheField name="Season Name" numFmtId="0">
      <sharedItems/>
    </cacheField>
    <cacheField name="Weather" numFmtId="0">
      <sharedItems count="4">
        <s v="Clear"/>
        <s v="Mist"/>
        <s v="Light Rain"/>
        <s v="Heavy Rain"/>
      </sharedItems>
    </cacheField>
    <cacheField name="Peak Hours" numFmtId="0">
      <sharedItems/>
    </cacheField>
    <cacheField name="Temp Category" numFmtId="0">
      <sharedItems/>
    </cacheField>
    <cacheField name="Humidity Category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SUS" refreshedDate="46229.295799652777" createdVersion="3" refreshedVersion="3" minRefreshableVersion="3" recordCount="611">
  <cacheSource type="worksheet">
    <worksheetSource ref="A1:Y1048576" sheet="Cleaned_Data Sheet"/>
  </cacheSource>
  <cacheFields count="25">
    <cacheField name="instant" numFmtId="0">
      <sharedItems containsString="0" containsBlank="1" containsNumber="1" containsInteger="1" minValue="1" maxValue="610"/>
    </cacheField>
    <cacheField name="dteday" numFmtId="14">
      <sharedItems containsNonDate="0" containsDate="1" containsString="0" containsBlank="1" minDate="2011-01-01T00:00:00" maxDate="2011-01-29T00:00:00"/>
    </cacheField>
    <cacheField name="season" numFmtId="0">
      <sharedItems containsString="0" containsBlank="1" containsNumber="1" containsInteger="1" minValue="1" maxValue="1"/>
    </cacheField>
    <cacheField name="yr" numFmtId="0">
      <sharedItems containsString="0" containsBlank="1" containsNumber="1" containsInteger="1" minValue="0" maxValue="0"/>
    </cacheField>
    <cacheField name="mnth" numFmtId="0">
      <sharedItems containsString="0" containsBlank="1" containsNumber="1" containsInteger="1" minValue="1" maxValue="1"/>
    </cacheField>
    <cacheField name="hr" numFmtId="0">
      <sharedItems containsString="0" containsBlank="1" containsNumber="1" containsInteger="1" minValue="0" maxValue="23"/>
    </cacheField>
    <cacheField name="holiday" numFmtId="0">
      <sharedItems containsBlank="1"/>
    </cacheField>
    <cacheField name="weekday" numFmtId="0">
      <sharedItems containsString="0" containsBlank="1" containsNumber="1" containsInteger="1" minValue="0" maxValue="6"/>
    </cacheField>
    <cacheField name="weathersit" numFmtId="0">
      <sharedItems containsString="0" containsBlank="1" containsNumber="1" containsInteger="1" minValue="1" maxValue="4"/>
    </cacheField>
    <cacheField name="temp" numFmtId="2">
      <sharedItems containsString="0" containsBlank="1" containsNumber="1" minValue="0.02" maxValue="0.46"/>
    </cacheField>
    <cacheField name="atemp" numFmtId="2">
      <sharedItems containsString="0" containsBlank="1" containsNumber="1" minValue="0" maxValue="0.45450000000000002"/>
    </cacheField>
    <cacheField name="hum" numFmtId="2">
      <sharedItems containsString="0" containsBlank="1" containsNumber="1" minValue="0.21" maxValue="1"/>
    </cacheField>
    <cacheField name="windspeed" numFmtId="2">
      <sharedItems containsString="0" containsBlank="1" containsNumber="1" minValue="0" maxValue="0.58209999999999995"/>
    </cacheField>
    <cacheField name="casual" numFmtId="1">
      <sharedItems containsString="0" containsBlank="1" containsNumber="1" containsInteger="1" minValue="0" maxValue="47"/>
    </cacheField>
    <cacheField name="registered" numFmtId="1">
      <sharedItems containsString="0" containsBlank="1" containsNumber="1" containsInteger="1" minValue="0" maxValue="247"/>
    </cacheField>
    <cacheField name="cnt" numFmtId="1">
      <sharedItems containsString="0" containsBlank="1" containsNumber="1" containsInteger="1" minValue="1" maxValue="249"/>
    </cacheField>
    <cacheField name="Check Total" numFmtId="0">
      <sharedItems containsBlank="1"/>
    </cacheField>
    <cacheField name="Month Name" numFmtId="0">
      <sharedItems containsBlank="1"/>
    </cacheField>
    <cacheField name="Day Name" numFmtId="0">
      <sharedItems containsBlank="1"/>
    </cacheField>
    <cacheField name="Day Type" numFmtId="0">
      <sharedItems containsBlank="1"/>
    </cacheField>
    <cacheField name="Season Name" numFmtId="0">
      <sharedItems containsBlank="1"/>
    </cacheField>
    <cacheField name="Weather" numFmtId="0">
      <sharedItems containsBlank="1"/>
    </cacheField>
    <cacheField name="Peak Hours" numFmtId="0">
      <sharedItems containsBlank="1" count="4">
        <s v="Off Peak"/>
        <s v="Morning Peak"/>
        <s v="Evening Peak"/>
        <m/>
      </sharedItems>
    </cacheField>
    <cacheField name="Temp Category" numFmtId="0">
      <sharedItems containsBlank="1" count="3">
        <s v="Low"/>
        <s v="Medium"/>
        <m/>
      </sharedItems>
    </cacheField>
    <cacheField name="Humidity Category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0">
  <r>
    <n v="1"/>
    <d v="2011-01-01T00:00:00"/>
    <n v="1"/>
    <n v="0"/>
    <n v="1"/>
    <n v="0"/>
    <b v="0"/>
    <n v="6"/>
    <n v="1"/>
    <n v="0.24"/>
    <n v="0.28789999999999999"/>
    <n v="0.81"/>
    <n v="0"/>
    <n v="3"/>
    <n v="13"/>
    <n v="16"/>
    <b v="1"/>
    <x v="0"/>
    <s v="Saturday"/>
    <s v="Weekend"/>
    <s v="Spring"/>
    <s v="Clear"/>
    <s v="Off Peak"/>
    <s v="Low"/>
    <s v="High"/>
  </r>
  <r>
    <n v="2"/>
    <d v="2011-01-01T00:00:00"/>
    <n v="1"/>
    <n v="0"/>
    <n v="1"/>
    <n v="1"/>
    <b v="0"/>
    <n v="6"/>
    <n v="1"/>
    <n v="0.22"/>
    <n v="0.2727"/>
    <n v="0.8"/>
    <n v="0"/>
    <n v="8"/>
    <n v="32"/>
    <n v="40"/>
    <b v="1"/>
    <x v="0"/>
    <s v="Saturday"/>
    <s v="Weekend"/>
    <s v="Spring"/>
    <s v="Clear"/>
    <s v="Off Peak"/>
    <s v="Low"/>
    <s v="High"/>
  </r>
  <r>
    <n v="3"/>
    <d v="2011-01-01T00:00:00"/>
    <n v="1"/>
    <n v="0"/>
    <n v="1"/>
    <n v="2"/>
    <b v="0"/>
    <n v="6"/>
    <n v="1"/>
    <n v="0.22"/>
    <n v="0.2727"/>
    <n v="0.8"/>
    <n v="0"/>
    <n v="5"/>
    <n v="27"/>
    <n v="32"/>
    <b v="1"/>
    <x v="0"/>
    <s v="Saturday"/>
    <s v="Weekend"/>
    <s v="Spring"/>
    <s v="Clear"/>
    <s v="Off Peak"/>
    <s v="Low"/>
    <s v="High"/>
  </r>
  <r>
    <n v="4"/>
    <d v="2011-01-01T00:00:00"/>
    <n v="1"/>
    <n v="0"/>
    <n v="1"/>
    <n v="3"/>
    <b v="0"/>
    <n v="6"/>
    <n v="1"/>
    <n v="0.24"/>
    <n v="0.28789999999999999"/>
    <n v="0.75"/>
    <n v="0"/>
    <n v="3"/>
    <n v="10"/>
    <n v="13"/>
    <b v="1"/>
    <x v="0"/>
    <s v="Saturday"/>
    <s v="Weekend"/>
    <s v="Spring"/>
    <s v="Clear"/>
    <s v="Off Peak"/>
    <s v="Low"/>
    <s v="High"/>
  </r>
  <r>
    <n v="5"/>
    <d v="2011-01-01T00:00:00"/>
    <n v="1"/>
    <n v="0"/>
    <n v="1"/>
    <n v="4"/>
    <b v="0"/>
    <n v="6"/>
    <n v="1"/>
    <n v="0.24"/>
    <n v="0.28789999999999999"/>
    <n v="0.75"/>
    <n v="0"/>
    <n v="0"/>
    <n v="1"/>
    <n v="1"/>
    <b v="1"/>
    <x v="0"/>
    <s v="Saturday"/>
    <s v="Weekend"/>
    <s v="Spring"/>
    <s v="Clear"/>
    <s v="Off Peak"/>
    <s v="Low"/>
    <s v="High"/>
  </r>
  <r>
    <n v="6"/>
    <d v="2011-01-01T00:00:00"/>
    <n v="1"/>
    <n v="0"/>
    <n v="1"/>
    <n v="5"/>
    <b v="0"/>
    <n v="6"/>
    <n v="2"/>
    <n v="0.24"/>
    <n v="0.2576"/>
    <n v="0.75"/>
    <n v="8.9599999999999999E-2"/>
    <n v="0"/>
    <n v="1"/>
    <n v="1"/>
    <b v="1"/>
    <x v="0"/>
    <s v="Saturday"/>
    <s v="Weekend"/>
    <s v="Spring"/>
    <s v="Mist"/>
    <s v="Off Peak"/>
    <s v="Low"/>
    <s v="High"/>
  </r>
  <r>
    <n v="7"/>
    <d v="2011-01-01T00:00:00"/>
    <n v="1"/>
    <n v="0"/>
    <n v="1"/>
    <n v="6"/>
    <b v="0"/>
    <n v="6"/>
    <n v="1"/>
    <n v="0.22"/>
    <n v="0.2727"/>
    <n v="0.8"/>
    <n v="0"/>
    <n v="2"/>
    <n v="0"/>
    <n v="2"/>
    <b v="1"/>
    <x v="0"/>
    <s v="Saturday"/>
    <s v="Weekend"/>
    <s v="Spring"/>
    <s v="Clear"/>
    <s v="Off Peak"/>
    <s v="Low"/>
    <s v="High"/>
  </r>
  <r>
    <n v="8"/>
    <d v="2011-01-01T00:00:00"/>
    <n v="1"/>
    <n v="0"/>
    <n v="1"/>
    <n v="7"/>
    <b v="0"/>
    <n v="6"/>
    <n v="1"/>
    <n v="0.2"/>
    <n v="0.2576"/>
    <n v="0.86"/>
    <n v="0"/>
    <n v="1"/>
    <n v="2"/>
    <n v="3"/>
    <b v="1"/>
    <x v="0"/>
    <s v="Saturday"/>
    <s v="Weekend"/>
    <s v="Spring"/>
    <s v="Clear"/>
    <s v="Morning Peak"/>
    <s v="Low"/>
    <s v="High"/>
  </r>
  <r>
    <n v="9"/>
    <d v="2011-01-01T00:00:00"/>
    <n v="1"/>
    <n v="0"/>
    <n v="1"/>
    <n v="8"/>
    <b v="0"/>
    <n v="6"/>
    <n v="1"/>
    <n v="0.24"/>
    <n v="0"/>
    <n v="0.75"/>
    <n v="0"/>
    <n v="1"/>
    <n v="7"/>
    <n v="8"/>
    <b v="1"/>
    <x v="0"/>
    <s v="Saturday"/>
    <s v="Weekend"/>
    <s v="Spring"/>
    <s v="Clear"/>
    <s v="Morning Peak"/>
    <s v="Low"/>
    <s v="High"/>
  </r>
  <r>
    <n v="10"/>
    <d v="2011-01-01T00:00:00"/>
    <n v="1"/>
    <n v="0"/>
    <n v="1"/>
    <n v="9"/>
    <b v="0"/>
    <n v="6"/>
    <n v="1"/>
    <n v="0.32"/>
    <n v="0.34849999999999998"/>
    <n v="0.76"/>
    <n v="0"/>
    <n v="8"/>
    <n v="6"/>
    <n v="14"/>
    <b v="1"/>
    <x v="0"/>
    <s v="Saturday"/>
    <s v="Weekend"/>
    <s v="Spring"/>
    <s v="Clear"/>
    <s v="Morning Peak"/>
    <s v="Medium"/>
    <s v="High"/>
  </r>
  <r>
    <n v="11"/>
    <d v="2011-01-01T00:00:00"/>
    <n v="1"/>
    <n v="0"/>
    <n v="1"/>
    <n v="10"/>
    <b v="0"/>
    <n v="6"/>
    <n v="1"/>
    <n v="0.38"/>
    <n v="0.39389999999999997"/>
    <n v="0.76"/>
    <n v="0.25369999999999998"/>
    <n v="12"/>
    <n v="24"/>
    <n v="36"/>
    <b v="1"/>
    <x v="0"/>
    <s v="Saturday"/>
    <s v="Weekend"/>
    <s v="Spring"/>
    <s v="Clear"/>
    <s v="Off Peak"/>
    <s v="Medium"/>
    <s v="High"/>
  </r>
  <r>
    <n v="12"/>
    <d v="2011-01-01T00:00:00"/>
    <n v="1"/>
    <n v="0"/>
    <n v="1"/>
    <n v="11"/>
    <b v="0"/>
    <n v="6"/>
    <n v="1"/>
    <n v="0.36"/>
    <n v="0.33329999999999999"/>
    <n v="0.81"/>
    <n v="0.28360000000000002"/>
    <n v="26"/>
    <n v="30"/>
    <n v="56"/>
    <b v="1"/>
    <x v="0"/>
    <s v="Saturday"/>
    <s v="Weekend"/>
    <s v="Spring"/>
    <s v="Clear"/>
    <s v="Off Peak"/>
    <s v="Medium"/>
    <s v="High"/>
  </r>
  <r>
    <n v="13"/>
    <d v="2011-01-01T00:00:00"/>
    <n v="1"/>
    <n v="0"/>
    <n v="1"/>
    <n v="12"/>
    <b v="0"/>
    <n v="6"/>
    <n v="1"/>
    <n v="0.42"/>
    <n v="0.42420000000000002"/>
    <n v="0.77"/>
    <n v="0.28360000000000002"/>
    <n v="29"/>
    <n v="55"/>
    <n v="84"/>
    <b v="1"/>
    <x v="0"/>
    <s v="Saturday"/>
    <s v="Weekend"/>
    <s v="Spring"/>
    <s v="Clear"/>
    <s v="Off Peak"/>
    <s v="Medium"/>
    <s v="High"/>
  </r>
  <r>
    <n v="14"/>
    <d v="2011-01-01T00:00:00"/>
    <n v="1"/>
    <n v="0"/>
    <n v="1"/>
    <n v="13"/>
    <b v="0"/>
    <n v="6"/>
    <n v="2"/>
    <n v="0.46"/>
    <n v="0.45450000000000002"/>
    <n v="0.72"/>
    <n v="0.29849999999999999"/>
    <n v="47"/>
    <n v="47"/>
    <n v="94"/>
    <b v="1"/>
    <x v="0"/>
    <s v="Saturday"/>
    <s v="Weekend"/>
    <s v="Spring"/>
    <s v="Mist"/>
    <s v="Off Peak"/>
    <s v="Medium"/>
    <s v="High"/>
  </r>
  <r>
    <n v="15"/>
    <d v="2011-01-01T00:00:00"/>
    <n v="1"/>
    <n v="0"/>
    <n v="1"/>
    <n v="14"/>
    <b v="0"/>
    <n v="6"/>
    <n v="2"/>
    <n v="0.46"/>
    <n v="0.45450000000000002"/>
    <n v="0.72"/>
    <n v="0.28360000000000002"/>
    <n v="35"/>
    <n v="71"/>
    <n v="106"/>
    <b v="1"/>
    <x v="0"/>
    <s v="Saturday"/>
    <s v="Weekend"/>
    <s v="Spring"/>
    <s v="Mist"/>
    <s v="Off Peak"/>
    <s v="Medium"/>
    <s v="High"/>
  </r>
  <r>
    <n v="16"/>
    <d v="2011-01-01T00:00:00"/>
    <n v="1"/>
    <n v="0"/>
    <n v="1"/>
    <n v="15"/>
    <b v="0"/>
    <n v="6"/>
    <n v="2"/>
    <n v="0.44"/>
    <n v="0.43940000000000001"/>
    <n v="0.77"/>
    <n v="0.29849999999999999"/>
    <n v="40"/>
    <n v="70"/>
    <n v="110"/>
    <b v="1"/>
    <x v="0"/>
    <s v="Saturday"/>
    <s v="Weekend"/>
    <s v="Spring"/>
    <s v="Mist"/>
    <s v="Off Peak"/>
    <s v="Medium"/>
    <s v="High"/>
  </r>
  <r>
    <n v="17"/>
    <d v="2011-01-01T00:00:00"/>
    <n v="1"/>
    <n v="0"/>
    <n v="1"/>
    <n v="16"/>
    <b v="0"/>
    <n v="6"/>
    <n v="2"/>
    <n v="0.42"/>
    <n v="0.42420000000000002"/>
    <n v="0.82"/>
    <n v="0.29849999999999999"/>
    <n v="41"/>
    <n v="52"/>
    <n v="93"/>
    <b v="1"/>
    <x v="0"/>
    <s v="Saturday"/>
    <s v="Weekend"/>
    <s v="Spring"/>
    <s v="Mist"/>
    <s v="Off Peak"/>
    <s v="Medium"/>
    <s v="High"/>
  </r>
  <r>
    <n v="18"/>
    <d v="2011-01-01T00:00:00"/>
    <n v="1"/>
    <n v="0"/>
    <n v="1"/>
    <n v="17"/>
    <b v="0"/>
    <n v="6"/>
    <n v="2"/>
    <n v="0.44"/>
    <n v="0"/>
    <n v="0.82"/>
    <n v="0.28360000000000002"/>
    <n v="15"/>
    <n v="52"/>
    <n v="67"/>
    <b v="1"/>
    <x v="0"/>
    <s v="Saturday"/>
    <s v="Weekend"/>
    <s v="Spring"/>
    <s v="Mist"/>
    <s v="Evening Peak"/>
    <s v="Medium"/>
    <s v="High"/>
  </r>
  <r>
    <n v="19"/>
    <d v="2011-01-01T00:00:00"/>
    <n v="1"/>
    <n v="0"/>
    <n v="1"/>
    <n v="18"/>
    <b v="0"/>
    <n v="6"/>
    <n v="3"/>
    <n v="0.42"/>
    <n v="0.42420000000000002"/>
    <n v="0.88"/>
    <n v="0.25369999999999998"/>
    <n v="9"/>
    <n v="26"/>
    <n v="35"/>
    <b v="1"/>
    <x v="0"/>
    <s v="Saturday"/>
    <s v="Weekend"/>
    <s v="Spring"/>
    <s v="Light Rain"/>
    <s v="Evening Peak"/>
    <s v="Medium"/>
    <s v="High"/>
  </r>
  <r>
    <n v="20"/>
    <d v="2011-01-01T00:00:00"/>
    <n v="1"/>
    <n v="0"/>
    <n v="1"/>
    <n v="19"/>
    <b v="0"/>
    <n v="6"/>
    <n v="3"/>
    <n v="0.42"/>
    <n v="0.42420000000000002"/>
    <n v="0.88"/>
    <n v="0.25369999999999998"/>
    <n v="6"/>
    <n v="31"/>
    <n v="37"/>
    <b v="1"/>
    <x v="0"/>
    <s v="Saturday"/>
    <s v="Weekend"/>
    <s v="Spring"/>
    <s v="Light Rain"/>
    <s v="Evening Peak"/>
    <s v="Medium"/>
    <s v="High"/>
  </r>
  <r>
    <n v="21"/>
    <d v="2011-01-01T00:00:00"/>
    <n v="1"/>
    <n v="0"/>
    <n v="1"/>
    <n v="20"/>
    <b v="0"/>
    <n v="6"/>
    <n v="2"/>
    <n v="0.4"/>
    <n v="0.40910000000000002"/>
    <n v="0.87"/>
    <n v="0.25369999999999998"/>
    <n v="11"/>
    <n v="25"/>
    <n v="36"/>
    <b v="1"/>
    <x v="0"/>
    <s v="Saturday"/>
    <s v="Weekend"/>
    <s v="Spring"/>
    <s v="Mist"/>
    <s v="Evening Peak"/>
    <s v="Medium"/>
    <s v="High"/>
  </r>
  <r>
    <n v="22"/>
    <d v="2011-01-01T00:00:00"/>
    <n v="1"/>
    <n v="0"/>
    <n v="1"/>
    <n v="21"/>
    <b v="0"/>
    <n v="6"/>
    <n v="2"/>
    <n v="0.4"/>
    <n v="0.40910000000000002"/>
    <n v="0.87"/>
    <n v="0.19400000000000001"/>
    <n v="3"/>
    <n v="31"/>
    <n v="34"/>
    <b v="1"/>
    <x v="0"/>
    <s v="Saturday"/>
    <s v="Weekend"/>
    <s v="Spring"/>
    <s v="Mist"/>
    <s v="Off Peak"/>
    <s v="Medium"/>
    <s v="High"/>
  </r>
  <r>
    <n v="23"/>
    <d v="2011-01-01T00:00:00"/>
    <n v="1"/>
    <n v="0"/>
    <n v="1"/>
    <n v="22"/>
    <b v="0"/>
    <n v="6"/>
    <n v="2"/>
    <n v="0.4"/>
    <n v="0.40910000000000002"/>
    <n v="0.94"/>
    <n v="0.22389999999999999"/>
    <n v="11"/>
    <n v="17"/>
    <n v="28"/>
    <b v="1"/>
    <x v="0"/>
    <s v="Saturday"/>
    <s v="Weekend"/>
    <s v="Spring"/>
    <s v="Mist"/>
    <s v="Off Peak"/>
    <s v="Medium"/>
    <s v="High"/>
  </r>
  <r>
    <n v="24"/>
    <d v="2011-01-01T00:00:00"/>
    <n v="1"/>
    <n v="0"/>
    <n v="1"/>
    <n v="23"/>
    <b v="0"/>
    <n v="6"/>
    <n v="2"/>
    <n v="0.46"/>
    <n v="0"/>
    <n v="0.88"/>
    <n v="0.29849999999999999"/>
    <n v="15"/>
    <n v="24"/>
    <n v="39"/>
    <b v="1"/>
    <x v="0"/>
    <s v="Saturday"/>
    <s v="Weekend"/>
    <s v="Spring"/>
    <s v="Mist"/>
    <s v="Off Peak"/>
    <s v="Medium"/>
    <s v="High"/>
  </r>
  <r>
    <n v="25"/>
    <d v="2011-01-02T00:00:00"/>
    <n v="1"/>
    <n v="0"/>
    <n v="1"/>
    <n v="0"/>
    <b v="0"/>
    <n v="0"/>
    <n v="2"/>
    <n v="0.46"/>
    <n v="0.45450000000000002"/>
    <n v="0.88"/>
    <n v="0.29849999999999999"/>
    <n v="4"/>
    <n v="13"/>
    <n v="17"/>
    <b v="1"/>
    <x v="0"/>
    <s v="Sunday"/>
    <s v="Weekend"/>
    <s v="Spring"/>
    <s v="Mist"/>
    <s v="Off Peak"/>
    <s v="Medium"/>
    <s v="High"/>
  </r>
  <r>
    <n v="26"/>
    <d v="2011-01-02T00:00:00"/>
    <n v="1"/>
    <n v="0"/>
    <n v="1"/>
    <n v="1"/>
    <b v="0"/>
    <n v="0"/>
    <n v="2"/>
    <n v="0.44"/>
    <n v="0.43940000000000001"/>
    <n v="0.94"/>
    <n v="0.25369999999999998"/>
    <n v="1"/>
    <n v="16"/>
    <n v="17"/>
    <b v="1"/>
    <x v="0"/>
    <s v="Sunday"/>
    <s v="Weekend"/>
    <s v="Spring"/>
    <s v="Mist"/>
    <s v="Off Peak"/>
    <s v="Medium"/>
    <s v="High"/>
  </r>
  <r>
    <n v="27"/>
    <d v="2011-01-02T00:00:00"/>
    <n v="1"/>
    <n v="0"/>
    <n v="1"/>
    <n v="2"/>
    <b v="0"/>
    <n v="0"/>
    <n v="2"/>
    <n v="0.42"/>
    <n v="0.42420000000000002"/>
    <n v="1"/>
    <n v="0.28360000000000002"/>
    <n v="1"/>
    <n v="8"/>
    <n v="9"/>
    <b v="1"/>
    <x v="0"/>
    <s v="Sunday"/>
    <s v="Weekend"/>
    <s v="Spring"/>
    <s v="Mist"/>
    <s v="Off Peak"/>
    <s v="Medium"/>
    <s v="High"/>
  </r>
  <r>
    <n v="28"/>
    <d v="2011-01-02T00:00:00"/>
    <n v="1"/>
    <n v="0"/>
    <n v="1"/>
    <n v="3"/>
    <b v="0"/>
    <n v="0"/>
    <n v="2"/>
    <n v="0.46"/>
    <n v="0.45450000000000002"/>
    <n v="0.94"/>
    <n v="0.19400000000000001"/>
    <n v="2"/>
    <n v="4"/>
    <n v="6"/>
    <b v="1"/>
    <x v="0"/>
    <s v="Sunday"/>
    <s v="Weekend"/>
    <s v="Spring"/>
    <s v="Mist"/>
    <s v="Off Peak"/>
    <s v="Medium"/>
    <s v="High"/>
  </r>
  <r>
    <n v="29"/>
    <d v="2011-01-02T00:00:00"/>
    <n v="1"/>
    <n v="0"/>
    <n v="1"/>
    <n v="4"/>
    <b v="0"/>
    <n v="0"/>
    <n v="2"/>
    <n v="0.46"/>
    <n v="0"/>
    <n v="0.94"/>
    <n v="0.19400000000000001"/>
    <n v="2"/>
    <n v="1"/>
    <n v="3"/>
    <b v="1"/>
    <x v="0"/>
    <s v="Sunday"/>
    <s v="Weekend"/>
    <s v="Spring"/>
    <s v="Mist"/>
    <s v="Off Peak"/>
    <s v="Medium"/>
    <s v="High"/>
  </r>
  <r>
    <n v="30"/>
    <d v="2011-01-02T00:00:00"/>
    <n v="1"/>
    <n v="0"/>
    <n v="1"/>
    <n v="6"/>
    <b v="0"/>
    <n v="0"/>
    <n v="3"/>
    <n v="0.42"/>
    <n v="0.42420000000000002"/>
    <n v="0.77"/>
    <n v="0.29849999999999999"/>
    <n v="0"/>
    <n v="2"/>
    <n v="2"/>
    <b v="1"/>
    <x v="0"/>
    <s v="Sunday"/>
    <s v="Weekend"/>
    <s v="Spring"/>
    <s v="Light Rain"/>
    <s v="Off Peak"/>
    <s v="Medium"/>
    <s v="High"/>
  </r>
  <r>
    <n v="31"/>
    <d v="2011-01-02T00:00:00"/>
    <n v="1"/>
    <n v="0"/>
    <n v="1"/>
    <n v="7"/>
    <b v="0"/>
    <n v="0"/>
    <n v="2"/>
    <n v="0.4"/>
    <n v="0.40910000000000002"/>
    <n v="0.76"/>
    <n v="0.19400000000000001"/>
    <n v="0"/>
    <n v="1"/>
    <n v="1"/>
    <b v="1"/>
    <x v="0"/>
    <s v="Sunday"/>
    <s v="Weekend"/>
    <s v="Spring"/>
    <s v="Mist"/>
    <s v="Morning Peak"/>
    <s v="Medium"/>
    <s v="High"/>
  </r>
  <r>
    <n v="32"/>
    <d v="2011-01-02T00:00:00"/>
    <n v="1"/>
    <n v="0"/>
    <n v="1"/>
    <n v="8"/>
    <b v="0"/>
    <n v="0"/>
    <n v="3"/>
    <n v="0.4"/>
    <n v="0.40910000000000002"/>
    <n v="0.71"/>
    <n v="0.22389999999999999"/>
    <n v="0"/>
    <n v="8"/>
    <n v="8"/>
    <b v="1"/>
    <x v="0"/>
    <s v="Sunday"/>
    <s v="Weekend"/>
    <s v="Spring"/>
    <s v="Light Rain"/>
    <s v="Morning Peak"/>
    <s v="Medium"/>
    <s v="High"/>
  </r>
  <r>
    <n v="33"/>
    <d v="2011-01-02T00:00:00"/>
    <n v="1"/>
    <n v="0"/>
    <n v="1"/>
    <n v="9"/>
    <b v="0"/>
    <n v="0"/>
    <n v="2"/>
    <n v="0.38"/>
    <n v="0"/>
    <n v="0.76"/>
    <n v="0.22389999999999999"/>
    <n v="1"/>
    <n v="19"/>
    <n v="20"/>
    <b v="1"/>
    <x v="0"/>
    <s v="Sunday"/>
    <s v="Weekend"/>
    <s v="Spring"/>
    <s v="Mist"/>
    <s v="Morning Peak"/>
    <s v="Medium"/>
    <s v="High"/>
  </r>
  <r>
    <n v="34"/>
    <d v="2011-01-02T00:00:00"/>
    <n v="1"/>
    <n v="0"/>
    <n v="1"/>
    <n v="10"/>
    <b v="0"/>
    <n v="0"/>
    <n v="2"/>
    <n v="0.36"/>
    <n v="0.34849999999999998"/>
    <n v="0.81"/>
    <n v="0.22389999999999999"/>
    <n v="7"/>
    <n v="46"/>
    <n v="53"/>
    <b v="1"/>
    <x v="0"/>
    <s v="Sunday"/>
    <s v="Weekend"/>
    <s v="Spring"/>
    <s v="Mist"/>
    <s v="Off Peak"/>
    <s v="Medium"/>
    <s v="High"/>
  </r>
  <r>
    <n v="35"/>
    <d v="2011-01-02T00:00:00"/>
    <n v="1"/>
    <n v="0"/>
    <n v="1"/>
    <n v="11"/>
    <b v="0"/>
    <n v="0"/>
    <n v="2"/>
    <n v="0.36"/>
    <n v="0.33329999999999999"/>
    <n v="0.71"/>
    <n v="0.25369999999999998"/>
    <n v="16"/>
    <n v="54"/>
    <n v="70"/>
    <b v="1"/>
    <x v="0"/>
    <s v="Sunday"/>
    <s v="Weekend"/>
    <s v="Spring"/>
    <s v="Mist"/>
    <s v="Off Peak"/>
    <s v="Medium"/>
    <s v="High"/>
  </r>
  <r>
    <n v="36"/>
    <d v="2011-01-02T00:00:00"/>
    <n v="1"/>
    <n v="0"/>
    <n v="1"/>
    <n v="12"/>
    <b v="0"/>
    <n v="0"/>
    <n v="2"/>
    <n v="0.36"/>
    <n v="0.33329999999999999"/>
    <n v="0.66"/>
    <n v="0.29849999999999999"/>
    <n v="20"/>
    <n v="73"/>
    <n v="93"/>
    <b v="1"/>
    <x v="0"/>
    <s v="Sunday"/>
    <s v="Weekend"/>
    <s v="Spring"/>
    <s v="Mist"/>
    <s v="Off Peak"/>
    <s v="Medium"/>
    <s v="Medium"/>
  </r>
  <r>
    <n v="37"/>
    <d v="2011-01-02T00:00:00"/>
    <n v="1"/>
    <n v="0"/>
    <n v="1"/>
    <n v="13"/>
    <b v="0"/>
    <n v="0"/>
    <n v="2"/>
    <n v="0.36"/>
    <n v="0.34849999999999998"/>
    <n v="0.66"/>
    <n v="0.1343"/>
    <n v="11"/>
    <n v="64"/>
    <n v="75"/>
    <b v="1"/>
    <x v="0"/>
    <s v="Sunday"/>
    <s v="Weekend"/>
    <s v="Spring"/>
    <s v="Mist"/>
    <s v="Off Peak"/>
    <s v="Medium"/>
    <s v="Medium"/>
  </r>
  <r>
    <n v="38"/>
    <d v="2011-01-02T00:00:00"/>
    <n v="1"/>
    <n v="0"/>
    <n v="1"/>
    <n v="14"/>
    <b v="0"/>
    <n v="0"/>
    <n v="3"/>
    <n v="0.36"/>
    <n v="0"/>
    <n v="0.76"/>
    <n v="0.19400000000000001"/>
    <n v="4"/>
    <n v="55"/>
    <n v="59"/>
    <b v="1"/>
    <x v="0"/>
    <s v="Sunday"/>
    <s v="Weekend"/>
    <s v="Spring"/>
    <s v="Light Rain"/>
    <s v="Off Peak"/>
    <s v="Medium"/>
    <s v="High"/>
  </r>
  <r>
    <n v="39"/>
    <d v="2011-01-02T00:00:00"/>
    <n v="1"/>
    <n v="0"/>
    <n v="1"/>
    <n v="15"/>
    <b v="0"/>
    <n v="0"/>
    <n v="3"/>
    <n v="0.34"/>
    <n v="0.33329999999999999"/>
    <n v="0.81"/>
    <n v="0.16420000000000001"/>
    <n v="19"/>
    <n v="55"/>
    <n v="74"/>
    <b v="1"/>
    <x v="0"/>
    <s v="Sunday"/>
    <s v="Weekend"/>
    <s v="Spring"/>
    <s v="Light Rain"/>
    <s v="Off Peak"/>
    <s v="Medium"/>
    <s v="High"/>
  </r>
  <r>
    <n v="40"/>
    <d v="2011-01-02T00:00:00"/>
    <n v="1"/>
    <n v="0"/>
    <n v="1"/>
    <n v="16"/>
    <b v="0"/>
    <n v="0"/>
    <n v="3"/>
    <n v="0.34"/>
    <n v="0.33329999999999999"/>
    <n v="0.71"/>
    <n v="0.16420000000000001"/>
    <n v="9"/>
    <n v="67"/>
    <n v="76"/>
    <b v="1"/>
    <x v="0"/>
    <s v="Sunday"/>
    <s v="Weekend"/>
    <s v="Spring"/>
    <s v="Light Rain"/>
    <s v="Off Peak"/>
    <s v="Medium"/>
    <s v="High"/>
  </r>
  <r>
    <n v="41"/>
    <d v="2011-01-02T00:00:00"/>
    <n v="1"/>
    <n v="0"/>
    <n v="1"/>
    <n v="17"/>
    <b v="0"/>
    <n v="0"/>
    <n v="1"/>
    <n v="0.34"/>
    <n v="0.33329999999999999"/>
    <n v="0.56999999999999995"/>
    <n v="0.19400000000000001"/>
    <n v="7"/>
    <n v="58"/>
    <n v="65"/>
    <b v="1"/>
    <x v="0"/>
    <s v="Sunday"/>
    <s v="Weekend"/>
    <s v="Spring"/>
    <s v="Clear"/>
    <s v="Evening Peak"/>
    <s v="Medium"/>
    <s v="Medium"/>
  </r>
  <r>
    <n v="42"/>
    <d v="2011-01-02T00:00:00"/>
    <n v="1"/>
    <n v="0"/>
    <n v="1"/>
    <n v="18"/>
    <b v="0"/>
    <n v="0"/>
    <n v="2"/>
    <n v="0.36"/>
    <n v="0.33329999999999999"/>
    <n v="0.46"/>
    <n v="0.32840000000000003"/>
    <n v="10"/>
    <n v="43"/>
    <n v="53"/>
    <b v="1"/>
    <x v="0"/>
    <s v="Sunday"/>
    <s v="Weekend"/>
    <s v="Spring"/>
    <s v="Mist"/>
    <s v="Evening Peak"/>
    <s v="Medium"/>
    <s v="Medium"/>
  </r>
  <r>
    <n v="43"/>
    <d v="2011-01-02T00:00:00"/>
    <n v="1"/>
    <n v="0"/>
    <n v="1"/>
    <n v="19"/>
    <b v="0"/>
    <n v="0"/>
    <n v="1"/>
    <n v="0.32"/>
    <n v="0.28789999999999999"/>
    <n v="0.42"/>
    <n v="0.44779999999999998"/>
    <n v="1"/>
    <n v="29"/>
    <n v="30"/>
    <b v="1"/>
    <x v="0"/>
    <s v="Sunday"/>
    <s v="Weekend"/>
    <s v="Spring"/>
    <s v="Clear"/>
    <s v="Evening Peak"/>
    <s v="Medium"/>
    <s v="Medium"/>
  </r>
  <r>
    <n v="44"/>
    <d v="2011-01-02T00:00:00"/>
    <n v="1"/>
    <n v="0"/>
    <n v="1"/>
    <n v="20"/>
    <b v="0"/>
    <n v="0"/>
    <n v="1"/>
    <n v="0.3"/>
    <n v="0"/>
    <n v="0.39"/>
    <n v="0.35820000000000002"/>
    <n v="5"/>
    <n v="17"/>
    <n v="22"/>
    <b v="1"/>
    <x v="0"/>
    <s v="Sunday"/>
    <s v="Weekend"/>
    <s v="Spring"/>
    <s v="Clear"/>
    <s v="Evening Peak"/>
    <s v="Medium"/>
    <s v="Low"/>
  </r>
  <r>
    <n v="45"/>
    <d v="2011-01-02T00:00:00"/>
    <n v="1"/>
    <n v="0"/>
    <n v="1"/>
    <n v="21"/>
    <b v="0"/>
    <n v="0"/>
    <n v="1"/>
    <n v="0.26"/>
    <n v="0.2273"/>
    <n v="0.44"/>
    <n v="0.32840000000000003"/>
    <n v="11"/>
    <n v="20"/>
    <n v="31"/>
    <b v="1"/>
    <x v="0"/>
    <s v="Sunday"/>
    <s v="Weekend"/>
    <s v="Spring"/>
    <s v="Clear"/>
    <s v="Off Peak"/>
    <s v="Low"/>
    <s v="Medium"/>
  </r>
  <r>
    <n v="46"/>
    <d v="2011-01-02T00:00:00"/>
    <n v="1"/>
    <n v="0"/>
    <n v="1"/>
    <n v="22"/>
    <b v="0"/>
    <n v="0"/>
    <n v="1"/>
    <n v="0.24"/>
    <n v="0.21210000000000001"/>
    <n v="0.44"/>
    <n v="0.29849999999999999"/>
    <n v="0"/>
    <n v="9"/>
    <n v="9"/>
    <b v="1"/>
    <x v="0"/>
    <s v="Sunday"/>
    <s v="Weekend"/>
    <s v="Spring"/>
    <s v="Clear"/>
    <s v="Off Peak"/>
    <s v="Low"/>
    <s v="Medium"/>
  </r>
  <r>
    <n v="47"/>
    <d v="2011-01-02T00:00:00"/>
    <n v="1"/>
    <n v="0"/>
    <n v="1"/>
    <n v="23"/>
    <b v="0"/>
    <n v="0"/>
    <n v="1"/>
    <n v="0.22"/>
    <n v="0.2273"/>
    <n v="0.47"/>
    <n v="0.16420000000000001"/>
    <n v="0"/>
    <n v="8"/>
    <n v="8"/>
    <b v="1"/>
    <x v="0"/>
    <s v="Sunday"/>
    <s v="Weekend"/>
    <s v="Spring"/>
    <s v="Clear"/>
    <s v="Off Peak"/>
    <s v="Low"/>
    <s v="Medium"/>
  </r>
  <r>
    <n v="48"/>
    <d v="2011-01-03T00:00:00"/>
    <n v="1"/>
    <n v="0"/>
    <n v="1"/>
    <n v="0"/>
    <b v="0"/>
    <n v="1"/>
    <n v="1"/>
    <n v="0.22"/>
    <n v="0.19700000000000001"/>
    <n v="0.44"/>
    <n v="0.35820000000000002"/>
    <n v="0"/>
    <n v="5"/>
    <n v="5"/>
    <b v="1"/>
    <x v="0"/>
    <s v="Monday"/>
    <s v="Weekday"/>
    <s v="Spring"/>
    <s v="Clear"/>
    <s v="Off Peak"/>
    <s v="Low"/>
    <s v="Medium"/>
  </r>
  <r>
    <n v="49"/>
    <d v="2011-01-03T00:00:00"/>
    <n v="1"/>
    <n v="0"/>
    <n v="1"/>
    <n v="1"/>
    <b v="0"/>
    <n v="1"/>
    <n v="1"/>
    <n v="0.2"/>
    <n v="0"/>
    <n v="0.44"/>
    <n v="0.41789999999999999"/>
    <n v="0"/>
    <n v="2"/>
    <n v="2"/>
    <b v="1"/>
    <x v="0"/>
    <s v="Monday"/>
    <s v="Weekday"/>
    <s v="Spring"/>
    <s v="Clear"/>
    <s v="Off Peak"/>
    <s v="Low"/>
    <s v="Medium"/>
  </r>
  <r>
    <n v="50"/>
    <d v="2011-01-03T00:00:00"/>
    <n v="1"/>
    <n v="0"/>
    <n v="1"/>
    <n v="4"/>
    <b v="0"/>
    <n v="1"/>
    <n v="1"/>
    <n v="0.16"/>
    <n v="0.13639999999999999"/>
    <n v="0.47"/>
    <n v="0.3881"/>
    <n v="0"/>
    <n v="1"/>
    <n v="1"/>
    <b v="1"/>
    <x v="0"/>
    <s v="Monday"/>
    <s v="Weekday"/>
    <s v="Spring"/>
    <s v="Clear"/>
    <s v="Off Peak"/>
    <s v="Low"/>
    <s v="Medium"/>
  </r>
  <r>
    <n v="51"/>
    <d v="2011-01-03T00:00:00"/>
    <n v="1"/>
    <n v="0"/>
    <n v="1"/>
    <n v="5"/>
    <b v="0"/>
    <n v="1"/>
    <n v="1"/>
    <n v="0.16"/>
    <n v="0.13639999999999999"/>
    <n v="0.47"/>
    <n v="0.28360000000000002"/>
    <n v="0"/>
    <n v="3"/>
    <n v="3"/>
    <b v="1"/>
    <x v="0"/>
    <s v="Monday"/>
    <s v="Weekday"/>
    <s v="Spring"/>
    <s v="Clear"/>
    <s v="Off Peak"/>
    <s v="Low"/>
    <s v="Medium"/>
  </r>
  <r>
    <n v="52"/>
    <d v="2011-01-03T00:00:00"/>
    <n v="1"/>
    <n v="0"/>
    <n v="1"/>
    <n v="6"/>
    <b v="0"/>
    <n v="1"/>
    <n v="1"/>
    <n v="0.14000000000000001"/>
    <n v="0.1061"/>
    <n v="0.5"/>
    <n v="0.3881"/>
    <n v="0"/>
    <n v="30"/>
    <n v="30"/>
    <b v="1"/>
    <x v="0"/>
    <s v="Monday"/>
    <s v="Weekday"/>
    <s v="Spring"/>
    <s v="Clear"/>
    <s v="Off Peak"/>
    <s v="Low"/>
    <s v="Medium"/>
  </r>
  <r>
    <n v="53"/>
    <d v="2011-01-03T00:00:00"/>
    <n v="1"/>
    <n v="0"/>
    <n v="1"/>
    <n v="7"/>
    <b v="0"/>
    <n v="1"/>
    <n v="1"/>
    <n v="0.14000000000000001"/>
    <n v="0.13639999999999999"/>
    <n v="0.5"/>
    <n v="0.19400000000000001"/>
    <n v="1"/>
    <n v="63"/>
    <n v="64"/>
    <b v="1"/>
    <x v="0"/>
    <s v="Monday"/>
    <s v="Weekday"/>
    <s v="Spring"/>
    <s v="Clear"/>
    <s v="Morning Peak"/>
    <s v="Low"/>
    <s v="Medium"/>
  </r>
  <r>
    <n v="54"/>
    <d v="2011-01-03T00:00:00"/>
    <n v="1"/>
    <n v="0"/>
    <n v="1"/>
    <n v="8"/>
    <b v="0"/>
    <n v="1"/>
    <n v="1"/>
    <n v="0.14000000000000001"/>
    <n v="0.1212"/>
    <n v="0.5"/>
    <n v="0.28360000000000002"/>
    <n v="1"/>
    <n v="153"/>
    <n v="154"/>
    <b v="1"/>
    <x v="0"/>
    <s v="Monday"/>
    <s v="Weekday"/>
    <s v="Spring"/>
    <s v="Clear"/>
    <s v="Morning Peak"/>
    <s v="Low"/>
    <s v="Medium"/>
  </r>
  <r>
    <n v="55"/>
    <d v="2011-01-03T00:00:00"/>
    <n v="1"/>
    <n v="0"/>
    <n v="1"/>
    <n v="9"/>
    <b v="0"/>
    <n v="1"/>
    <n v="1"/>
    <n v="0.16"/>
    <n v="0.13639999999999999"/>
    <n v="0.43"/>
    <n v="0.3881"/>
    <n v="7"/>
    <n v="81"/>
    <n v="88"/>
    <b v="1"/>
    <x v="0"/>
    <s v="Monday"/>
    <s v="Weekday"/>
    <s v="Spring"/>
    <s v="Clear"/>
    <s v="Morning Peak"/>
    <s v="Low"/>
    <s v="Medium"/>
  </r>
  <r>
    <n v="56"/>
    <d v="2011-01-03T00:00:00"/>
    <n v="1"/>
    <n v="0"/>
    <n v="1"/>
    <n v="10"/>
    <b v="0"/>
    <n v="1"/>
    <n v="1"/>
    <n v="0.18"/>
    <n v="0.16669999999999999"/>
    <n v="0.43"/>
    <n v="0.25369999999999998"/>
    <n v="11"/>
    <n v="33"/>
    <n v="44"/>
    <b v="1"/>
    <x v="0"/>
    <s v="Monday"/>
    <s v="Weekday"/>
    <s v="Spring"/>
    <s v="Clear"/>
    <s v="Off Peak"/>
    <s v="Low"/>
    <s v="Medium"/>
  </r>
  <r>
    <n v="57"/>
    <d v="2011-01-03T00:00:00"/>
    <n v="1"/>
    <n v="0"/>
    <n v="1"/>
    <n v="11"/>
    <b v="0"/>
    <n v="1"/>
    <n v="1"/>
    <n v="0.2"/>
    <n v="0.18179999999999999"/>
    <n v="0.4"/>
    <n v="0.32840000000000003"/>
    <n v="10"/>
    <n v="41"/>
    <n v="51"/>
    <b v="1"/>
    <x v="0"/>
    <s v="Monday"/>
    <s v="Weekday"/>
    <s v="Spring"/>
    <s v="Clear"/>
    <s v="Off Peak"/>
    <s v="Low"/>
    <s v="Medium"/>
  </r>
  <r>
    <n v="58"/>
    <d v="2011-01-03T00:00:00"/>
    <n v="1"/>
    <n v="0"/>
    <n v="1"/>
    <n v="12"/>
    <b v="0"/>
    <n v="1"/>
    <n v="1"/>
    <n v="0.22"/>
    <n v="0.21210000000000001"/>
    <n v="0.35"/>
    <n v="0.29849999999999999"/>
    <n v="13"/>
    <n v="48"/>
    <n v="61"/>
    <b v="1"/>
    <x v="0"/>
    <s v="Monday"/>
    <s v="Weekday"/>
    <s v="Spring"/>
    <s v="Clear"/>
    <s v="Off Peak"/>
    <s v="Low"/>
    <s v="Low"/>
  </r>
  <r>
    <n v="59"/>
    <d v="2011-01-03T00:00:00"/>
    <n v="1"/>
    <n v="0"/>
    <n v="1"/>
    <n v="13"/>
    <b v="0"/>
    <n v="1"/>
    <n v="1"/>
    <n v="0.24"/>
    <n v="0"/>
    <n v="0.35"/>
    <n v="0.28360000000000002"/>
    <n v="8"/>
    <n v="53"/>
    <n v="61"/>
    <b v="1"/>
    <x v="0"/>
    <s v="Monday"/>
    <s v="Weekday"/>
    <s v="Spring"/>
    <s v="Clear"/>
    <s v="Off Peak"/>
    <s v="Low"/>
    <s v="Low"/>
  </r>
  <r>
    <n v="60"/>
    <d v="2011-01-03T00:00:00"/>
    <n v="1"/>
    <n v="0"/>
    <n v="1"/>
    <n v="14"/>
    <b v="0"/>
    <n v="1"/>
    <n v="1"/>
    <n v="0.26"/>
    <n v="0.2424"/>
    <n v="0.3"/>
    <n v="0.28360000000000002"/>
    <n v="11"/>
    <n v="66"/>
    <n v="77"/>
    <b v="1"/>
    <x v="0"/>
    <s v="Monday"/>
    <s v="Weekday"/>
    <s v="Spring"/>
    <s v="Clear"/>
    <s v="Off Peak"/>
    <s v="Low"/>
    <s v="Low"/>
  </r>
  <r>
    <n v="61"/>
    <d v="2011-01-03T00:00:00"/>
    <n v="1"/>
    <n v="0"/>
    <n v="1"/>
    <n v="15"/>
    <b v="0"/>
    <n v="1"/>
    <n v="1"/>
    <n v="0.26"/>
    <n v="0.2424"/>
    <n v="0.3"/>
    <n v="0.25369999999999998"/>
    <n v="14"/>
    <n v="58"/>
    <n v="72"/>
    <b v="1"/>
    <x v="0"/>
    <s v="Monday"/>
    <s v="Weekday"/>
    <s v="Spring"/>
    <s v="Clear"/>
    <s v="Off Peak"/>
    <s v="Low"/>
    <s v="Low"/>
  </r>
  <r>
    <n v="62"/>
    <d v="2011-01-03T00:00:00"/>
    <n v="1"/>
    <n v="0"/>
    <n v="1"/>
    <n v="16"/>
    <b v="0"/>
    <n v="1"/>
    <n v="1"/>
    <n v="0.26"/>
    <n v="0.2424"/>
    <n v="0.3"/>
    <n v="0.25369999999999998"/>
    <n v="9"/>
    <n v="67"/>
    <n v="76"/>
    <b v="1"/>
    <x v="0"/>
    <s v="Monday"/>
    <s v="Weekday"/>
    <s v="Spring"/>
    <s v="Clear"/>
    <s v="Off Peak"/>
    <s v="Low"/>
    <s v="Low"/>
  </r>
  <r>
    <n v="63"/>
    <d v="2011-01-03T00:00:00"/>
    <n v="1"/>
    <n v="0"/>
    <n v="1"/>
    <n v="17"/>
    <b v="0"/>
    <n v="1"/>
    <n v="1"/>
    <n v="0.24"/>
    <n v="0.2273"/>
    <n v="0.3"/>
    <n v="0.22389999999999999"/>
    <n v="11"/>
    <n v="146"/>
    <n v="157"/>
    <b v="1"/>
    <x v="0"/>
    <s v="Monday"/>
    <s v="Weekday"/>
    <s v="Spring"/>
    <s v="Clear"/>
    <s v="Evening Peak"/>
    <s v="Low"/>
    <s v="Low"/>
  </r>
  <r>
    <n v="64"/>
    <d v="2011-01-03T00:00:00"/>
    <n v="1"/>
    <n v="0"/>
    <n v="1"/>
    <n v="18"/>
    <b v="0"/>
    <n v="1"/>
    <n v="1"/>
    <n v="0.24"/>
    <n v="0.2576"/>
    <n v="0.32"/>
    <n v="0.1045"/>
    <n v="9"/>
    <n v="148"/>
    <n v="157"/>
    <b v="1"/>
    <x v="0"/>
    <s v="Monday"/>
    <s v="Weekday"/>
    <s v="Spring"/>
    <s v="Clear"/>
    <s v="Evening Peak"/>
    <s v="Low"/>
    <s v="Low"/>
  </r>
  <r>
    <n v="65"/>
    <d v="2011-01-03T00:00:00"/>
    <n v="1"/>
    <n v="0"/>
    <n v="1"/>
    <n v="19"/>
    <b v="0"/>
    <n v="1"/>
    <n v="1"/>
    <n v="0.2"/>
    <n v="0.2576"/>
    <n v="0.47"/>
    <n v="0"/>
    <n v="8"/>
    <n v="102"/>
    <n v="110"/>
    <b v="1"/>
    <x v="0"/>
    <s v="Monday"/>
    <s v="Weekday"/>
    <s v="Spring"/>
    <s v="Clear"/>
    <s v="Evening Peak"/>
    <s v="Low"/>
    <s v="Medium"/>
  </r>
  <r>
    <n v="66"/>
    <d v="2011-01-03T00:00:00"/>
    <n v="1"/>
    <n v="0"/>
    <n v="1"/>
    <n v="20"/>
    <b v="0"/>
    <n v="1"/>
    <n v="1"/>
    <n v="0.2"/>
    <n v="0"/>
    <n v="0.47"/>
    <n v="0.1045"/>
    <n v="3"/>
    <n v="49"/>
    <n v="52"/>
    <b v="1"/>
    <x v="0"/>
    <s v="Monday"/>
    <s v="Weekday"/>
    <s v="Spring"/>
    <s v="Clear"/>
    <s v="Evening Peak"/>
    <s v="Low"/>
    <s v="Medium"/>
  </r>
  <r>
    <n v="67"/>
    <d v="2011-01-03T00:00:00"/>
    <n v="1"/>
    <n v="0"/>
    <n v="1"/>
    <n v="21"/>
    <b v="0"/>
    <n v="1"/>
    <n v="1"/>
    <n v="0.18"/>
    <n v="0.19700000000000001"/>
    <n v="0.64"/>
    <n v="0.1343"/>
    <n v="3"/>
    <n v="49"/>
    <n v="52"/>
    <b v="1"/>
    <x v="0"/>
    <s v="Monday"/>
    <s v="Weekday"/>
    <s v="Spring"/>
    <s v="Clear"/>
    <s v="Off Peak"/>
    <s v="Low"/>
    <s v="Medium"/>
  </r>
  <r>
    <n v="68"/>
    <d v="2011-01-03T00:00:00"/>
    <n v="1"/>
    <n v="0"/>
    <n v="1"/>
    <n v="22"/>
    <b v="0"/>
    <n v="1"/>
    <n v="1"/>
    <n v="0.14000000000000001"/>
    <n v="0.1515"/>
    <n v="0.69"/>
    <n v="0.1343"/>
    <n v="0"/>
    <n v="20"/>
    <n v="20"/>
    <b v="1"/>
    <x v="0"/>
    <s v="Monday"/>
    <s v="Weekday"/>
    <s v="Spring"/>
    <s v="Clear"/>
    <s v="Off Peak"/>
    <s v="Low"/>
    <s v="Medium"/>
  </r>
  <r>
    <n v="69"/>
    <d v="2011-01-03T00:00:00"/>
    <n v="1"/>
    <n v="0"/>
    <n v="1"/>
    <n v="23"/>
    <b v="0"/>
    <n v="1"/>
    <n v="1"/>
    <n v="0.18"/>
    <n v="0.21210000000000001"/>
    <n v="0.55000000000000004"/>
    <n v="0.1045"/>
    <n v="1"/>
    <n v="11"/>
    <n v="12"/>
    <b v="1"/>
    <x v="0"/>
    <s v="Monday"/>
    <s v="Weekday"/>
    <s v="Spring"/>
    <s v="Clear"/>
    <s v="Off Peak"/>
    <s v="Low"/>
    <s v="Medium"/>
  </r>
  <r>
    <n v="70"/>
    <d v="2011-01-04T00:00:00"/>
    <n v="1"/>
    <n v="0"/>
    <n v="1"/>
    <n v="0"/>
    <b v="0"/>
    <n v="2"/>
    <n v="1"/>
    <n v="0.16"/>
    <n v="0"/>
    <n v="0.55000000000000004"/>
    <n v="0.1045"/>
    <n v="0"/>
    <n v="5"/>
    <n v="5"/>
    <b v="1"/>
    <x v="0"/>
    <s v="Tuesday"/>
    <s v="Weekday"/>
    <s v="Spring"/>
    <s v="Clear"/>
    <s v="Off Peak"/>
    <s v="Low"/>
    <s v="Medium"/>
  </r>
  <r>
    <n v="71"/>
    <d v="2011-01-04T00:00:00"/>
    <n v="1"/>
    <n v="0"/>
    <n v="1"/>
    <n v="1"/>
    <b v="0"/>
    <n v="2"/>
    <n v="1"/>
    <n v="0.16"/>
    <n v="0.18179999999999999"/>
    <n v="0.59"/>
    <n v="0.1045"/>
    <n v="0"/>
    <n v="2"/>
    <n v="2"/>
    <b v="1"/>
    <x v="0"/>
    <s v="Tuesday"/>
    <s v="Weekday"/>
    <s v="Spring"/>
    <s v="Clear"/>
    <s v="Off Peak"/>
    <s v="Low"/>
    <s v="Medium"/>
  </r>
  <r>
    <n v="72"/>
    <d v="2011-01-04T00:00:00"/>
    <n v="1"/>
    <n v="0"/>
    <n v="1"/>
    <n v="2"/>
    <b v="0"/>
    <n v="2"/>
    <n v="1"/>
    <n v="0.14000000000000001"/>
    <n v="0.1515"/>
    <n v="0.63"/>
    <n v="0.1343"/>
    <n v="0"/>
    <n v="1"/>
    <n v="1"/>
    <b v="1"/>
    <x v="0"/>
    <s v="Tuesday"/>
    <s v="Weekday"/>
    <s v="Spring"/>
    <s v="Clear"/>
    <s v="Off Peak"/>
    <s v="Low"/>
    <s v="Medium"/>
  </r>
  <r>
    <n v="73"/>
    <d v="2011-01-04T00:00:00"/>
    <n v="1"/>
    <n v="0"/>
    <n v="1"/>
    <n v="4"/>
    <b v="0"/>
    <n v="2"/>
    <n v="1"/>
    <n v="0.14000000000000001"/>
    <n v="0.18179999999999999"/>
    <n v="0.63"/>
    <n v="8.9599999999999999E-2"/>
    <n v="0"/>
    <n v="2"/>
    <n v="2"/>
    <b v="1"/>
    <x v="0"/>
    <s v="Tuesday"/>
    <s v="Weekday"/>
    <s v="Spring"/>
    <s v="Clear"/>
    <s v="Off Peak"/>
    <s v="Low"/>
    <s v="Medium"/>
  </r>
  <r>
    <n v="74"/>
    <d v="2011-01-04T00:00:00"/>
    <n v="1"/>
    <n v="0"/>
    <n v="1"/>
    <n v="5"/>
    <b v="0"/>
    <n v="2"/>
    <n v="1"/>
    <n v="0.12"/>
    <n v="0.1515"/>
    <n v="0.68"/>
    <n v="0.1045"/>
    <n v="0"/>
    <n v="4"/>
    <n v="4"/>
    <b v="1"/>
    <x v="0"/>
    <s v="Tuesday"/>
    <s v="Weekday"/>
    <s v="Spring"/>
    <s v="Clear"/>
    <s v="Off Peak"/>
    <s v="Low"/>
    <s v="Medium"/>
  </r>
  <r>
    <n v="75"/>
    <d v="2011-01-04T00:00:00"/>
    <n v="1"/>
    <n v="0"/>
    <n v="1"/>
    <n v="6"/>
    <b v="0"/>
    <n v="2"/>
    <n v="1"/>
    <n v="0.12"/>
    <n v="0.1515"/>
    <n v="0.74"/>
    <n v="0.1045"/>
    <n v="0"/>
    <n v="36"/>
    <n v="36"/>
    <b v="1"/>
    <x v="0"/>
    <s v="Tuesday"/>
    <s v="Weekday"/>
    <s v="Spring"/>
    <s v="Clear"/>
    <s v="Off Peak"/>
    <s v="Low"/>
    <s v="High"/>
  </r>
  <r>
    <n v="76"/>
    <d v="2011-01-04T00:00:00"/>
    <n v="1"/>
    <n v="0"/>
    <n v="1"/>
    <n v="7"/>
    <b v="0"/>
    <n v="2"/>
    <n v="1"/>
    <n v="0.12"/>
    <n v="0.1515"/>
    <n v="0.74"/>
    <n v="0.1343"/>
    <n v="2"/>
    <n v="92"/>
    <n v="94"/>
    <b v="1"/>
    <x v="0"/>
    <s v="Tuesday"/>
    <s v="Weekday"/>
    <s v="Spring"/>
    <s v="Clear"/>
    <s v="Morning Peak"/>
    <s v="Low"/>
    <s v="High"/>
  </r>
  <r>
    <n v="77"/>
    <d v="2011-01-04T00:00:00"/>
    <n v="1"/>
    <n v="0"/>
    <n v="1"/>
    <n v="8"/>
    <b v="0"/>
    <n v="2"/>
    <n v="1"/>
    <n v="0.14000000000000001"/>
    <n v="0.1515"/>
    <n v="0.69"/>
    <n v="0.16420000000000001"/>
    <n v="2"/>
    <n v="177"/>
    <n v="179"/>
    <b v="1"/>
    <x v="0"/>
    <s v="Tuesday"/>
    <s v="Weekday"/>
    <s v="Spring"/>
    <s v="Clear"/>
    <s v="Morning Peak"/>
    <s v="Low"/>
    <s v="Medium"/>
  </r>
  <r>
    <n v="78"/>
    <d v="2011-01-04T00:00:00"/>
    <n v="1"/>
    <n v="0"/>
    <n v="1"/>
    <n v="9"/>
    <b v="0"/>
    <n v="2"/>
    <n v="1"/>
    <n v="0.16"/>
    <n v="0.1515"/>
    <n v="0.64"/>
    <n v="0.22389999999999999"/>
    <n v="2"/>
    <n v="98"/>
    <n v="100"/>
    <b v="1"/>
    <x v="0"/>
    <s v="Tuesday"/>
    <s v="Weekday"/>
    <s v="Spring"/>
    <s v="Clear"/>
    <s v="Morning Peak"/>
    <s v="Low"/>
    <s v="Medium"/>
  </r>
  <r>
    <n v="79"/>
    <d v="2011-01-04T00:00:00"/>
    <n v="1"/>
    <n v="0"/>
    <n v="1"/>
    <n v="10"/>
    <b v="0"/>
    <n v="2"/>
    <n v="2"/>
    <n v="0.16"/>
    <n v="0.13639999999999999"/>
    <n v="0.69"/>
    <n v="0.32840000000000003"/>
    <n v="5"/>
    <n v="37"/>
    <n v="42"/>
    <b v="1"/>
    <x v="0"/>
    <s v="Tuesday"/>
    <s v="Weekday"/>
    <s v="Spring"/>
    <s v="Mist"/>
    <s v="Off Peak"/>
    <s v="Low"/>
    <s v="Medium"/>
  </r>
  <r>
    <n v="80"/>
    <d v="2011-01-04T00:00:00"/>
    <n v="1"/>
    <n v="0"/>
    <n v="1"/>
    <n v="11"/>
    <b v="0"/>
    <n v="2"/>
    <n v="1"/>
    <n v="0.22"/>
    <n v="0.21210000000000001"/>
    <n v="0.51"/>
    <n v="0.29849999999999999"/>
    <n v="7"/>
    <n v="50"/>
    <n v="57"/>
    <b v="1"/>
    <x v="0"/>
    <s v="Tuesday"/>
    <s v="Weekday"/>
    <s v="Spring"/>
    <s v="Clear"/>
    <s v="Off Peak"/>
    <s v="Low"/>
    <s v="Medium"/>
  </r>
  <r>
    <n v="81"/>
    <d v="2011-01-04T00:00:00"/>
    <n v="1"/>
    <n v="0"/>
    <n v="1"/>
    <n v="12"/>
    <b v="0"/>
    <n v="2"/>
    <n v="1"/>
    <n v="0.22"/>
    <n v="0.2273"/>
    <n v="0.51"/>
    <n v="0.16420000000000001"/>
    <n v="12"/>
    <n v="66"/>
    <n v="78"/>
    <b v="1"/>
    <x v="0"/>
    <s v="Tuesday"/>
    <s v="Weekday"/>
    <s v="Spring"/>
    <s v="Clear"/>
    <s v="Off Peak"/>
    <s v="Low"/>
    <s v="Medium"/>
  </r>
  <r>
    <n v="82"/>
    <d v="2011-01-04T00:00:00"/>
    <n v="1"/>
    <n v="0"/>
    <n v="1"/>
    <n v="13"/>
    <b v="0"/>
    <n v="2"/>
    <n v="1"/>
    <n v="0.24"/>
    <n v="0.2273"/>
    <n v="0.56000000000000005"/>
    <n v="0.19400000000000001"/>
    <n v="18"/>
    <n v="79"/>
    <n v="97"/>
    <b v="1"/>
    <x v="0"/>
    <s v="Tuesday"/>
    <s v="Weekday"/>
    <s v="Spring"/>
    <s v="Clear"/>
    <s v="Off Peak"/>
    <s v="Low"/>
    <s v="Medium"/>
  </r>
  <r>
    <n v="83"/>
    <d v="2011-01-04T00:00:00"/>
    <n v="1"/>
    <n v="0"/>
    <n v="1"/>
    <n v="14"/>
    <b v="0"/>
    <n v="2"/>
    <n v="1"/>
    <n v="0.26"/>
    <n v="0.2576"/>
    <n v="0.52"/>
    <n v="0.22389999999999999"/>
    <n v="9"/>
    <n v="54"/>
    <n v="63"/>
    <b v="1"/>
    <x v="0"/>
    <s v="Tuesday"/>
    <s v="Weekday"/>
    <s v="Spring"/>
    <s v="Clear"/>
    <s v="Off Peak"/>
    <s v="Low"/>
    <s v="Medium"/>
  </r>
  <r>
    <n v="84"/>
    <d v="2011-01-04T00:00:00"/>
    <n v="1"/>
    <n v="0"/>
    <n v="1"/>
    <n v="15"/>
    <b v="0"/>
    <n v="2"/>
    <n v="1"/>
    <n v="0.28000000000000003"/>
    <n v="0.2727"/>
    <n v="0.52"/>
    <n v="0.25369999999999998"/>
    <n v="17"/>
    <n v="48"/>
    <n v="65"/>
    <b v="1"/>
    <x v="0"/>
    <s v="Tuesday"/>
    <s v="Weekday"/>
    <s v="Spring"/>
    <s v="Clear"/>
    <s v="Off Peak"/>
    <s v="Low"/>
    <s v="Medium"/>
  </r>
  <r>
    <n v="85"/>
    <d v="2011-01-04T00:00:00"/>
    <n v="1"/>
    <n v="0"/>
    <n v="1"/>
    <n v="16"/>
    <b v="0"/>
    <n v="2"/>
    <n v="1"/>
    <n v="0.3"/>
    <n v="0.28789999999999999"/>
    <n v="0.49"/>
    <n v="0.25369999999999998"/>
    <n v="15"/>
    <n v="68"/>
    <n v="83"/>
    <b v="1"/>
    <x v="0"/>
    <s v="Tuesday"/>
    <s v="Weekday"/>
    <s v="Spring"/>
    <s v="Clear"/>
    <s v="Off Peak"/>
    <s v="Medium"/>
    <s v="Medium"/>
  </r>
  <r>
    <n v="86"/>
    <d v="2011-01-04T00:00:00"/>
    <n v="1"/>
    <n v="0"/>
    <n v="1"/>
    <n v="17"/>
    <b v="0"/>
    <n v="2"/>
    <n v="1"/>
    <n v="0.28000000000000003"/>
    <n v="0.2727"/>
    <n v="0.48"/>
    <n v="0.22389999999999999"/>
    <n v="10"/>
    <n v="202"/>
    <n v="212"/>
    <b v="1"/>
    <x v="0"/>
    <s v="Tuesday"/>
    <s v="Weekday"/>
    <s v="Spring"/>
    <s v="Clear"/>
    <s v="Evening Peak"/>
    <s v="Low"/>
    <s v="Medium"/>
  </r>
  <r>
    <n v="87"/>
    <d v="2011-01-04T00:00:00"/>
    <n v="1"/>
    <n v="0"/>
    <n v="1"/>
    <n v="18"/>
    <b v="0"/>
    <n v="2"/>
    <n v="1"/>
    <n v="0.26"/>
    <n v="0.2576"/>
    <n v="0.48"/>
    <n v="0.19400000000000001"/>
    <n v="3"/>
    <n v="179"/>
    <n v="182"/>
    <b v="1"/>
    <x v="0"/>
    <s v="Tuesday"/>
    <s v="Weekday"/>
    <s v="Spring"/>
    <s v="Clear"/>
    <s v="Evening Peak"/>
    <s v="Low"/>
    <s v="Medium"/>
  </r>
  <r>
    <n v="88"/>
    <d v="2011-01-04T00:00:00"/>
    <n v="1"/>
    <n v="0"/>
    <n v="1"/>
    <n v="19"/>
    <b v="0"/>
    <n v="2"/>
    <n v="1"/>
    <n v="0.24"/>
    <n v="0.2576"/>
    <n v="0.48"/>
    <n v="0.1045"/>
    <n v="2"/>
    <n v="110"/>
    <n v="112"/>
    <b v="1"/>
    <x v="0"/>
    <s v="Tuesday"/>
    <s v="Weekday"/>
    <s v="Spring"/>
    <s v="Clear"/>
    <s v="Evening Peak"/>
    <s v="Low"/>
    <s v="Medium"/>
  </r>
  <r>
    <n v="89"/>
    <d v="2011-01-04T00:00:00"/>
    <n v="1"/>
    <n v="0"/>
    <n v="1"/>
    <n v="20"/>
    <b v="0"/>
    <n v="2"/>
    <n v="1"/>
    <n v="0.24"/>
    <n v="0.2576"/>
    <n v="0.48"/>
    <n v="0.1045"/>
    <n v="1"/>
    <n v="53"/>
    <n v="54"/>
    <b v="1"/>
    <x v="0"/>
    <s v="Tuesday"/>
    <s v="Weekday"/>
    <s v="Spring"/>
    <s v="Clear"/>
    <s v="Evening Peak"/>
    <s v="Low"/>
    <s v="Medium"/>
  </r>
  <r>
    <n v="90"/>
    <d v="2011-01-04T00:00:00"/>
    <n v="1"/>
    <n v="0"/>
    <n v="1"/>
    <n v="21"/>
    <b v="0"/>
    <n v="2"/>
    <n v="1"/>
    <n v="0.22"/>
    <n v="0.2727"/>
    <n v="0.64"/>
    <n v="0"/>
    <n v="0"/>
    <n v="48"/>
    <n v="48"/>
    <b v="1"/>
    <x v="0"/>
    <s v="Tuesday"/>
    <s v="Weekday"/>
    <s v="Spring"/>
    <s v="Clear"/>
    <s v="Off Peak"/>
    <s v="Low"/>
    <s v="Medium"/>
  </r>
  <r>
    <n v="91"/>
    <d v="2011-01-04T00:00:00"/>
    <n v="1"/>
    <n v="0"/>
    <n v="1"/>
    <n v="22"/>
    <b v="0"/>
    <n v="2"/>
    <n v="1"/>
    <n v="0.22"/>
    <n v="0.2576"/>
    <n v="0.64"/>
    <n v="8.9599999999999999E-2"/>
    <n v="1"/>
    <n v="34"/>
    <n v="35"/>
    <b v="1"/>
    <x v="0"/>
    <s v="Tuesday"/>
    <s v="Weekday"/>
    <s v="Spring"/>
    <s v="Clear"/>
    <s v="Off Peak"/>
    <s v="Low"/>
    <s v="Medium"/>
  </r>
  <r>
    <n v="92"/>
    <d v="2011-01-04T00:00:00"/>
    <n v="1"/>
    <n v="0"/>
    <n v="1"/>
    <n v="23"/>
    <b v="0"/>
    <n v="2"/>
    <n v="1"/>
    <n v="0.2"/>
    <n v="0.2273"/>
    <n v="0.69"/>
    <n v="8.9599999999999999E-2"/>
    <n v="2"/>
    <n v="9"/>
    <n v="11"/>
    <b v="1"/>
    <x v="0"/>
    <s v="Tuesday"/>
    <s v="Weekday"/>
    <s v="Spring"/>
    <s v="Clear"/>
    <s v="Off Peak"/>
    <s v="Low"/>
    <s v="Medium"/>
  </r>
  <r>
    <n v="93"/>
    <d v="2011-01-05T00:00:00"/>
    <n v="1"/>
    <n v="0"/>
    <n v="1"/>
    <n v="0"/>
    <b v="0"/>
    <n v="3"/>
    <n v="1"/>
    <n v="0.2"/>
    <n v="0.2576"/>
    <n v="0.64"/>
    <n v="0"/>
    <n v="0"/>
    <n v="6"/>
    <n v="6"/>
    <b v="1"/>
    <x v="0"/>
    <s v="Wednesday"/>
    <s v="Weekday"/>
    <s v="Spring"/>
    <s v="Clear"/>
    <s v="Off Peak"/>
    <s v="Low"/>
    <s v="Medium"/>
  </r>
  <r>
    <n v="94"/>
    <d v="2011-01-05T00:00:00"/>
    <n v="1"/>
    <n v="0"/>
    <n v="1"/>
    <n v="1"/>
    <b v="0"/>
    <n v="3"/>
    <n v="1"/>
    <n v="0.16"/>
    <n v="0.19700000000000001"/>
    <n v="0.74"/>
    <n v="8.9599999999999999E-2"/>
    <n v="0"/>
    <n v="6"/>
    <n v="6"/>
    <b v="1"/>
    <x v="0"/>
    <s v="Wednesday"/>
    <s v="Weekday"/>
    <s v="Spring"/>
    <s v="Clear"/>
    <s v="Off Peak"/>
    <s v="Low"/>
    <s v="High"/>
  </r>
  <r>
    <n v="95"/>
    <d v="2011-01-05T00:00:00"/>
    <n v="1"/>
    <n v="0"/>
    <n v="1"/>
    <n v="2"/>
    <b v="0"/>
    <n v="3"/>
    <n v="1"/>
    <n v="0.16"/>
    <n v="0.19700000000000001"/>
    <n v="0.74"/>
    <n v="8.9599999999999999E-2"/>
    <n v="0"/>
    <n v="2"/>
    <n v="2"/>
    <b v="1"/>
    <x v="0"/>
    <s v="Wednesday"/>
    <s v="Weekday"/>
    <s v="Spring"/>
    <s v="Clear"/>
    <s v="Off Peak"/>
    <s v="Low"/>
    <s v="High"/>
  </r>
  <r>
    <n v="96"/>
    <d v="2011-01-05T00:00:00"/>
    <n v="1"/>
    <n v="0"/>
    <n v="1"/>
    <n v="4"/>
    <b v="0"/>
    <n v="3"/>
    <n v="1"/>
    <n v="0.24"/>
    <n v="0.2273"/>
    <n v="0.48"/>
    <n v="0.22389999999999999"/>
    <n v="0"/>
    <n v="2"/>
    <n v="2"/>
    <b v="1"/>
    <x v="0"/>
    <s v="Wednesday"/>
    <s v="Weekday"/>
    <s v="Spring"/>
    <s v="Clear"/>
    <s v="Off Peak"/>
    <s v="Low"/>
    <s v="Medium"/>
  </r>
  <r>
    <n v="97"/>
    <d v="2011-01-05T00:00:00"/>
    <n v="1"/>
    <n v="0"/>
    <n v="1"/>
    <n v="5"/>
    <b v="0"/>
    <n v="3"/>
    <n v="1"/>
    <n v="0.22"/>
    <n v="0.2273"/>
    <n v="0.47"/>
    <n v="0.16420000000000001"/>
    <n v="0"/>
    <n v="3"/>
    <n v="3"/>
    <b v="1"/>
    <x v="0"/>
    <s v="Wednesday"/>
    <s v="Weekday"/>
    <s v="Spring"/>
    <s v="Clear"/>
    <s v="Off Peak"/>
    <s v="Low"/>
    <s v="Medium"/>
  </r>
  <r>
    <n v="98"/>
    <d v="2011-01-05T00:00:00"/>
    <n v="1"/>
    <n v="0"/>
    <n v="1"/>
    <n v="6"/>
    <b v="0"/>
    <n v="3"/>
    <n v="1"/>
    <n v="0.2"/>
    <n v="0.19700000000000001"/>
    <n v="0.47"/>
    <n v="0.22389999999999999"/>
    <n v="0"/>
    <n v="33"/>
    <n v="33"/>
    <b v="1"/>
    <x v="0"/>
    <s v="Wednesday"/>
    <s v="Weekday"/>
    <s v="Spring"/>
    <s v="Clear"/>
    <s v="Off Peak"/>
    <s v="Low"/>
    <s v="Medium"/>
  </r>
  <r>
    <n v="99"/>
    <d v="2011-01-05T00:00:00"/>
    <n v="1"/>
    <n v="0"/>
    <n v="1"/>
    <n v="7"/>
    <b v="0"/>
    <n v="3"/>
    <n v="1"/>
    <n v="0.18"/>
    <n v="0.18179999999999999"/>
    <n v="0.43"/>
    <n v="0.19400000000000001"/>
    <n v="1"/>
    <n v="87"/>
    <n v="88"/>
    <b v="1"/>
    <x v="0"/>
    <s v="Wednesday"/>
    <s v="Weekday"/>
    <s v="Spring"/>
    <s v="Clear"/>
    <s v="Morning Peak"/>
    <s v="Low"/>
    <s v="Medium"/>
  </r>
  <r>
    <n v="100"/>
    <d v="2011-01-05T00:00:00"/>
    <n v="1"/>
    <n v="0"/>
    <n v="1"/>
    <n v="8"/>
    <b v="0"/>
    <n v="3"/>
    <n v="1"/>
    <n v="0.2"/>
    <n v="0.18179999999999999"/>
    <n v="0.4"/>
    <n v="0.29849999999999999"/>
    <n v="3"/>
    <n v="192"/>
    <n v="195"/>
    <b v="1"/>
    <x v="0"/>
    <s v="Wednesday"/>
    <s v="Weekday"/>
    <s v="Spring"/>
    <s v="Clear"/>
    <s v="Morning Peak"/>
    <s v="Low"/>
    <s v="Medium"/>
  </r>
  <r>
    <n v="101"/>
    <d v="2011-01-05T00:00:00"/>
    <n v="1"/>
    <n v="0"/>
    <n v="1"/>
    <n v="9"/>
    <b v="0"/>
    <n v="3"/>
    <n v="1"/>
    <n v="0.22"/>
    <n v="0.19700000000000001"/>
    <n v="0.37"/>
    <n v="0.32840000000000003"/>
    <n v="6"/>
    <n v="109"/>
    <n v="115"/>
    <b v="1"/>
    <x v="0"/>
    <s v="Wednesday"/>
    <s v="Weekday"/>
    <s v="Spring"/>
    <s v="Clear"/>
    <s v="Morning Peak"/>
    <s v="Low"/>
    <s v="Low"/>
  </r>
  <r>
    <n v="102"/>
    <d v="2011-01-05T00:00:00"/>
    <n v="1"/>
    <n v="0"/>
    <n v="1"/>
    <n v="10"/>
    <b v="0"/>
    <n v="3"/>
    <n v="1"/>
    <n v="0.22"/>
    <n v="0.19700000000000001"/>
    <n v="0.37"/>
    <n v="0.32840000000000003"/>
    <n v="4"/>
    <n v="53"/>
    <n v="57"/>
    <b v="1"/>
    <x v="0"/>
    <s v="Wednesday"/>
    <s v="Weekday"/>
    <s v="Spring"/>
    <s v="Clear"/>
    <s v="Off Peak"/>
    <s v="Low"/>
    <s v="Low"/>
  </r>
  <r>
    <n v="103"/>
    <d v="2011-01-05T00:00:00"/>
    <n v="1"/>
    <n v="0"/>
    <n v="1"/>
    <n v="11"/>
    <b v="0"/>
    <n v="3"/>
    <n v="1"/>
    <n v="0.26"/>
    <n v="0.2273"/>
    <n v="0.33"/>
    <n v="0.32840000000000003"/>
    <n v="12"/>
    <n v="34"/>
    <n v="46"/>
    <b v="1"/>
    <x v="0"/>
    <s v="Wednesday"/>
    <s v="Weekday"/>
    <s v="Spring"/>
    <s v="Clear"/>
    <s v="Off Peak"/>
    <s v="Low"/>
    <s v="Low"/>
  </r>
  <r>
    <n v="104"/>
    <d v="2011-01-05T00:00:00"/>
    <n v="1"/>
    <n v="0"/>
    <n v="1"/>
    <n v="12"/>
    <b v="0"/>
    <n v="3"/>
    <n v="1"/>
    <n v="0.26"/>
    <n v="0.2273"/>
    <n v="0.33"/>
    <n v="0.32840000000000003"/>
    <n v="5"/>
    <n v="74"/>
    <n v="79"/>
    <b v="1"/>
    <x v="0"/>
    <s v="Wednesday"/>
    <s v="Weekday"/>
    <s v="Spring"/>
    <s v="Clear"/>
    <s v="Off Peak"/>
    <s v="Low"/>
    <s v="Low"/>
  </r>
  <r>
    <n v="105"/>
    <d v="2011-01-05T00:00:00"/>
    <n v="1"/>
    <n v="0"/>
    <n v="1"/>
    <n v="13"/>
    <b v="0"/>
    <n v="3"/>
    <n v="1"/>
    <n v="0.28000000000000003"/>
    <n v="0.2576"/>
    <n v="0.3"/>
    <n v="0.29849999999999999"/>
    <n v="6"/>
    <n v="65"/>
    <n v="71"/>
    <b v="1"/>
    <x v="0"/>
    <s v="Wednesday"/>
    <s v="Weekday"/>
    <s v="Spring"/>
    <s v="Clear"/>
    <s v="Off Peak"/>
    <s v="Low"/>
    <s v="Low"/>
  </r>
  <r>
    <n v="106"/>
    <d v="2011-01-05T00:00:00"/>
    <n v="1"/>
    <n v="0"/>
    <n v="1"/>
    <n v="14"/>
    <b v="0"/>
    <n v="3"/>
    <n v="1"/>
    <n v="0.3"/>
    <n v="0.28789999999999999"/>
    <n v="0.28000000000000003"/>
    <n v="0.19400000000000001"/>
    <n v="10"/>
    <n v="52"/>
    <n v="62"/>
    <b v="1"/>
    <x v="0"/>
    <s v="Wednesday"/>
    <s v="Weekday"/>
    <s v="Spring"/>
    <s v="Clear"/>
    <s v="Off Peak"/>
    <s v="Medium"/>
    <s v="Low"/>
  </r>
  <r>
    <n v="107"/>
    <d v="2011-01-05T00:00:00"/>
    <n v="1"/>
    <n v="0"/>
    <n v="1"/>
    <n v="15"/>
    <b v="0"/>
    <n v="3"/>
    <n v="1"/>
    <n v="0.3"/>
    <n v="0.28789999999999999"/>
    <n v="0.28000000000000003"/>
    <n v="0.19400000000000001"/>
    <n v="7"/>
    <n v="55"/>
    <n v="62"/>
    <b v="1"/>
    <x v="0"/>
    <s v="Wednesday"/>
    <s v="Weekday"/>
    <s v="Spring"/>
    <s v="Clear"/>
    <s v="Off Peak"/>
    <s v="Medium"/>
    <s v="Low"/>
  </r>
  <r>
    <n v="108"/>
    <d v="2011-01-05T00:00:00"/>
    <n v="1"/>
    <n v="0"/>
    <n v="1"/>
    <n v="16"/>
    <b v="0"/>
    <n v="3"/>
    <n v="1"/>
    <n v="0.3"/>
    <n v="0.31819999999999998"/>
    <n v="0.28000000000000003"/>
    <n v="8.9599999999999999E-2"/>
    <n v="4"/>
    <n v="85"/>
    <n v="89"/>
    <b v="1"/>
    <x v="0"/>
    <s v="Wednesday"/>
    <s v="Weekday"/>
    <s v="Spring"/>
    <s v="Clear"/>
    <s v="Off Peak"/>
    <s v="Medium"/>
    <s v="Low"/>
  </r>
  <r>
    <n v="109"/>
    <d v="2011-01-05T00:00:00"/>
    <n v="1"/>
    <n v="0"/>
    <n v="1"/>
    <n v="17"/>
    <b v="0"/>
    <n v="3"/>
    <n v="1"/>
    <n v="0.24"/>
    <n v="0.2273"/>
    <n v="0.38"/>
    <n v="0.19400000000000001"/>
    <n v="4"/>
    <n v="186"/>
    <n v="190"/>
    <b v="1"/>
    <x v="0"/>
    <s v="Wednesday"/>
    <s v="Weekday"/>
    <s v="Spring"/>
    <s v="Clear"/>
    <s v="Evening Peak"/>
    <s v="Low"/>
    <s v="Low"/>
  </r>
  <r>
    <n v="110"/>
    <d v="2011-01-05T00:00:00"/>
    <n v="1"/>
    <n v="0"/>
    <n v="1"/>
    <n v="18"/>
    <b v="0"/>
    <n v="3"/>
    <n v="1"/>
    <n v="0.24"/>
    <n v="0.2424"/>
    <n v="0.38"/>
    <n v="0.1343"/>
    <n v="3"/>
    <n v="166"/>
    <n v="169"/>
    <b v="1"/>
    <x v="0"/>
    <s v="Wednesday"/>
    <s v="Weekday"/>
    <s v="Spring"/>
    <s v="Clear"/>
    <s v="Evening Peak"/>
    <s v="Low"/>
    <s v="Low"/>
  </r>
  <r>
    <n v="111"/>
    <d v="2011-01-05T00:00:00"/>
    <n v="1"/>
    <n v="0"/>
    <n v="1"/>
    <n v="19"/>
    <b v="0"/>
    <n v="3"/>
    <n v="1"/>
    <n v="0.24"/>
    <n v="0.2576"/>
    <n v="0.38"/>
    <n v="0.1045"/>
    <n v="5"/>
    <n v="127"/>
    <n v="132"/>
    <b v="1"/>
    <x v="0"/>
    <s v="Wednesday"/>
    <s v="Weekday"/>
    <s v="Spring"/>
    <s v="Clear"/>
    <s v="Evening Peak"/>
    <s v="Low"/>
    <s v="Low"/>
  </r>
  <r>
    <n v="112"/>
    <d v="2011-01-05T00:00:00"/>
    <n v="1"/>
    <n v="0"/>
    <n v="1"/>
    <n v="20"/>
    <b v="0"/>
    <n v="3"/>
    <n v="1"/>
    <n v="0.22"/>
    <n v="0.2273"/>
    <n v="0.47"/>
    <n v="0.16420000000000001"/>
    <n v="7"/>
    <n v="82"/>
    <n v="89"/>
    <b v="1"/>
    <x v="0"/>
    <s v="Wednesday"/>
    <s v="Weekday"/>
    <s v="Spring"/>
    <s v="Clear"/>
    <s v="Evening Peak"/>
    <s v="Low"/>
    <s v="Medium"/>
  </r>
  <r>
    <n v="113"/>
    <d v="2011-01-05T00:00:00"/>
    <n v="1"/>
    <n v="0"/>
    <n v="1"/>
    <n v="21"/>
    <b v="0"/>
    <n v="3"/>
    <n v="1"/>
    <n v="0.2"/>
    <n v="0.19700000000000001"/>
    <n v="0.51"/>
    <n v="0.19400000000000001"/>
    <n v="3"/>
    <n v="40"/>
    <n v="43"/>
    <b v="1"/>
    <x v="0"/>
    <s v="Wednesday"/>
    <s v="Weekday"/>
    <s v="Spring"/>
    <s v="Clear"/>
    <s v="Off Peak"/>
    <s v="Low"/>
    <s v="Medium"/>
  </r>
  <r>
    <n v="114"/>
    <d v="2011-01-05T00:00:00"/>
    <n v="1"/>
    <n v="0"/>
    <n v="1"/>
    <n v="22"/>
    <b v="0"/>
    <n v="3"/>
    <n v="1"/>
    <n v="0.18"/>
    <n v="0.19700000000000001"/>
    <n v="0.55000000000000004"/>
    <n v="0.1343"/>
    <n v="1"/>
    <n v="41"/>
    <n v="42"/>
    <b v="1"/>
    <x v="0"/>
    <s v="Wednesday"/>
    <s v="Weekday"/>
    <s v="Spring"/>
    <s v="Clear"/>
    <s v="Off Peak"/>
    <s v="Low"/>
    <s v="Medium"/>
  </r>
  <r>
    <n v="115"/>
    <d v="2011-01-05T00:00:00"/>
    <n v="1"/>
    <n v="0"/>
    <n v="1"/>
    <n v="23"/>
    <b v="0"/>
    <n v="3"/>
    <n v="1"/>
    <n v="0.2"/>
    <n v="0.2576"/>
    <n v="0.47"/>
    <n v="0"/>
    <n v="1"/>
    <n v="18"/>
    <n v="19"/>
    <b v="1"/>
    <x v="0"/>
    <s v="Wednesday"/>
    <s v="Weekday"/>
    <s v="Spring"/>
    <s v="Clear"/>
    <s v="Off Peak"/>
    <s v="Low"/>
    <s v="Medium"/>
  </r>
  <r>
    <n v="116"/>
    <d v="2011-01-06T00:00:00"/>
    <n v="1"/>
    <n v="0"/>
    <n v="1"/>
    <n v="0"/>
    <b v="0"/>
    <n v="4"/>
    <n v="1"/>
    <n v="0.18"/>
    <n v="0.2424"/>
    <n v="0.55000000000000004"/>
    <n v="0"/>
    <n v="0"/>
    <n v="11"/>
    <n v="11"/>
    <b v="1"/>
    <x v="0"/>
    <s v="Thursday"/>
    <s v="Weekday"/>
    <s v="Spring"/>
    <s v="Clear"/>
    <s v="Off Peak"/>
    <s v="Low"/>
    <s v="Medium"/>
  </r>
  <r>
    <n v="117"/>
    <d v="2011-01-06T00:00:00"/>
    <n v="1"/>
    <n v="0"/>
    <n v="1"/>
    <n v="1"/>
    <b v="0"/>
    <n v="4"/>
    <n v="1"/>
    <n v="0.16"/>
    <n v="0.2273"/>
    <n v="0.64"/>
    <n v="0"/>
    <n v="0"/>
    <n v="4"/>
    <n v="4"/>
    <b v="1"/>
    <x v="0"/>
    <s v="Thursday"/>
    <s v="Weekday"/>
    <s v="Spring"/>
    <s v="Clear"/>
    <s v="Off Peak"/>
    <s v="Low"/>
    <s v="Medium"/>
  </r>
  <r>
    <n v="118"/>
    <d v="2011-01-06T00:00:00"/>
    <n v="1"/>
    <n v="0"/>
    <n v="1"/>
    <n v="2"/>
    <b v="0"/>
    <n v="4"/>
    <n v="1"/>
    <n v="0.16"/>
    <n v="0.2273"/>
    <n v="0.64"/>
    <n v="0"/>
    <n v="0"/>
    <n v="2"/>
    <n v="2"/>
    <b v="1"/>
    <x v="0"/>
    <s v="Thursday"/>
    <s v="Weekday"/>
    <s v="Spring"/>
    <s v="Clear"/>
    <s v="Off Peak"/>
    <s v="Low"/>
    <s v="Medium"/>
  </r>
  <r>
    <n v="119"/>
    <d v="2011-01-06T00:00:00"/>
    <n v="1"/>
    <n v="0"/>
    <n v="1"/>
    <n v="4"/>
    <b v="0"/>
    <n v="4"/>
    <n v="2"/>
    <n v="0.16"/>
    <n v="0.19700000000000001"/>
    <n v="0.64"/>
    <n v="8.9599999999999999E-2"/>
    <n v="0"/>
    <n v="1"/>
    <n v="1"/>
    <b v="1"/>
    <x v="0"/>
    <s v="Thursday"/>
    <s v="Weekday"/>
    <s v="Spring"/>
    <s v="Mist"/>
    <s v="Off Peak"/>
    <s v="Low"/>
    <s v="Medium"/>
  </r>
  <r>
    <n v="120"/>
    <d v="2011-01-06T00:00:00"/>
    <n v="1"/>
    <n v="0"/>
    <n v="1"/>
    <n v="5"/>
    <b v="0"/>
    <n v="4"/>
    <n v="2"/>
    <n v="0.14000000000000001"/>
    <n v="0.18179999999999999"/>
    <n v="0.69"/>
    <n v="8.9599999999999999E-2"/>
    <n v="0"/>
    <n v="4"/>
    <n v="4"/>
    <b v="1"/>
    <x v="0"/>
    <s v="Thursday"/>
    <s v="Weekday"/>
    <s v="Spring"/>
    <s v="Mist"/>
    <s v="Off Peak"/>
    <s v="Low"/>
    <s v="Medium"/>
  </r>
  <r>
    <n v="121"/>
    <d v="2011-01-06T00:00:00"/>
    <n v="1"/>
    <n v="0"/>
    <n v="1"/>
    <n v="6"/>
    <b v="0"/>
    <n v="4"/>
    <n v="2"/>
    <n v="0.14000000000000001"/>
    <n v="0.16669999999999999"/>
    <n v="0.63"/>
    <n v="0.1045"/>
    <n v="0"/>
    <n v="36"/>
    <n v="36"/>
    <b v="1"/>
    <x v="0"/>
    <s v="Thursday"/>
    <s v="Weekday"/>
    <s v="Spring"/>
    <s v="Mist"/>
    <s v="Off Peak"/>
    <s v="Low"/>
    <s v="Medium"/>
  </r>
  <r>
    <n v="122"/>
    <d v="2011-01-06T00:00:00"/>
    <n v="1"/>
    <n v="0"/>
    <n v="1"/>
    <n v="7"/>
    <b v="0"/>
    <n v="4"/>
    <n v="2"/>
    <n v="0.16"/>
    <n v="0.2273"/>
    <n v="0.59"/>
    <n v="0"/>
    <n v="0"/>
    <n v="95"/>
    <n v="95"/>
    <b v="1"/>
    <x v="0"/>
    <s v="Thursday"/>
    <s v="Weekday"/>
    <s v="Spring"/>
    <s v="Mist"/>
    <s v="Morning Peak"/>
    <s v="Low"/>
    <s v="Medium"/>
  </r>
  <r>
    <n v="123"/>
    <d v="2011-01-06T00:00:00"/>
    <n v="1"/>
    <n v="0"/>
    <n v="1"/>
    <n v="8"/>
    <b v="0"/>
    <n v="4"/>
    <n v="1"/>
    <n v="0.16"/>
    <n v="0.2273"/>
    <n v="0.59"/>
    <n v="0"/>
    <n v="3"/>
    <n v="216"/>
    <n v="219"/>
    <b v="1"/>
    <x v="0"/>
    <s v="Thursday"/>
    <s v="Weekday"/>
    <s v="Spring"/>
    <s v="Clear"/>
    <s v="Morning Peak"/>
    <s v="Low"/>
    <s v="Medium"/>
  </r>
  <r>
    <n v="124"/>
    <d v="2011-01-06T00:00:00"/>
    <n v="1"/>
    <n v="0"/>
    <n v="1"/>
    <n v="9"/>
    <b v="0"/>
    <n v="4"/>
    <n v="2"/>
    <n v="0.18"/>
    <n v="0.2424"/>
    <n v="0.51"/>
    <n v="0"/>
    <n v="6"/>
    <n v="116"/>
    <n v="122"/>
    <b v="1"/>
    <x v="0"/>
    <s v="Thursday"/>
    <s v="Weekday"/>
    <s v="Spring"/>
    <s v="Mist"/>
    <s v="Morning Peak"/>
    <s v="Low"/>
    <s v="Medium"/>
  </r>
  <r>
    <n v="125"/>
    <d v="2011-01-06T00:00:00"/>
    <n v="1"/>
    <n v="0"/>
    <n v="1"/>
    <n v="10"/>
    <b v="0"/>
    <n v="4"/>
    <n v="1"/>
    <n v="0.2"/>
    <n v="0.2576"/>
    <n v="0.47"/>
    <n v="0"/>
    <n v="3"/>
    <n v="42"/>
    <n v="45"/>
    <b v="1"/>
    <x v="0"/>
    <s v="Thursday"/>
    <s v="Weekday"/>
    <s v="Spring"/>
    <s v="Clear"/>
    <s v="Off Peak"/>
    <s v="Low"/>
    <s v="Medium"/>
  </r>
  <r>
    <n v="126"/>
    <d v="2011-01-06T00:00:00"/>
    <n v="1"/>
    <n v="0"/>
    <n v="1"/>
    <n v="11"/>
    <b v="0"/>
    <n v="4"/>
    <n v="1"/>
    <n v="0.22"/>
    <n v="0.2576"/>
    <n v="0.44"/>
    <n v="8.9599999999999999E-2"/>
    <n v="2"/>
    <n v="57"/>
    <n v="59"/>
    <b v="1"/>
    <x v="0"/>
    <s v="Thursday"/>
    <s v="Weekday"/>
    <s v="Spring"/>
    <s v="Clear"/>
    <s v="Off Peak"/>
    <s v="Low"/>
    <s v="Medium"/>
  </r>
  <r>
    <n v="127"/>
    <d v="2011-01-06T00:00:00"/>
    <n v="1"/>
    <n v="0"/>
    <n v="1"/>
    <n v="12"/>
    <b v="0"/>
    <n v="4"/>
    <n v="1"/>
    <n v="0.26"/>
    <n v="0.28789999999999999"/>
    <n v="0.35"/>
    <n v="0"/>
    <n v="6"/>
    <n v="78"/>
    <n v="84"/>
    <b v="1"/>
    <x v="0"/>
    <s v="Thursday"/>
    <s v="Weekday"/>
    <s v="Spring"/>
    <s v="Clear"/>
    <s v="Off Peak"/>
    <s v="Low"/>
    <s v="Low"/>
  </r>
  <r>
    <n v="128"/>
    <d v="2011-01-06T00:00:00"/>
    <n v="1"/>
    <n v="0"/>
    <n v="1"/>
    <n v="13"/>
    <b v="0"/>
    <n v="4"/>
    <n v="1"/>
    <n v="0.26"/>
    <n v="0.2727"/>
    <n v="0.35"/>
    <n v="0.1045"/>
    <n v="12"/>
    <n v="55"/>
    <n v="67"/>
    <b v="1"/>
    <x v="0"/>
    <s v="Thursday"/>
    <s v="Weekday"/>
    <s v="Spring"/>
    <s v="Clear"/>
    <s v="Off Peak"/>
    <s v="Low"/>
    <s v="Low"/>
  </r>
  <r>
    <n v="129"/>
    <d v="2011-01-06T00:00:00"/>
    <n v="1"/>
    <n v="0"/>
    <n v="1"/>
    <n v="14"/>
    <b v="0"/>
    <n v="4"/>
    <n v="1"/>
    <n v="0.28000000000000003"/>
    <n v="0.2727"/>
    <n v="0.36"/>
    <n v="0.16420000000000001"/>
    <n v="11"/>
    <n v="59"/>
    <n v="70"/>
    <b v="1"/>
    <x v="0"/>
    <s v="Thursday"/>
    <s v="Weekday"/>
    <s v="Spring"/>
    <s v="Clear"/>
    <s v="Off Peak"/>
    <s v="Low"/>
    <s v="Low"/>
  </r>
  <r>
    <n v="130"/>
    <d v="2011-01-06T00:00:00"/>
    <n v="1"/>
    <n v="0"/>
    <n v="1"/>
    <n v="15"/>
    <b v="0"/>
    <n v="4"/>
    <n v="1"/>
    <n v="0.28000000000000003"/>
    <n v="0.2727"/>
    <n v="0.36"/>
    <n v="0"/>
    <n v="8"/>
    <n v="54"/>
    <n v="62"/>
    <b v="1"/>
    <x v="0"/>
    <s v="Thursday"/>
    <s v="Weekday"/>
    <s v="Spring"/>
    <s v="Clear"/>
    <s v="Off Peak"/>
    <s v="Low"/>
    <s v="Low"/>
  </r>
  <r>
    <n v="131"/>
    <d v="2011-01-06T00:00:00"/>
    <n v="1"/>
    <n v="0"/>
    <n v="1"/>
    <n v="16"/>
    <b v="0"/>
    <n v="4"/>
    <n v="1"/>
    <n v="0.26"/>
    <n v="0.2576"/>
    <n v="0.38"/>
    <n v="0.16420000000000001"/>
    <n v="12"/>
    <n v="74"/>
    <n v="86"/>
    <b v="1"/>
    <x v="0"/>
    <s v="Thursday"/>
    <s v="Weekday"/>
    <s v="Spring"/>
    <s v="Clear"/>
    <s v="Off Peak"/>
    <s v="Low"/>
    <s v="Low"/>
  </r>
  <r>
    <n v="132"/>
    <d v="2011-01-06T00:00:00"/>
    <n v="1"/>
    <n v="0"/>
    <n v="1"/>
    <n v="17"/>
    <b v="0"/>
    <n v="4"/>
    <n v="1"/>
    <n v="0.22"/>
    <n v="0.2273"/>
    <n v="0.51"/>
    <n v="0.16420000000000001"/>
    <n v="9"/>
    <n v="163"/>
    <n v="172"/>
    <b v="1"/>
    <x v="0"/>
    <s v="Thursday"/>
    <s v="Weekday"/>
    <s v="Spring"/>
    <s v="Clear"/>
    <s v="Evening Peak"/>
    <s v="Low"/>
    <s v="Medium"/>
  </r>
  <r>
    <n v="133"/>
    <d v="2011-01-06T00:00:00"/>
    <n v="1"/>
    <n v="0"/>
    <n v="1"/>
    <n v="18"/>
    <b v="0"/>
    <n v="4"/>
    <n v="1"/>
    <n v="0.22"/>
    <n v="0.2273"/>
    <n v="0.51"/>
    <n v="0.1343"/>
    <n v="5"/>
    <n v="158"/>
    <n v="163"/>
    <b v="1"/>
    <x v="0"/>
    <s v="Thursday"/>
    <s v="Weekday"/>
    <s v="Spring"/>
    <s v="Clear"/>
    <s v="Evening Peak"/>
    <s v="Low"/>
    <s v="Medium"/>
  </r>
  <r>
    <n v="134"/>
    <d v="2011-01-06T00:00:00"/>
    <n v="1"/>
    <n v="0"/>
    <n v="1"/>
    <n v="19"/>
    <b v="0"/>
    <n v="4"/>
    <n v="1"/>
    <n v="0.22"/>
    <n v="0.2576"/>
    <n v="0.55000000000000004"/>
    <n v="8.9599999999999999E-2"/>
    <n v="3"/>
    <n v="109"/>
    <n v="112"/>
    <b v="1"/>
    <x v="0"/>
    <s v="Thursday"/>
    <s v="Weekday"/>
    <s v="Spring"/>
    <s v="Clear"/>
    <s v="Evening Peak"/>
    <s v="Low"/>
    <s v="Medium"/>
  </r>
  <r>
    <n v="135"/>
    <d v="2011-01-06T00:00:00"/>
    <n v="1"/>
    <n v="0"/>
    <n v="1"/>
    <n v="20"/>
    <b v="0"/>
    <n v="4"/>
    <n v="1"/>
    <n v="0.2"/>
    <n v="0.21210000000000001"/>
    <n v="0.51"/>
    <n v="0.16420000000000001"/>
    <n v="3"/>
    <n v="66"/>
    <n v="69"/>
    <b v="1"/>
    <x v="0"/>
    <s v="Thursday"/>
    <s v="Weekday"/>
    <s v="Spring"/>
    <s v="Clear"/>
    <s v="Evening Peak"/>
    <s v="Low"/>
    <s v="Medium"/>
  </r>
  <r>
    <n v="136"/>
    <d v="2011-01-06T00:00:00"/>
    <n v="1"/>
    <n v="0"/>
    <n v="1"/>
    <n v="21"/>
    <b v="0"/>
    <n v="4"/>
    <n v="2"/>
    <n v="0.22"/>
    <n v="0.21210000000000001"/>
    <n v="0.55000000000000004"/>
    <n v="0.22389999999999999"/>
    <n v="0"/>
    <n v="48"/>
    <n v="48"/>
    <b v="1"/>
    <x v="0"/>
    <s v="Thursday"/>
    <s v="Weekday"/>
    <s v="Spring"/>
    <s v="Mist"/>
    <s v="Off Peak"/>
    <s v="Low"/>
    <s v="Medium"/>
  </r>
  <r>
    <n v="137"/>
    <d v="2011-01-06T00:00:00"/>
    <n v="1"/>
    <n v="0"/>
    <n v="1"/>
    <n v="22"/>
    <b v="0"/>
    <n v="4"/>
    <n v="2"/>
    <n v="0.22"/>
    <n v="0.21210000000000001"/>
    <n v="0.51"/>
    <n v="0.28360000000000002"/>
    <n v="1"/>
    <n v="51"/>
    <n v="52"/>
    <b v="1"/>
    <x v="0"/>
    <s v="Thursday"/>
    <s v="Weekday"/>
    <s v="Spring"/>
    <s v="Mist"/>
    <s v="Off Peak"/>
    <s v="Low"/>
    <s v="Medium"/>
  </r>
  <r>
    <n v="138"/>
    <d v="2011-01-06T00:00:00"/>
    <n v="1"/>
    <n v="0"/>
    <n v="1"/>
    <n v="23"/>
    <b v="0"/>
    <n v="4"/>
    <n v="2"/>
    <n v="0.2"/>
    <n v="0.19700000000000001"/>
    <n v="0.59"/>
    <n v="0.19400000000000001"/>
    <n v="4"/>
    <n v="19"/>
    <n v="23"/>
    <b v="1"/>
    <x v="0"/>
    <s v="Thursday"/>
    <s v="Weekday"/>
    <s v="Spring"/>
    <s v="Mist"/>
    <s v="Off Peak"/>
    <s v="Low"/>
    <s v="Medium"/>
  </r>
  <r>
    <n v="139"/>
    <d v="2011-01-07T00:00:00"/>
    <n v="1"/>
    <n v="0"/>
    <n v="1"/>
    <n v="0"/>
    <b v="0"/>
    <n v="5"/>
    <n v="2"/>
    <n v="0.2"/>
    <n v="0.19700000000000001"/>
    <n v="0.64"/>
    <n v="0.19400000000000001"/>
    <n v="4"/>
    <n v="13"/>
    <n v="17"/>
    <b v="1"/>
    <x v="0"/>
    <s v="Friday"/>
    <s v="Weekday"/>
    <s v="Spring"/>
    <s v="Mist"/>
    <s v="Off Peak"/>
    <s v="Low"/>
    <s v="Medium"/>
  </r>
  <r>
    <n v="140"/>
    <d v="2011-01-07T00:00:00"/>
    <n v="1"/>
    <n v="0"/>
    <n v="1"/>
    <n v="1"/>
    <b v="0"/>
    <n v="5"/>
    <n v="2"/>
    <n v="0.2"/>
    <n v="0.19700000000000001"/>
    <n v="0.69"/>
    <n v="0.22389999999999999"/>
    <n v="2"/>
    <n v="5"/>
    <n v="7"/>
    <b v="1"/>
    <x v="0"/>
    <s v="Friday"/>
    <s v="Weekday"/>
    <s v="Spring"/>
    <s v="Mist"/>
    <s v="Off Peak"/>
    <s v="Low"/>
    <s v="Medium"/>
  </r>
  <r>
    <n v="141"/>
    <d v="2011-01-07T00:00:00"/>
    <n v="1"/>
    <n v="0"/>
    <n v="1"/>
    <n v="2"/>
    <b v="0"/>
    <n v="5"/>
    <n v="2"/>
    <n v="0.2"/>
    <n v="0.19700000000000001"/>
    <n v="0.69"/>
    <n v="0.22389999999999999"/>
    <n v="0"/>
    <n v="1"/>
    <n v="1"/>
    <b v="1"/>
    <x v="0"/>
    <s v="Friday"/>
    <s v="Weekday"/>
    <s v="Spring"/>
    <s v="Mist"/>
    <s v="Off Peak"/>
    <s v="Low"/>
    <s v="Medium"/>
  </r>
  <r>
    <n v="142"/>
    <d v="2011-01-07T00:00:00"/>
    <n v="1"/>
    <n v="0"/>
    <n v="1"/>
    <n v="4"/>
    <b v="0"/>
    <n v="5"/>
    <n v="2"/>
    <n v="0.2"/>
    <n v="0.21210000000000001"/>
    <n v="0.69"/>
    <n v="0.1343"/>
    <n v="0"/>
    <n v="1"/>
    <n v="1"/>
    <b v="1"/>
    <x v="0"/>
    <s v="Friday"/>
    <s v="Weekday"/>
    <s v="Spring"/>
    <s v="Mist"/>
    <s v="Off Peak"/>
    <s v="Low"/>
    <s v="Medium"/>
  </r>
  <r>
    <n v="143"/>
    <d v="2011-01-07T00:00:00"/>
    <n v="1"/>
    <n v="0"/>
    <n v="1"/>
    <n v="5"/>
    <b v="0"/>
    <n v="5"/>
    <n v="3"/>
    <n v="0.22"/>
    <n v="0.2727"/>
    <n v="0.55000000000000004"/>
    <n v="0"/>
    <n v="0"/>
    <n v="5"/>
    <n v="5"/>
    <b v="1"/>
    <x v="0"/>
    <s v="Friday"/>
    <s v="Weekday"/>
    <s v="Spring"/>
    <s v="Light Rain"/>
    <s v="Off Peak"/>
    <s v="Low"/>
    <s v="Medium"/>
  </r>
  <r>
    <n v="144"/>
    <d v="2011-01-07T00:00:00"/>
    <n v="1"/>
    <n v="0"/>
    <n v="1"/>
    <n v="6"/>
    <b v="0"/>
    <n v="5"/>
    <n v="2"/>
    <n v="0.2"/>
    <n v="0.2576"/>
    <n v="0.69"/>
    <n v="0"/>
    <n v="8"/>
    <n v="26"/>
    <n v="34"/>
    <b v="1"/>
    <x v="0"/>
    <s v="Friday"/>
    <s v="Weekday"/>
    <s v="Spring"/>
    <s v="Mist"/>
    <s v="Off Peak"/>
    <s v="Low"/>
    <s v="Medium"/>
  </r>
  <r>
    <n v="145"/>
    <d v="2011-01-07T00:00:00"/>
    <n v="1"/>
    <n v="0"/>
    <n v="1"/>
    <n v="7"/>
    <b v="0"/>
    <n v="5"/>
    <n v="1"/>
    <n v="0.2"/>
    <n v="0.21210000000000001"/>
    <n v="0.69"/>
    <n v="0.1343"/>
    <n v="8"/>
    <n v="76"/>
    <n v="84"/>
    <b v="1"/>
    <x v="0"/>
    <s v="Friday"/>
    <s v="Weekday"/>
    <s v="Spring"/>
    <s v="Clear"/>
    <s v="Morning Peak"/>
    <s v="Low"/>
    <s v="Medium"/>
  </r>
  <r>
    <n v="146"/>
    <d v="2011-01-07T00:00:00"/>
    <n v="1"/>
    <n v="0"/>
    <n v="1"/>
    <n v="8"/>
    <b v="0"/>
    <n v="5"/>
    <n v="1"/>
    <n v="0.2"/>
    <n v="0.19700000000000001"/>
    <n v="0.51"/>
    <n v="0.25369999999999998"/>
    <n v="20"/>
    <n v="190"/>
    <n v="210"/>
    <b v="1"/>
    <x v="0"/>
    <s v="Friday"/>
    <s v="Weekday"/>
    <s v="Spring"/>
    <s v="Clear"/>
    <s v="Morning Peak"/>
    <s v="Low"/>
    <s v="Medium"/>
  </r>
  <r>
    <n v="147"/>
    <d v="2011-01-07T00:00:00"/>
    <n v="1"/>
    <n v="0"/>
    <n v="1"/>
    <n v="9"/>
    <b v="0"/>
    <n v="5"/>
    <n v="1"/>
    <n v="0.2"/>
    <n v="0.18179999999999999"/>
    <n v="0.47"/>
    <n v="0.29849999999999999"/>
    <n v="9"/>
    <n v="125"/>
    <n v="134"/>
    <b v="1"/>
    <x v="0"/>
    <s v="Friday"/>
    <s v="Weekday"/>
    <s v="Spring"/>
    <s v="Clear"/>
    <s v="Morning Peak"/>
    <s v="Low"/>
    <s v="Medium"/>
  </r>
  <r>
    <n v="148"/>
    <d v="2011-01-07T00:00:00"/>
    <n v="1"/>
    <n v="0"/>
    <n v="1"/>
    <n v="10"/>
    <b v="0"/>
    <n v="5"/>
    <n v="1"/>
    <n v="0.22"/>
    <n v="0.19700000000000001"/>
    <n v="0.37"/>
    <n v="0.32840000000000003"/>
    <n v="16"/>
    <n v="47"/>
    <n v="63"/>
    <b v="1"/>
    <x v="0"/>
    <s v="Friday"/>
    <s v="Weekday"/>
    <s v="Spring"/>
    <s v="Clear"/>
    <s v="Off Peak"/>
    <s v="Low"/>
    <s v="Low"/>
  </r>
  <r>
    <n v="149"/>
    <d v="2011-01-07T00:00:00"/>
    <n v="1"/>
    <n v="0"/>
    <n v="1"/>
    <n v="11"/>
    <b v="0"/>
    <n v="5"/>
    <n v="2"/>
    <n v="0.2"/>
    <n v="0.19700000000000001"/>
    <n v="0.4"/>
    <n v="0.22389999999999999"/>
    <n v="19"/>
    <n v="48"/>
    <n v="67"/>
    <b v="1"/>
    <x v="0"/>
    <s v="Friday"/>
    <s v="Weekday"/>
    <s v="Spring"/>
    <s v="Mist"/>
    <s v="Off Peak"/>
    <s v="Low"/>
    <s v="Medium"/>
  </r>
  <r>
    <n v="150"/>
    <d v="2011-01-07T00:00:00"/>
    <n v="1"/>
    <n v="0"/>
    <n v="1"/>
    <n v="12"/>
    <b v="0"/>
    <n v="5"/>
    <n v="2"/>
    <n v="0.2"/>
    <n v="0.19700000000000001"/>
    <n v="0.37"/>
    <n v="0.25369999999999998"/>
    <n v="9"/>
    <n v="50"/>
    <n v="59"/>
    <b v="1"/>
    <x v="0"/>
    <s v="Friday"/>
    <s v="Weekday"/>
    <s v="Spring"/>
    <s v="Mist"/>
    <s v="Off Peak"/>
    <s v="Low"/>
    <s v="Low"/>
  </r>
  <r>
    <n v="151"/>
    <d v="2011-01-07T00:00:00"/>
    <n v="1"/>
    <n v="0"/>
    <n v="1"/>
    <n v="13"/>
    <b v="0"/>
    <n v="5"/>
    <n v="2"/>
    <n v="0.2"/>
    <n v="0.18179999999999999"/>
    <n v="0.37"/>
    <n v="0.28360000000000002"/>
    <n v="9"/>
    <n v="64"/>
    <n v="73"/>
    <b v="1"/>
    <x v="0"/>
    <s v="Friday"/>
    <s v="Weekday"/>
    <s v="Spring"/>
    <s v="Mist"/>
    <s v="Off Peak"/>
    <s v="Low"/>
    <s v="Low"/>
  </r>
  <r>
    <n v="152"/>
    <d v="2011-01-07T00:00:00"/>
    <n v="1"/>
    <n v="0"/>
    <n v="1"/>
    <n v="14"/>
    <b v="0"/>
    <n v="5"/>
    <n v="2"/>
    <n v="0.2"/>
    <n v="0.19700000000000001"/>
    <n v="0.4"/>
    <n v="0.25369999999999998"/>
    <n v="7"/>
    <n v="43"/>
    <n v="50"/>
    <b v="1"/>
    <x v="0"/>
    <s v="Friday"/>
    <s v="Weekday"/>
    <s v="Spring"/>
    <s v="Mist"/>
    <s v="Off Peak"/>
    <s v="Low"/>
    <s v="Medium"/>
  </r>
  <r>
    <n v="153"/>
    <d v="2011-01-07T00:00:00"/>
    <n v="1"/>
    <n v="0"/>
    <n v="1"/>
    <n v="15"/>
    <b v="0"/>
    <n v="5"/>
    <n v="2"/>
    <n v="0.2"/>
    <n v="0.21210000000000001"/>
    <n v="0.37"/>
    <n v="0.16420000000000001"/>
    <n v="9"/>
    <n v="63"/>
    <n v="72"/>
    <b v="1"/>
    <x v="0"/>
    <s v="Friday"/>
    <s v="Weekday"/>
    <s v="Spring"/>
    <s v="Mist"/>
    <s v="Off Peak"/>
    <s v="Low"/>
    <s v="Low"/>
  </r>
  <r>
    <n v="154"/>
    <d v="2011-01-07T00:00:00"/>
    <n v="1"/>
    <n v="0"/>
    <n v="1"/>
    <n v="16"/>
    <b v="0"/>
    <n v="5"/>
    <n v="2"/>
    <n v="0.2"/>
    <n v="0.21210000000000001"/>
    <n v="0.37"/>
    <n v="0.16420000000000001"/>
    <n v="5"/>
    <n v="82"/>
    <n v="87"/>
    <b v="1"/>
    <x v="0"/>
    <s v="Friday"/>
    <s v="Weekday"/>
    <s v="Spring"/>
    <s v="Mist"/>
    <s v="Off Peak"/>
    <s v="Low"/>
    <s v="Low"/>
  </r>
  <r>
    <n v="155"/>
    <d v="2011-01-07T00:00:00"/>
    <n v="1"/>
    <n v="0"/>
    <n v="1"/>
    <n v="17"/>
    <b v="0"/>
    <n v="5"/>
    <n v="2"/>
    <n v="0.2"/>
    <n v="0.2576"/>
    <n v="0.37"/>
    <n v="0"/>
    <n v="9"/>
    <n v="178"/>
    <n v="187"/>
    <b v="1"/>
    <x v="0"/>
    <s v="Friday"/>
    <s v="Weekday"/>
    <s v="Spring"/>
    <s v="Mist"/>
    <s v="Evening Peak"/>
    <s v="Low"/>
    <s v="Low"/>
  </r>
  <r>
    <n v="156"/>
    <d v="2011-01-07T00:00:00"/>
    <n v="1"/>
    <n v="0"/>
    <n v="1"/>
    <n v="18"/>
    <b v="0"/>
    <n v="5"/>
    <n v="1"/>
    <n v="0.2"/>
    <n v="0.2273"/>
    <n v="0.4"/>
    <n v="8.9599999999999999E-2"/>
    <n v="7"/>
    <n v="116"/>
    <n v="123"/>
    <b v="1"/>
    <x v="0"/>
    <s v="Friday"/>
    <s v="Weekday"/>
    <s v="Spring"/>
    <s v="Clear"/>
    <s v="Evening Peak"/>
    <s v="Low"/>
    <s v="Medium"/>
  </r>
  <r>
    <n v="157"/>
    <d v="2011-01-07T00:00:00"/>
    <n v="1"/>
    <n v="0"/>
    <n v="1"/>
    <n v="19"/>
    <b v="0"/>
    <n v="5"/>
    <n v="1"/>
    <n v="0.16"/>
    <n v="0.19700000000000001"/>
    <n v="0.55000000000000004"/>
    <n v="8.9599999999999999E-2"/>
    <n v="3"/>
    <n v="92"/>
    <n v="95"/>
    <b v="1"/>
    <x v="0"/>
    <s v="Friday"/>
    <s v="Weekday"/>
    <s v="Spring"/>
    <s v="Clear"/>
    <s v="Evening Peak"/>
    <s v="Low"/>
    <s v="Medium"/>
  </r>
  <r>
    <n v="158"/>
    <d v="2011-01-07T00:00:00"/>
    <n v="1"/>
    <n v="0"/>
    <n v="1"/>
    <n v="20"/>
    <b v="0"/>
    <n v="5"/>
    <n v="1"/>
    <n v="0.18"/>
    <n v="0.21210000000000001"/>
    <n v="0.47"/>
    <n v="0.1045"/>
    <n v="1"/>
    <n v="50"/>
    <n v="51"/>
    <b v="1"/>
    <x v="0"/>
    <s v="Friday"/>
    <s v="Weekday"/>
    <s v="Spring"/>
    <s v="Clear"/>
    <s v="Evening Peak"/>
    <s v="Low"/>
    <s v="Medium"/>
  </r>
  <r>
    <n v="159"/>
    <d v="2011-01-07T00:00:00"/>
    <n v="1"/>
    <n v="0"/>
    <n v="1"/>
    <n v="21"/>
    <b v="0"/>
    <n v="5"/>
    <n v="1"/>
    <n v="0.18"/>
    <n v="0.19700000000000001"/>
    <n v="0.47"/>
    <n v="0.1343"/>
    <n v="0"/>
    <n v="39"/>
    <n v="39"/>
    <b v="1"/>
    <x v="0"/>
    <s v="Friday"/>
    <s v="Weekday"/>
    <s v="Spring"/>
    <s v="Clear"/>
    <s v="Off Peak"/>
    <s v="Low"/>
    <s v="Medium"/>
  </r>
  <r>
    <n v="160"/>
    <d v="2011-01-07T00:00:00"/>
    <n v="1"/>
    <n v="0"/>
    <n v="1"/>
    <n v="22"/>
    <b v="0"/>
    <n v="5"/>
    <n v="2"/>
    <n v="0.18"/>
    <n v="0.19700000000000001"/>
    <n v="0.43"/>
    <n v="0.16420000000000001"/>
    <n v="2"/>
    <n v="34"/>
    <n v="36"/>
    <b v="1"/>
    <x v="0"/>
    <s v="Friday"/>
    <s v="Weekday"/>
    <s v="Spring"/>
    <s v="Mist"/>
    <s v="Off Peak"/>
    <s v="Low"/>
    <s v="Medium"/>
  </r>
  <r>
    <n v="161"/>
    <d v="2011-01-07T00:00:00"/>
    <n v="1"/>
    <n v="0"/>
    <n v="1"/>
    <n v="23"/>
    <b v="0"/>
    <n v="5"/>
    <n v="2"/>
    <n v="0.18"/>
    <n v="0.19700000000000001"/>
    <n v="0.51"/>
    <n v="0.16420000000000001"/>
    <n v="1"/>
    <n v="14"/>
    <n v="15"/>
    <b v="1"/>
    <x v="0"/>
    <s v="Friday"/>
    <s v="Weekday"/>
    <s v="Spring"/>
    <s v="Mist"/>
    <s v="Off Peak"/>
    <s v="Low"/>
    <s v="Medium"/>
  </r>
  <r>
    <n v="162"/>
    <d v="2011-01-08T00:00:00"/>
    <n v="1"/>
    <n v="0"/>
    <n v="1"/>
    <n v="0"/>
    <b v="0"/>
    <n v="6"/>
    <n v="2"/>
    <n v="0.18"/>
    <n v="0.19700000000000001"/>
    <n v="0.51"/>
    <n v="0.16420000000000001"/>
    <n v="1"/>
    <n v="24"/>
    <n v="25"/>
    <b v="1"/>
    <x v="0"/>
    <s v="Saturday"/>
    <s v="Weekend"/>
    <s v="Spring"/>
    <s v="Mist"/>
    <s v="Off Peak"/>
    <s v="Low"/>
    <s v="Medium"/>
  </r>
  <r>
    <n v="163"/>
    <d v="2011-01-08T00:00:00"/>
    <n v="1"/>
    <n v="0"/>
    <n v="1"/>
    <n v="1"/>
    <b v="0"/>
    <n v="6"/>
    <n v="2"/>
    <n v="0.18"/>
    <n v="0.21210000000000001"/>
    <n v="0.55000000000000004"/>
    <n v="8.9599999999999999E-2"/>
    <n v="1"/>
    <n v="15"/>
    <n v="16"/>
    <b v="1"/>
    <x v="0"/>
    <s v="Saturday"/>
    <s v="Weekend"/>
    <s v="Spring"/>
    <s v="Mist"/>
    <s v="Off Peak"/>
    <s v="Low"/>
    <s v="Medium"/>
  </r>
  <r>
    <n v="164"/>
    <d v="2011-01-08T00:00:00"/>
    <n v="1"/>
    <n v="0"/>
    <n v="1"/>
    <n v="2"/>
    <b v="0"/>
    <n v="6"/>
    <n v="2"/>
    <n v="0.18"/>
    <n v="0.2424"/>
    <n v="0.55000000000000004"/>
    <n v="0"/>
    <n v="3"/>
    <n v="13"/>
    <n v="16"/>
    <b v="1"/>
    <x v="0"/>
    <s v="Saturday"/>
    <s v="Weekend"/>
    <s v="Spring"/>
    <s v="Mist"/>
    <s v="Off Peak"/>
    <s v="Low"/>
    <s v="Medium"/>
  </r>
  <r>
    <n v="165"/>
    <d v="2011-01-08T00:00:00"/>
    <n v="1"/>
    <n v="0"/>
    <n v="1"/>
    <n v="3"/>
    <b v="0"/>
    <n v="6"/>
    <n v="3"/>
    <n v="0.18"/>
    <n v="0.19700000000000001"/>
    <n v="0.55000000000000004"/>
    <n v="0.16420000000000001"/>
    <n v="0"/>
    <n v="7"/>
    <n v="7"/>
    <b v="1"/>
    <x v="0"/>
    <s v="Saturday"/>
    <s v="Weekend"/>
    <s v="Spring"/>
    <s v="Light Rain"/>
    <s v="Off Peak"/>
    <s v="Low"/>
    <s v="Medium"/>
  </r>
  <r>
    <n v="166"/>
    <d v="2011-01-08T00:00:00"/>
    <n v="1"/>
    <n v="0"/>
    <n v="1"/>
    <n v="4"/>
    <b v="0"/>
    <n v="6"/>
    <n v="3"/>
    <n v="0.18"/>
    <n v="0.19700000000000001"/>
    <n v="0.55000000000000004"/>
    <n v="0.16420000000000001"/>
    <n v="0"/>
    <n v="1"/>
    <n v="1"/>
    <b v="1"/>
    <x v="0"/>
    <s v="Saturday"/>
    <s v="Weekend"/>
    <s v="Spring"/>
    <s v="Light Rain"/>
    <s v="Off Peak"/>
    <s v="Low"/>
    <s v="Medium"/>
  </r>
  <r>
    <n v="167"/>
    <d v="2011-01-08T00:00:00"/>
    <n v="1"/>
    <n v="0"/>
    <n v="1"/>
    <n v="5"/>
    <b v="0"/>
    <n v="6"/>
    <n v="2"/>
    <n v="0.16"/>
    <n v="0.16669999999999999"/>
    <n v="0.74"/>
    <n v="0.16420000000000001"/>
    <n v="0"/>
    <n v="5"/>
    <n v="5"/>
    <b v="1"/>
    <x v="0"/>
    <s v="Saturday"/>
    <s v="Weekend"/>
    <s v="Spring"/>
    <s v="Mist"/>
    <s v="Off Peak"/>
    <s v="Low"/>
    <s v="High"/>
  </r>
  <r>
    <n v="168"/>
    <d v="2011-01-08T00:00:00"/>
    <n v="1"/>
    <n v="0"/>
    <n v="1"/>
    <n v="6"/>
    <b v="0"/>
    <n v="6"/>
    <n v="2"/>
    <n v="0.16"/>
    <n v="0.16669999999999999"/>
    <n v="0.74"/>
    <n v="0.16420000000000001"/>
    <n v="0"/>
    <n v="2"/>
    <n v="2"/>
    <b v="1"/>
    <x v="0"/>
    <s v="Saturday"/>
    <s v="Weekend"/>
    <s v="Spring"/>
    <s v="Mist"/>
    <s v="Off Peak"/>
    <s v="Low"/>
    <s v="High"/>
  </r>
  <r>
    <n v="169"/>
    <d v="2011-01-08T00:00:00"/>
    <n v="1"/>
    <n v="0"/>
    <n v="1"/>
    <n v="7"/>
    <b v="0"/>
    <n v="6"/>
    <n v="2"/>
    <n v="0.16"/>
    <n v="0.18179999999999999"/>
    <n v="0.74"/>
    <n v="0.1045"/>
    <n v="1"/>
    <n v="8"/>
    <n v="9"/>
    <b v="1"/>
    <x v="0"/>
    <s v="Saturday"/>
    <s v="Weekend"/>
    <s v="Spring"/>
    <s v="Mist"/>
    <s v="Morning Peak"/>
    <s v="Low"/>
    <s v="High"/>
  </r>
  <r>
    <n v="170"/>
    <d v="2011-01-08T00:00:00"/>
    <n v="1"/>
    <n v="0"/>
    <n v="1"/>
    <n v="8"/>
    <b v="0"/>
    <n v="6"/>
    <n v="3"/>
    <n v="0.16"/>
    <n v="0.18179999999999999"/>
    <n v="0.93"/>
    <n v="0.1045"/>
    <n v="0"/>
    <n v="15"/>
    <n v="15"/>
    <b v="1"/>
    <x v="0"/>
    <s v="Saturday"/>
    <s v="Weekend"/>
    <s v="Spring"/>
    <s v="Light Rain"/>
    <s v="Morning Peak"/>
    <s v="Low"/>
    <s v="High"/>
  </r>
  <r>
    <n v="171"/>
    <d v="2011-01-08T00:00:00"/>
    <n v="1"/>
    <n v="0"/>
    <n v="1"/>
    <n v="9"/>
    <b v="0"/>
    <n v="6"/>
    <n v="3"/>
    <n v="0.16"/>
    <n v="0.18179999999999999"/>
    <n v="0.93"/>
    <n v="0.1045"/>
    <n v="0"/>
    <n v="20"/>
    <n v="20"/>
    <b v="1"/>
    <x v="0"/>
    <s v="Saturday"/>
    <s v="Weekend"/>
    <s v="Spring"/>
    <s v="Light Rain"/>
    <s v="Morning Peak"/>
    <s v="Low"/>
    <s v="High"/>
  </r>
  <r>
    <n v="172"/>
    <d v="2011-01-08T00:00:00"/>
    <n v="1"/>
    <n v="0"/>
    <n v="1"/>
    <n v="10"/>
    <b v="0"/>
    <n v="6"/>
    <n v="2"/>
    <n v="0.18"/>
    <n v="0.19700000000000001"/>
    <n v="0.8"/>
    <n v="0.16420000000000001"/>
    <n v="5"/>
    <n v="56"/>
    <n v="61"/>
    <b v="1"/>
    <x v="0"/>
    <s v="Saturday"/>
    <s v="Weekend"/>
    <s v="Spring"/>
    <s v="Mist"/>
    <s v="Off Peak"/>
    <s v="Low"/>
    <s v="High"/>
  </r>
  <r>
    <n v="173"/>
    <d v="2011-01-08T00:00:00"/>
    <n v="1"/>
    <n v="0"/>
    <n v="1"/>
    <n v="11"/>
    <b v="0"/>
    <n v="6"/>
    <n v="2"/>
    <n v="0.2"/>
    <n v="0.18179999999999999"/>
    <n v="0.69"/>
    <n v="0.3881"/>
    <n v="2"/>
    <n v="60"/>
    <n v="62"/>
    <b v="1"/>
    <x v="0"/>
    <s v="Saturday"/>
    <s v="Weekend"/>
    <s v="Spring"/>
    <s v="Mist"/>
    <s v="Off Peak"/>
    <s v="Low"/>
    <s v="Medium"/>
  </r>
  <r>
    <n v="174"/>
    <d v="2011-01-08T00:00:00"/>
    <n v="1"/>
    <n v="0"/>
    <n v="1"/>
    <n v="12"/>
    <b v="0"/>
    <n v="6"/>
    <n v="2"/>
    <n v="0.2"/>
    <n v="0.18179999999999999"/>
    <n v="0.59"/>
    <n v="0.35820000000000002"/>
    <n v="8"/>
    <n v="90"/>
    <n v="98"/>
    <b v="1"/>
    <x v="0"/>
    <s v="Saturday"/>
    <s v="Weekend"/>
    <s v="Spring"/>
    <s v="Mist"/>
    <s v="Off Peak"/>
    <s v="Low"/>
    <s v="Medium"/>
  </r>
  <r>
    <n v="175"/>
    <d v="2011-01-08T00:00:00"/>
    <n v="1"/>
    <n v="0"/>
    <n v="1"/>
    <n v="13"/>
    <b v="0"/>
    <n v="6"/>
    <n v="1"/>
    <n v="0.2"/>
    <n v="0.18179999999999999"/>
    <n v="0.44"/>
    <n v="0.32840000000000003"/>
    <n v="7"/>
    <n v="95"/>
    <n v="102"/>
    <b v="1"/>
    <x v="0"/>
    <s v="Saturday"/>
    <s v="Weekend"/>
    <s v="Spring"/>
    <s v="Clear"/>
    <s v="Off Peak"/>
    <s v="Low"/>
    <s v="Medium"/>
  </r>
  <r>
    <n v="176"/>
    <d v="2011-01-08T00:00:00"/>
    <n v="1"/>
    <n v="0"/>
    <n v="1"/>
    <n v="14"/>
    <b v="0"/>
    <n v="6"/>
    <n v="1"/>
    <n v="0.2"/>
    <n v="0.16669999999999999"/>
    <n v="0.32"/>
    <n v="0.49249999999999999"/>
    <n v="12"/>
    <n v="83"/>
    <n v="95"/>
    <b v="1"/>
    <x v="0"/>
    <s v="Saturday"/>
    <s v="Weekend"/>
    <s v="Spring"/>
    <s v="Clear"/>
    <s v="Off Peak"/>
    <s v="Low"/>
    <s v="Low"/>
  </r>
  <r>
    <n v="177"/>
    <d v="2011-01-08T00:00:00"/>
    <n v="1"/>
    <n v="0"/>
    <n v="1"/>
    <n v="15"/>
    <b v="0"/>
    <n v="6"/>
    <n v="1"/>
    <n v="0.2"/>
    <n v="0.16669999999999999"/>
    <n v="0.32"/>
    <n v="0.44779999999999998"/>
    <n v="5"/>
    <n v="69"/>
    <n v="74"/>
    <b v="1"/>
    <x v="0"/>
    <s v="Saturday"/>
    <s v="Weekend"/>
    <s v="Spring"/>
    <s v="Clear"/>
    <s v="Off Peak"/>
    <s v="Low"/>
    <s v="Low"/>
  </r>
  <r>
    <n v="178"/>
    <d v="2011-01-08T00:00:00"/>
    <n v="1"/>
    <n v="0"/>
    <n v="1"/>
    <n v="16"/>
    <b v="0"/>
    <n v="6"/>
    <n v="1"/>
    <n v="0.18"/>
    <n v="0.13639999999999999"/>
    <n v="0.28999999999999998"/>
    <n v="0.44779999999999998"/>
    <n v="8"/>
    <n v="68"/>
    <n v="76"/>
    <b v="1"/>
    <x v="0"/>
    <s v="Saturday"/>
    <s v="Weekend"/>
    <s v="Spring"/>
    <s v="Clear"/>
    <s v="Off Peak"/>
    <s v="Low"/>
    <s v="Low"/>
  </r>
  <r>
    <n v="179"/>
    <d v="2011-01-08T00:00:00"/>
    <n v="1"/>
    <n v="0"/>
    <n v="1"/>
    <n v="17"/>
    <b v="0"/>
    <n v="6"/>
    <n v="1"/>
    <n v="0.16"/>
    <n v="0.1212"/>
    <n v="0.37"/>
    <n v="0.55220000000000002"/>
    <n v="5"/>
    <n v="64"/>
    <n v="69"/>
    <b v="1"/>
    <x v="0"/>
    <s v="Saturday"/>
    <s v="Weekend"/>
    <s v="Spring"/>
    <s v="Clear"/>
    <s v="Evening Peak"/>
    <s v="Low"/>
    <s v="Low"/>
  </r>
  <r>
    <n v="180"/>
    <d v="2011-01-08T00:00:00"/>
    <n v="1"/>
    <n v="0"/>
    <n v="1"/>
    <n v="18"/>
    <b v="0"/>
    <n v="6"/>
    <n v="1"/>
    <n v="0.14000000000000001"/>
    <n v="0.1212"/>
    <n v="0.39"/>
    <n v="0.29849999999999999"/>
    <n v="3"/>
    <n v="52"/>
    <n v="55"/>
    <b v="1"/>
    <x v="0"/>
    <s v="Saturday"/>
    <s v="Weekend"/>
    <s v="Spring"/>
    <s v="Clear"/>
    <s v="Evening Peak"/>
    <s v="Low"/>
    <s v="Low"/>
  </r>
  <r>
    <n v="181"/>
    <d v="2011-01-08T00:00:00"/>
    <n v="1"/>
    <n v="0"/>
    <n v="1"/>
    <n v="19"/>
    <b v="0"/>
    <n v="6"/>
    <n v="1"/>
    <n v="0.14000000000000001"/>
    <n v="0.1212"/>
    <n v="0.36"/>
    <n v="0.25369999999999998"/>
    <n v="4"/>
    <n v="26"/>
    <n v="30"/>
    <b v="1"/>
    <x v="0"/>
    <s v="Saturday"/>
    <s v="Weekend"/>
    <s v="Spring"/>
    <s v="Clear"/>
    <s v="Evening Peak"/>
    <s v="Low"/>
    <s v="Low"/>
  </r>
  <r>
    <n v="182"/>
    <d v="2011-01-08T00:00:00"/>
    <n v="1"/>
    <n v="0"/>
    <n v="1"/>
    <n v="20"/>
    <b v="0"/>
    <n v="6"/>
    <n v="1"/>
    <n v="0.12"/>
    <n v="0.1212"/>
    <n v="0.36"/>
    <n v="0.25369999999999998"/>
    <n v="0"/>
    <n v="28"/>
    <n v="28"/>
    <b v="1"/>
    <x v="0"/>
    <s v="Saturday"/>
    <s v="Weekend"/>
    <s v="Spring"/>
    <s v="Clear"/>
    <s v="Evening Peak"/>
    <s v="Low"/>
    <s v="Low"/>
  </r>
  <r>
    <n v="183"/>
    <d v="2011-01-08T00:00:00"/>
    <n v="1"/>
    <n v="0"/>
    <n v="1"/>
    <n v="21"/>
    <b v="0"/>
    <n v="6"/>
    <n v="1"/>
    <n v="0.12"/>
    <n v="0.1061"/>
    <n v="0.39"/>
    <n v="0.35820000000000002"/>
    <n v="2"/>
    <n v="35"/>
    <n v="37"/>
    <b v="1"/>
    <x v="0"/>
    <s v="Saturday"/>
    <s v="Weekend"/>
    <s v="Spring"/>
    <s v="Clear"/>
    <s v="Off Peak"/>
    <s v="Low"/>
    <s v="Low"/>
  </r>
  <r>
    <n v="184"/>
    <d v="2011-01-08T00:00:00"/>
    <n v="1"/>
    <n v="0"/>
    <n v="1"/>
    <n v="22"/>
    <b v="0"/>
    <n v="6"/>
    <n v="1"/>
    <n v="0.12"/>
    <n v="0.1061"/>
    <n v="0.36"/>
    <n v="0.3881"/>
    <n v="1"/>
    <n v="33"/>
    <n v="34"/>
    <b v="1"/>
    <x v="0"/>
    <s v="Saturday"/>
    <s v="Weekend"/>
    <s v="Spring"/>
    <s v="Clear"/>
    <s v="Off Peak"/>
    <s v="Low"/>
    <s v="Low"/>
  </r>
  <r>
    <n v="185"/>
    <d v="2011-01-08T00:00:00"/>
    <n v="1"/>
    <n v="0"/>
    <n v="1"/>
    <n v="23"/>
    <b v="0"/>
    <n v="6"/>
    <n v="1"/>
    <n v="0.1"/>
    <n v="6.0600000000000001E-2"/>
    <n v="0.39"/>
    <n v="0.44779999999999998"/>
    <n v="0"/>
    <n v="22"/>
    <n v="22"/>
    <b v="1"/>
    <x v="0"/>
    <s v="Saturday"/>
    <s v="Weekend"/>
    <s v="Spring"/>
    <s v="Clear"/>
    <s v="Off Peak"/>
    <s v="Low"/>
    <s v="Low"/>
  </r>
  <r>
    <n v="186"/>
    <d v="2011-01-09T00:00:00"/>
    <n v="1"/>
    <n v="0"/>
    <n v="1"/>
    <n v="0"/>
    <b v="0"/>
    <n v="0"/>
    <n v="1"/>
    <n v="0.1"/>
    <n v="7.5800000000000006E-2"/>
    <n v="0.42"/>
    <n v="0.3881"/>
    <n v="1"/>
    <n v="24"/>
    <n v="25"/>
    <b v="1"/>
    <x v="0"/>
    <s v="Sunday"/>
    <s v="Weekend"/>
    <s v="Spring"/>
    <s v="Clear"/>
    <s v="Off Peak"/>
    <s v="Low"/>
    <s v="Medium"/>
  </r>
  <r>
    <n v="187"/>
    <d v="2011-01-09T00:00:00"/>
    <n v="1"/>
    <n v="0"/>
    <n v="1"/>
    <n v="1"/>
    <b v="0"/>
    <n v="0"/>
    <n v="1"/>
    <n v="0.1"/>
    <n v="6.0600000000000001E-2"/>
    <n v="0.42"/>
    <n v="0.4627"/>
    <n v="0"/>
    <n v="12"/>
    <n v="12"/>
    <b v="1"/>
    <x v="0"/>
    <s v="Sunday"/>
    <s v="Weekend"/>
    <s v="Spring"/>
    <s v="Clear"/>
    <s v="Off Peak"/>
    <s v="Low"/>
    <s v="Medium"/>
  </r>
  <r>
    <n v="188"/>
    <d v="2011-01-09T00:00:00"/>
    <n v="1"/>
    <n v="0"/>
    <n v="1"/>
    <n v="2"/>
    <b v="0"/>
    <n v="0"/>
    <n v="1"/>
    <n v="0.1"/>
    <n v="6.0600000000000001E-2"/>
    <n v="0.46"/>
    <n v="0.4627"/>
    <n v="0"/>
    <n v="11"/>
    <n v="11"/>
    <b v="1"/>
    <x v="0"/>
    <s v="Sunday"/>
    <s v="Weekend"/>
    <s v="Spring"/>
    <s v="Clear"/>
    <s v="Off Peak"/>
    <s v="Low"/>
    <s v="Medium"/>
  </r>
  <r>
    <n v="189"/>
    <d v="2011-01-09T00:00:00"/>
    <n v="1"/>
    <n v="0"/>
    <n v="1"/>
    <n v="3"/>
    <b v="0"/>
    <n v="0"/>
    <n v="1"/>
    <n v="0.1"/>
    <n v="7.5800000000000006E-2"/>
    <n v="0.46"/>
    <n v="0.41789999999999999"/>
    <n v="0"/>
    <n v="4"/>
    <n v="4"/>
    <b v="1"/>
    <x v="0"/>
    <s v="Sunday"/>
    <s v="Weekend"/>
    <s v="Spring"/>
    <s v="Clear"/>
    <s v="Off Peak"/>
    <s v="Low"/>
    <s v="Medium"/>
  </r>
  <r>
    <n v="190"/>
    <d v="2011-01-09T00:00:00"/>
    <n v="1"/>
    <n v="0"/>
    <n v="1"/>
    <n v="4"/>
    <b v="0"/>
    <n v="0"/>
    <n v="1"/>
    <n v="0.08"/>
    <n v="9.0899999999999995E-2"/>
    <n v="0.53"/>
    <n v="0.19400000000000001"/>
    <n v="0"/>
    <n v="1"/>
    <n v="1"/>
    <b v="1"/>
    <x v="0"/>
    <s v="Sunday"/>
    <s v="Weekend"/>
    <s v="Spring"/>
    <s v="Clear"/>
    <s v="Off Peak"/>
    <s v="Low"/>
    <s v="Medium"/>
  </r>
  <r>
    <n v="191"/>
    <d v="2011-01-09T00:00:00"/>
    <n v="1"/>
    <n v="0"/>
    <n v="1"/>
    <n v="5"/>
    <b v="0"/>
    <n v="0"/>
    <n v="1"/>
    <n v="0.08"/>
    <n v="9.0899999999999995E-2"/>
    <n v="0.53"/>
    <n v="0.19400000000000001"/>
    <n v="0"/>
    <n v="1"/>
    <n v="1"/>
    <b v="1"/>
    <x v="0"/>
    <s v="Sunday"/>
    <s v="Weekend"/>
    <s v="Spring"/>
    <s v="Clear"/>
    <s v="Off Peak"/>
    <s v="Low"/>
    <s v="Medium"/>
  </r>
  <r>
    <n v="192"/>
    <d v="2011-01-09T00:00:00"/>
    <n v="1"/>
    <n v="0"/>
    <n v="1"/>
    <n v="6"/>
    <b v="0"/>
    <n v="0"/>
    <n v="1"/>
    <n v="0.1"/>
    <n v="9.0899999999999995E-2"/>
    <n v="0.49"/>
    <n v="0.28360000000000002"/>
    <n v="0"/>
    <n v="1"/>
    <n v="1"/>
    <b v="1"/>
    <x v="0"/>
    <s v="Sunday"/>
    <s v="Weekend"/>
    <s v="Spring"/>
    <s v="Clear"/>
    <s v="Off Peak"/>
    <s v="Low"/>
    <s v="Medium"/>
  </r>
  <r>
    <n v="193"/>
    <d v="2011-01-09T00:00:00"/>
    <n v="1"/>
    <n v="0"/>
    <n v="1"/>
    <n v="7"/>
    <b v="0"/>
    <n v="0"/>
    <n v="1"/>
    <n v="0.08"/>
    <n v="9.0899999999999995E-2"/>
    <n v="0.53"/>
    <n v="0.19400000000000001"/>
    <n v="1"/>
    <n v="5"/>
    <n v="6"/>
    <b v="1"/>
    <x v="0"/>
    <s v="Sunday"/>
    <s v="Weekend"/>
    <s v="Spring"/>
    <s v="Clear"/>
    <s v="Morning Peak"/>
    <s v="Low"/>
    <s v="Medium"/>
  </r>
  <r>
    <n v="194"/>
    <d v="2011-01-09T00:00:00"/>
    <n v="1"/>
    <n v="0"/>
    <n v="1"/>
    <n v="8"/>
    <b v="0"/>
    <n v="0"/>
    <n v="1"/>
    <n v="0.1"/>
    <n v="9.0899999999999995E-2"/>
    <n v="0.49"/>
    <n v="0.28360000000000002"/>
    <n v="0"/>
    <n v="10"/>
    <n v="10"/>
    <b v="1"/>
    <x v="0"/>
    <s v="Sunday"/>
    <s v="Weekend"/>
    <s v="Spring"/>
    <s v="Clear"/>
    <s v="Morning Peak"/>
    <s v="Low"/>
    <s v="Medium"/>
  </r>
  <r>
    <n v="195"/>
    <d v="2011-01-09T00:00:00"/>
    <n v="1"/>
    <n v="0"/>
    <n v="1"/>
    <n v="9"/>
    <b v="0"/>
    <n v="0"/>
    <n v="1"/>
    <n v="0.12"/>
    <n v="7.5800000000000006E-2"/>
    <n v="0.46"/>
    <n v="0.52239999999999998"/>
    <n v="0"/>
    <n v="19"/>
    <n v="19"/>
    <b v="1"/>
    <x v="0"/>
    <s v="Sunday"/>
    <s v="Weekend"/>
    <s v="Spring"/>
    <s v="Clear"/>
    <s v="Morning Peak"/>
    <s v="Low"/>
    <s v="Medium"/>
  </r>
  <r>
    <n v="196"/>
    <d v="2011-01-09T00:00:00"/>
    <n v="1"/>
    <n v="0"/>
    <n v="1"/>
    <n v="10"/>
    <b v="0"/>
    <n v="0"/>
    <n v="1"/>
    <n v="0.14000000000000001"/>
    <n v="0.1061"/>
    <n v="0.43"/>
    <n v="0.3881"/>
    <n v="0"/>
    <n v="49"/>
    <n v="49"/>
    <b v="1"/>
    <x v="0"/>
    <s v="Sunday"/>
    <s v="Weekend"/>
    <s v="Spring"/>
    <s v="Clear"/>
    <s v="Off Peak"/>
    <s v="Low"/>
    <s v="Medium"/>
  </r>
  <r>
    <n v="197"/>
    <d v="2011-01-09T00:00:00"/>
    <n v="1"/>
    <n v="0"/>
    <n v="1"/>
    <n v="11"/>
    <b v="0"/>
    <n v="0"/>
    <n v="1"/>
    <n v="0.16"/>
    <n v="0.1212"/>
    <n v="0.4"/>
    <n v="0.52239999999999998"/>
    <n v="2"/>
    <n v="47"/>
    <n v="49"/>
    <b v="1"/>
    <x v="0"/>
    <s v="Sunday"/>
    <s v="Weekend"/>
    <s v="Spring"/>
    <s v="Clear"/>
    <s v="Off Peak"/>
    <s v="Low"/>
    <s v="Medium"/>
  </r>
  <r>
    <n v="198"/>
    <d v="2011-01-09T00:00:00"/>
    <n v="1"/>
    <n v="0"/>
    <n v="1"/>
    <n v="12"/>
    <b v="0"/>
    <n v="0"/>
    <n v="1"/>
    <n v="0.18"/>
    <n v="0.13639999999999999"/>
    <n v="0.37"/>
    <n v="0.44779999999999998"/>
    <n v="4"/>
    <n v="79"/>
    <n v="83"/>
    <b v="1"/>
    <x v="0"/>
    <s v="Sunday"/>
    <s v="Weekend"/>
    <s v="Spring"/>
    <s v="Clear"/>
    <s v="Off Peak"/>
    <s v="Low"/>
    <s v="Low"/>
  </r>
  <r>
    <n v="199"/>
    <d v="2011-01-09T00:00:00"/>
    <n v="1"/>
    <n v="0"/>
    <n v="1"/>
    <n v="13"/>
    <b v="0"/>
    <n v="0"/>
    <n v="1"/>
    <n v="0.2"/>
    <n v="0.16669999999999999"/>
    <n v="0.34"/>
    <n v="0.44779999999999998"/>
    <n v="6"/>
    <n v="69"/>
    <n v="75"/>
    <b v="1"/>
    <x v="0"/>
    <s v="Sunday"/>
    <s v="Weekend"/>
    <s v="Spring"/>
    <s v="Clear"/>
    <s v="Off Peak"/>
    <s v="Low"/>
    <s v="Low"/>
  </r>
  <r>
    <n v="200"/>
    <d v="2011-01-09T00:00:00"/>
    <n v="1"/>
    <n v="0"/>
    <n v="1"/>
    <n v="14"/>
    <b v="0"/>
    <n v="0"/>
    <n v="1"/>
    <n v="0.22"/>
    <n v="0.18179999999999999"/>
    <n v="0.32"/>
    <n v="0.4627"/>
    <n v="8"/>
    <n v="64"/>
    <n v="72"/>
    <b v="1"/>
    <x v="0"/>
    <s v="Sunday"/>
    <s v="Weekend"/>
    <s v="Spring"/>
    <s v="Clear"/>
    <s v="Off Peak"/>
    <s v="Low"/>
    <s v="Low"/>
  </r>
  <r>
    <n v="201"/>
    <d v="2011-01-09T00:00:00"/>
    <n v="1"/>
    <n v="0"/>
    <n v="1"/>
    <n v="15"/>
    <b v="0"/>
    <n v="0"/>
    <n v="1"/>
    <n v="0.22"/>
    <n v="0.19700000000000001"/>
    <n v="0.35"/>
    <n v="0.35820000000000002"/>
    <n v="5"/>
    <n v="77"/>
    <n v="82"/>
    <b v="1"/>
    <x v="0"/>
    <s v="Sunday"/>
    <s v="Weekend"/>
    <s v="Spring"/>
    <s v="Clear"/>
    <s v="Off Peak"/>
    <s v="Low"/>
    <s v="Low"/>
  </r>
  <r>
    <n v="202"/>
    <d v="2011-01-09T00:00:00"/>
    <n v="1"/>
    <n v="0"/>
    <n v="1"/>
    <n v="16"/>
    <b v="0"/>
    <n v="0"/>
    <n v="1"/>
    <n v="0.2"/>
    <n v="0.16669999999999999"/>
    <n v="0.34"/>
    <n v="0.44779999999999998"/>
    <n v="13"/>
    <n v="79"/>
    <n v="92"/>
    <b v="1"/>
    <x v="0"/>
    <s v="Sunday"/>
    <s v="Weekend"/>
    <s v="Spring"/>
    <s v="Clear"/>
    <s v="Off Peak"/>
    <s v="Low"/>
    <s v="Low"/>
  </r>
  <r>
    <n v="203"/>
    <d v="2011-01-09T00:00:00"/>
    <n v="1"/>
    <n v="0"/>
    <n v="1"/>
    <n v="17"/>
    <b v="0"/>
    <n v="0"/>
    <n v="1"/>
    <n v="0.18"/>
    <n v="0.1515"/>
    <n v="0.37"/>
    <n v="0.3881"/>
    <n v="3"/>
    <n v="59"/>
    <n v="62"/>
    <b v="1"/>
    <x v="0"/>
    <s v="Sunday"/>
    <s v="Weekend"/>
    <s v="Spring"/>
    <s v="Clear"/>
    <s v="Evening Peak"/>
    <s v="Low"/>
    <s v="Low"/>
  </r>
  <r>
    <n v="204"/>
    <d v="2011-01-09T00:00:00"/>
    <n v="1"/>
    <n v="0"/>
    <n v="1"/>
    <n v="18"/>
    <b v="0"/>
    <n v="0"/>
    <n v="1"/>
    <n v="0.16"/>
    <n v="0.13639999999999999"/>
    <n v="0.4"/>
    <n v="0.32840000000000003"/>
    <n v="4"/>
    <n v="44"/>
    <n v="48"/>
    <b v="1"/>
    <x v="0"/>
    <s v="Sunday"/>
    <s v="Weekend"/>
    <s v="Spring"/>
    <s v="Clear"/>
    <s v="Evening Peak"/>
    <s v="Low"/>
    <s v="Medium"/>
  </r>
  <r>
    <n v="205"/>
    <d v="2011-01-09T00:00:00"/>
    <n v="1"/>
    <n v="0"/>
    <n v="1"/>
    <n v="19"/>
    <b v="0"/>
    <n v="0"/>
    <n v="1"/>
    <n v="0.16"/>
    <n v="0.13639999999999999"/>
    <n v="0.43"/>
    <n v="0.32840000000000003"/>
    <n v="1"/>
    <n v="40"/>
    <n v="41"/>
    <b v="1"/>
    <x v="0"/>
    <s v="Sunday"/>
    <s v="Weekend"/>
    <s v="Spring"/>
    <s v="Clear"/>
    <s v="Evening Peak"/>
    <s v="Low"/>
    <s v="Medium"/>
  </r>
  <r>
    <n v="206"/>
    <d v="2011-01-09T00:00:00"/>
    <n v="1"/>
    <n v="0"/>
    <n v="1"/>
    <n v="20"/>
    <b v="0"/>
    <n v="0"/>
    <n v="1"/>
    <n v="0.14000000000000001"/>
    <n v="0.1212"/>
    <n v="0.46"/>
    <n v="0.25369999999999998"/>
    <n v="0"/>
    <n v="38"/>
    <n v="38"/>
    <b v="1"/>
    <x v="0"/>
    <s v="Sunday"/>
    <s v="Weekend"/>
    <s v="Spring"/>
    <s v="Clear"/>
    <s v="Evening Peak"/>
    <s v="Low"/>
    <s v="Medium"/>
  </r>
  <r>
    <n v="207"/>
    <d v="2011-01-09T00:00:00"/>
    <n v="1"/>
    <n v="0"/>
    <n v="1"/>
    <n v="21"/>
    <b v="0"/>
    <n v="0"/>
    <n v="1"/>
    <n v="0.14000000000000001"/>
    <n v="0.1061"/>
    <n v="0.46"/>
    <n v="0.41789999999999999"/>
    <n v="1"/>
    <n v="19"/>
    <n v="20"/>
    <b v="1"/>
    <x v="0"/>
    <s v="Sunday"/>
    <s v="Weekend"/>
    <s v="Spring"/>
    <s v="Clear"/>
    <s v="Off Peak"/>
    <s v="Low"/>
    <s v="Medium"/>
  </r>
  <r>
    <n v="208"/>
    <d v="2011-01-09T00:00:00"/>
    <n v="1"/>
    <n v="0"/>
    <n v="1"/>
    <n v="22"/>
    <b v="0"/>
    <n v="0"/>
    <n v="1"/>
    <n v="0.14000000000000001"/>
    <n v="0.1212"/>
    <n v="0.46"/>
    <n v="0.29849999999999999"/>
    <n v="5"/>
    <n v="10"/>
    <n v="15"/>
    <b v="1"/>
    <x v="0"/>
    <s v="Sunday"/>
    <s v="Weekend"/>
    <s v="Spring"/>
    <s v="Clear"/>
    <s v="Off Peak"/>
    <s v="Low"/>
    <s v="Medium"/>
  </r>
  <r>
    <n v="209"/>
    <d v="2011-01-09T00:00:00"/>
    <n v="1"/>
    <n v="0"/>
    <n v="1"/>
    <n v="23"/>
    <b v="0"/>
    <n v="0"/>
    <n v="1"/>
    <n v="0.12"/>
    <n v="0.13639999999999999"/>
    <n v="0.5"/>
    <n v="0.19400000000000001"/>
    <n v="0"/>
    <n v="6"/>
    <n v="6"/>
    <b v="1"/>
    <x v="0"/>
    <s v="Sunday"/>
    <s v="Weekend"/>
    <s v="Spring"/>
    <s v="Clear"/>
    <s v="Off Peak"/>
    <s v="Low"/>
    <s v="Medium"/>
  </r>
  <r>
    <n v="210"/>
    <d v="2011-01-10T00:00:00"/>
    <n v="1"/>
    <n v="0"/>
    <n v="1"/>
    <n v="0"/>
    <b v="0"/>
    <n v="1"/>
    <n v="1"/>
    <n v="0.12"/>
    <n v="0.1212"/>
    <n v="0.5"/>
    <n v="0.28360000000000002"/>
    <n v="2"/>
    <n v="3"/>
    <n v="5"/>
    <b v="1"/>
    <x v="0"/>
    <s v="Monday"/>
    <s v="Weekday"/>
    <s v="Spring"/>
    <s v="Clear"/>
    <s v="Off Peak"/>
    <s v="Low"/>
    <s v="Medium"/>
  </r>
  <r>
    <n v="211"/>
    <d v="2011-01-10T00:00:00"/>
    <n v="1"/>
    <n v="0"/>
    <n v="1"/>
    <n v="1"/>
    <b v="0"/>
    <n v="1"/>
    <n v="1"/>
    <n v="0.12"/>
    <n v="0.1212"/>
    <n v="0.5"/>
    <n v="0.28360000000000002"/>
    <n v="1"/>
    <n v="0"/>
    <n v="1"/>
    <b v="1"/>
    <x v="0"/>
    <s v="Monday"/>
    <s v="Weekday"/>
    <s v="Spring"/>
    <s v="Clear"/>
    <s v="Off Peak"/>
    <s v="Low"/>
    <s v="Medium"/>
  </r>
  <r>
    <n v="212"/>
    <d v="2011-01-10T00:00:00"/>
    <n v="1"/>
    <n v="0"/>
    <n v="1"/>
    <n v="2"/>
    <b v="0"/>
    <n v="1"/>
    <n v="1"/>
    <n v="0.12"/>
    <n v="0.1212"/>
    <n v="0.5"/>
    <n v="0.22389999999999999"/>
    <n v="0"/>
    <n v="3"/>
    <n v="3"/>
    <b v="1"/>
    <x v="0"/>
    <s v="Monday"/>
    <s v="Weekday"/>
    <s v="Spring"/>
    <s v="Clear"/>
    <s v="Off Peak"/>
    <s v="Low"/>
    <s v="Medium"/>
  </r>
  <r>
    <n v="213"/>
    <d v="2011-01-10T00:00:00"/>
    <n v="1"/>
    <n v="0"/>
    <n v="1"/>
    <n v="3"/>
    <b v="0"/>
    <n v="1"/>
    <n v="1"/>
    <n v="0.12"/>
    <n v="0.1212"/>
    <n v="0.5"/>
    <n v="0.22389999999999999"/>
    <n v="0"/>
    <n v="1"/>
    <n v="1"/>
    <b v="1"/>
    <x v="0"/>
    <s v="Monday"/>
    <s v="Weekday"/>
    <s v="Spring"/>
    <s v="Clear"/>
    <s v="Off Peak"/>
    <s v="Low"/>
    <s v="Medium"/>
  </r>
  <r>
    <n v="214"/>
    <d v="2011-01-10T00:00:00"/>
    <n v="1"/>
    <n v="0"/>
    <n v="1"/>
    <n v="4"/>
    <b v="0"/>
    <n v="1"/>
    <n v="1"/>
    <n v="0.1"/>
    <n v="0.1212"/>
    <n v="0.54"/>
    <n v="0.1343"/>
    <n v="1"/>
    <n v="2"/>
    <n v="3"/>
    <b v="1"/>
    <x v="0"/>
    <s v="Monday"/>
    <s v="Weekday"/>
    <s v="Spring"/>
    <s v="Clear"/>
    <s v="Off Peak"/>
    <s v="Low"/>
    <s v="Medium"/>
  </r>
  <r>
    <n v="215"/>
    <d v="2011-01-10T00:00:00"/>
    <n v="1"/>
    <n v="0"/>
    <n v="1"/>
    <n v="5"/>
    <b v="0"/>
    <n v="1"/>
    <n v="1"/>
    <n v="0.1"/>
    <n v="0.1061"/>
    <n v="0.54"/>
    <n v="0.25369999999999998"/>
    <n v="0"/>
    <n v="3"/>
    <n v="3"/>
    <b v="1"/>
    <x v="0"/>
    <s v="Monday"/>
    <s v="Weekday"/>
    <s v="Spring"/>
    <s v="Clear"/>
    <s v="Off Peak"/>
    <s v="Low"/>
    <s v="Medium"/>
  </r>
  <r>
    <n v="216"/>
    <d v="2011-01-10T00:00:00"/>
    <n v="1"/>
    <n v="0"/>
    <n v="1"/>
    <n v="6"/>
    <b v="0"/>
    <n v="1"/>
    <n v="1"/>
    <n v="0.12"/>
    <n v="0.1212"/>
    <n v="0.5"/>
    <n v="0.28360000000000002"/>
    <n v="0"/>
    <n v="31"/>
    <n v="31"/>
    <b v="1"/>
    <x v="0"/>
    <s v="Monday"/>
    <s v="Weekday"/>
    <s v="Spring"/>
    <s v="Clear"/>
    <s v="Off Peak"/>
    <s v="Low"/>
    <s v="Medium"/>
  </r>
  <r>
    <n v="217"/>
    <d v="2011-01-10T00:00:00"/>
    <n v="1"/>
    <n v="0"/>
    <n v="1"/>
    <n v="7"/>
    <b v="0"/>
    <n v="1"/>
    <n v="1"/>
    <n v="0.12"/>
    <n v="0.1212"/>
    <n v="0.5"/>
    <n v="0.22389999999999999"/>
    <n v="2"/>
    <n v="75"/>
    <n v="77"/>
    <b v="1"/>
    <x v="0"/>
    <s v="Monday"/>
    <s v="Weekday"/>
    <s v="Spring"/>
    <s v="Clear"/>
    <s v="Morning Peak"/>
    <s v="Low"/>
    <s v="Medium"/>
  </r>
  <r>
    <n v="218"/>
    <d v="2011-01-10T00:00:00"/>
    <n v="1"/>
    <n v="0"/>
    <n v="1"/>
    <n v="8"/>
    <b v="0"/>
    <n v="1"/>
    <n v="2"/>
    <n v="0.12"/>
    <n v="0.1212"/>
    <n v="0.5"/>
    <n v="0.28360000000000002"/>
    <n v="4"/>
    <n v="184"/>
    <n v="188"/>
    <b v="1"/>
    <x v="0"/>
    <s v="Monday"/>
    <s v="Weekday"/>
    <s v="Spring"/>
    <s v="Mist"/>
    <s v="Morning Peak"/>
    <s v="Low"/>
    <s v="Medium"/>
  </r>
  <r>
    <n v="219"/>
    <d v="2011-01-10T00:00:00"/>
    <n v="1"/>
    <n v="0"/>
    <n v="1"/>
    <n v="9"/>
    <b v="0"/>
    <n v="1"/>
    <n v="2"/>
    <n v="0.14000000000000001"/>
    <n v="0.1212"/>
    <n v="0.5"/>
    <n v="0.25369999999999998"/>
    <n v="2"/>
    <n v="92"/>
    <n v="94"/>
    <b v="1"/>
    <x v="0"/>
    <s v="Monday"/>
    <s v="Weekday"/>
    <s v="Spring"/>
    <s v="Mist"/>
    <s v="Morning Peak"/>
    <s v="Low"/>
    <s v="Medium"/>
  </r>
  <r>
    <n v="220"/>
    <d v="2011-01-10T00:00:00"/>
    <n v="1"/>
    <n v="0"/>
    <n v="1"/>
    <n v="10"/>
    <b v="0"/>
    <n v="1"/>
    <n v="2"/>
    <n v="0.14000000000000001"/>
    <n v="0.1212"/>
    <n v="0.5"/>
    <n v="0.29849999999999999"/>
    <n v="0"/>
    <n v="31"/>
    <n v="31"/>
    <b v="1"/>
    <x v="0"/>
    <s v="Monday"/>
    <s v="Weekday"/>
    <s v="Spring"/>
    <s v="Mist"/>
    <s v="Off Peak"/>
    <s v="Low"/>
    <s v="Medium"/>
  </r>
  <r>
    <n v="221"/>
    <d v="2011-01-10T00:00:00"/>
    <n v="1"/>
    <n v="0"/>
    <n v="1"/>
    <n v="11"/>
    <b v="0"/>
    <n v="1"/>
    <n v="2"/>
    <n v="0.16"/>
    <n v="0.13639999999999999"/>
    <n v="0.47"/>
    <n v="0.28360000000000002"/>
    <n v="2"/>
    <n v="28"/>
    <n v="30"/>
    <b v="1"/>
    <x v="0"/>
    <s v="Monday"/>
    <s v="Weekday"/>
    <s v="Spring"/>
    <s v="Mist"/>
    <s v="Off Peak"/>
    <s v="Low"/>
    <s v="Medium"/>
  </r>
  <r>
    <n v="222"/>
    <d v="2011-01-10T00:00:00"/>
    <n v="1"/>
    <n v="0"/>
    <n v="1"/>
    <n v="12"/>
    <b v="0"/>
    <n v="1"/>
    <n v="2"/>
    <n v="0.2"/>
    <n v="0.18179999999999999"/>
    <n v="0.4"/>
    <n v="0.28360000000000002"/>
    <n v="5"/>
    <n v="47"/>
    <n v="52"/>
    <b v="1"/>
    <x v="0"/>
    <s v="Monday"/>
    <s v="Weekday"/>
    <s v="Spring"/>
    <s v="Mist"/>
    <s v="Off Peak"/>
    <s v="Low"/>
    <s v="Medium"/>
  </r>
  <r>
    <n v="223"/>
    <d v="2011-01-10T00:00:00"/>
    <n v="1"/>
    <n v="0"/>
    <n v="1"/>
    <n v="13"/>
    <b v="0"/>
    <n v="1"/>
    <n v="2"/>
    <n v="0.2"/>
    <n v="0.18179999999999999"/>
    <n v="0.4"/>
    <n v="0.28360000000000002"/>
    <n v="4"/>
    <n v="50"/>
    <n v="54"/>
    <b v="1"/>
    <x v="0"/>
    <s v="Monday"/>
    <s v="Weekday"/>
    <s v="Spring"/>
    <s v="Mist"/>
    <s v="Off Peak"/>
    <s v="Low"/>
    <s v="Medium"/>
  </r>
  <r>
    <n v="224"/>
    <d v="2011-01-10T00:00:00"/>
    <n v="1"/>
    <n v="0"/>
    <n v="1"/>
    <n v="14"/>
    <b v="0"/>
    <n v="1"/>
    <n v="2"/>
    <n v="0.2"/>
    <n v="0.19700000000000001"/>
    <n v="0.4"/>
    <n v="0.22389999999999999"/>
    <n v="0"/>
    <n v="47"/>
    <n v="47"/>
    <b v="1"/>
    <x v="0"/>
    <s v="Monday"/>
    <s v="Weekday"/>
    <s v="Spring"/>
    <s v="Mist"/>
    <s v="Off Peak"/>
    <s v="Low"/>
    <s v="Medium"/>
  </r>
  <r>
    <n v="225"/>
    <d v="2011-01-10T00:00:00"/>
    <n v="1"/>
    <n v="0"/>
    <n v="1"/>
    <n v="15"/>
    <b v="0"/>
    <n v="1"/>
    <n v="2"/>
    <n v="0.2"/>
    <n v="0.19700000000000001"/>
    <n v="0.4"/>
    <n v="0.22389999999999999"/>
    <n v="2"/>
    <n v="43"/>
    <n v="45"/>
    <b v="1"/>
    <x v="0"/>
    <s v="Monday"/>
    <s v="Weekday"/>
    <s v="Spring"/>
    <s v="Mist"/>
    <s v="Off Peak"/>
    <s v="Low"/>
    <s v="Medium"/>
  </r>
  <r>
    <n v="226"/>
    <d v="2011-01-10T00:00:00"/>
    <n v="1"/>
    <n v="0"/>
    <n v="1"/>
    <n v="16"/>
    <b v="0"/>
    <n v="1"/>
    <n v="1"/>
    <n v="0.2"/>
    <n v="0.21210000000000001"/>
    <n v="0.4"/>
    <n v="0.1343"/>
    <n v="4"/>
    <n v="70"/>
    <n v="74"/>
    <b v="1"/>
    <x v="0"/>
    <s v="Monday"/>
    <s v="Weekday"/>
    <s v="Spring"/>
    <s v="Clear"/>
    <s v="Off Peak"/>
    <s v="Low"/>
    <s v="Medium"/>
  </r>
  <r>
    <n v="227"/>
    <d v="2011-01-10T00:00:00"/>
    <n v="1"/>
    <n v="0"/>
    <n v="1"/>
    <n v="17"/>
    <b v="0"/>
    <n v="1"/>
    <n v="1"/>
    <n v="0.2"/>
    <n v="0.2273"/>
    <n v="0.4"/>
    <n v="0.1045"/>
    <n v="4"/>
    <n v="174"/>
    <n v="178"/>
    <b v="1"/>
    <x v="0"/>
    <s v="Monday"/>
    <s v="Weekday"/>
    <s v="Spring"/>
    <s v="Clear"/>
    <s v="Evening Peak"/>
    <s v="Low"/>
    <s v="Medium"/>
  </r>
  <r>
    <n v="228"/>
    <d v="2011-01-10T00:00:00"/>
    <n v="1"/>
    <n v="0"/>
    <n v="1"/>
    <n v="18"/>
    <b v="0"/>
    <n v="1"/>
    <n v="1"/>
    <n v="0.2"/>
    <n v="0.19700000000000001"/>
    <n v="0.4"/>
    <n v="0.22389999999999999"/>
    <n v="1"/>
    <n v="154"/>
    <n v="155"/>
    <b v="1"/>
    <x v="0"/>
    <s v="Monday"/>
    <s v="Weekday"/>
    <s v="Spring"/>
    <s v="Clear"/>
    <s v="Evening Peak"/>
    <s v="Low"/>
    <s v="Medium"/>
  </r>
  <r>
    <n v="229"/>
    <d v="2011-01-10T00:00:00"/>
    <n v="1"/>
    <n v="0"/>
    <n v="1"/>
    <n v="19"/>
    <b v="0"/>
    <n v="1"/>
    <n v="1"/>
    <n v="0.16"/>
    <n v="0.16669999999999999"/>
    <n v="0.47"/>
    <n v="0.16420000000000001"/>
    <n v="3"/>
    <n v="92"/>
    <n v="95"/>
    <b v="1"/>
    <x v="0"/>
    <s v="Monday"/>
    <s v="Weekday"/>
    <s v="Spring"/>
    <s v="Clear"/>
    <s v="Evening Peak"/>
    <s v="Low"/>
    <s v="Medium"/>
  </r>
  <r>
    <n v="230"/>
    <d v="2011-01-10T00:00:00"/>
    <n v="1"/>
    <n v="0"/>
    <n v="1"/>
    <n v="20"/>
    <b v="0"/>
    <n v="1"/>
    <n v="1"/>
    <n v="0.16"/>
    <n v="0.16669999999999999"/>
    <n v="0.5"/>
    <n v="0.16420000000000001"/>
    <n v="1"/>
    <n v="73"/>
    <n v="74"/>
    <b v="1"/>
    <x v="0"/>
    <s v="Monday"/>
    <s v="Weekday"/>
    <s v="Spring"/>
    <s v="Clear"/>
    <s v="Evening Peak"/>
    <s v="Low"/>
    <s v="Medium"/>
  </r>
  <r>
    <n v="231"/>
    <d v="2011-01-10T00:00:00"/>
    <n v="1"/>
    <n v="0"/>
    <n v="1"/>
    <n v="21"/>
    <b v="0"/>
    <n v="1"/>
    <n v="1"/>
    <n v="0.14000000000000001"/>
    <n v="0.13639999999999999"/>
    <n v="0.59"/>
    <n v="0.19400000000000001"/>
    <n v="1"/>
    <n v="37"/>
    <n v="38"/>
    <b v="1"/>
    <x v="0"/>
    <s v="Monday"/>
    <s v="Weekday"/>
    <s v="Spring"/>
    <s v="Clear"/>
    <s v="Off Peak"/>
    <s v="Low"/>
    <s v="Medium"/>
  </r>
  <r>
    <n v="232"/>
    <d v="2011-01-10T00:00:00"/>
    <n v="1"/>
    <n v="0"/>
    <n v="1"/>
    <n v="22"/>
    <b v="0"/>
    <n v="1"/>
    <n v="1"/>
    <n v="0.14000000000000001"/>
    <n v="0.1515"/>
    <n v="0.59"/>
    <n v="0.16420000000000001"/>
    <n v="2"/>
    <n v="22"/>
    <n v="24"/>
    <b v="1"/>
    <x v="0"/>
    <s v="Monday"/>
    <s v="Weekday"/>
    <s v="Spring"/>
    <s v="Clear"/>
    <s v="Off Peak"/>
    <s v="Low"/>
    <s v="Medium"/>
  </r>
  <r>
    <n v="233"/>
    <d v="2011-01-10T00:00:00"/>
    <n v="1"/>
    <n v="0"/>
    <n v="1"/>
    <n v="23"/>
    <b v="0"/>
    <n v="1"/>
    <n v="1"/>
    <n v="0.14000000000000001"/>
    <n v="0.1515"/>
    <n v="0.59"/>
    <n v="0.16420000000000001"/>
    <n v="0"/>
    <n v="18"/>
    <n v="18"/>
    <b v="1"/>
    <x v="0"/>
    <s v="Monday"/>
    <s v="Weekday"/>
    <s v="Spring"/>
    <s v="Clear"/>
    <s v="Off Peak"/>
    <s v="Low"/>
    <s v="Medium"/>
  </r>
  <r>
    <n v="234"/>
    <d v="2011-01-11T00:00:00"/>
    <n v="1"/>
    <n v="0"/>
    <n v="1"/>
    <n v="0"/>
    <b v="0"/>
    <n v="2"/>
    <n v="1"/>
    <n v="0.14000000000000001"/>
    <n v="0.16669999999999999"/>
    <n v="0.59"/>
    <n v="0.1045"/>
    <n v="2"/>
    <n v="10"/>
    <n v="12"/>
    <b v="1"/>
    <x v="0"/>
    <s v="Tuesday"/>
    <s v="Weekday"/>
    <s v="Spring"/>
    <s v="Clear"/>
    <s v="Off Peak"/>
    <s v="Low"/>
    <s v="Medium"/>
  </r>
  <r>
    <n v="235"/>
    <d v="2011-01-11T00:00:00"/>
    <n v="1"/>
    <n v="0"/>
    <n v="1"/>
    <n v="1"/>
    <b v="0"/>
    <n v="2"/>
    <n v="1"/>
    <n v="0.14000000000000001"/>
    <n v="0.1515"/>
    <n v="0.59"/>
    <n v="0.16420000000000001"/>
    <n v="0"/>
    <n v="3"/>
    <n v="3"/>
    <b v="1"/>
    <x v="0"/>
    <s v="Tuesday"/>
    <s v="Weekday"/>
    <s v="Spring"/>
    <s v="Clear"/>
    <s v="Off Peak"/>
    <s v="Low"/>
    <s v="Medium"/>
  </r>
  <r>
    <n v="236"/>
    <d v="2011-01-11T00:00:00"/>
    <n v="1"/>
    <n v="0"/>
    <n v="1"/>
    <n v="2"/>
    <b v="0"/>
    <n v="2"/>
    <n v="2"/>
    <n v="0.16"/>
    <n v="0.1515"/>
    <n v="0.55000000000000004"/>
    <n v="0.19400000000000001"/>
    <n v="0"/>
    <n v="3"/>
    <n v="3"/>
    <b v="1"/>
    <x v="0"/>
    <s v="Tuesday"/>
    <s v="Weekday"/>
    <s v="Spring"/>
    <s v="Mist"/>
    <s v="Off Peak"/>
    <s v="Low"/>
    <s v="Medium"/>
  </r>
  <r>
    <n v="237"/>
    <d v="2011-01-11T00:00:00"/>
    <n v="1"/>
    <n v="0"/>
    <n v="1"/>
    <n v="5"/>
    <b v="0"/>
    <n v="2"/>
    <n v="2"/>
    <n v="0.16"/>
    <n v="0.18179999999999999"/>
    <n v="0.55000000000000004"/>
    <n v="0.1343"/>
    <n v="0"/>
    <n v="6"/>
    <n v="6"/>
    <b v="1"/>
    <x v="0"/>
    <s v="Tuesday"/>
    <s v="Weekday"/>
    <s v="Spring"/>
    <s v="Mist"/>
    <s v="Off Peak"/>
    <s v="Low"/>
    <s v="Medium"/>
  </r>
  <r>
    <n v="238"/>
    <d v="2011-01-11T00:00:00"/>
    <n v="1"/>
    <n v="0"/>
    <n v="1"/>
    <n v="6"/>
    <b v="0"/>
    <n v="2"/>
    <n v="2"/>
    <n v="0.16"/>
    <n v="0.18179999999999999"/>
    <n v="0.55000000000000004"/>
    <n v="0.1343"/>
    <n v="0"/>
    <n v="27"/>
    <n v="27"/>
    <b v="1"/>
    <x v="0"/>
    <s v="Tuesday"/>
    <s v="Weekday"/>
    <s v="Spring"/>
    <s v="Mist"/>
    <s v="Off Peak"/>
    <s v="Low"/>
    <s v="Medium"/>
  </r>
  <r>
    <n v="239"/>
    <d v="2011-01-11T00:00:00"/>
    <n v="1"/>
    <n v="0"/>
    <n v="1"/>
    <n v="7"/>
    <b v="0"/>
    <n v="2"/>
    <n v="2"/>
    <n v="0.16"/>
    <n v="0.2273"/>
    <n v="0.55000000000000004"/>
    <n v="0"/>
    <n v="2"/>
    <n v="97"/>
    <n v="99"/>
    <b v="1"/>
    <x v="0"/>
    <s v="Tuesday"/>
    <s v="Weekday"/>
    <s v="Spring"/>
    <s v="Mist"/>
    <s v="Morning Peak"/>
    <s v="Low"/>
    <s v="Medium"/>
  </r>
  <r>
    <n v="240"/>
    <d v="2011-01-11T00:00:00"/>
    <n v="1"/>
    <n v="0"/>
    <n v="1"/>
    <n v="8"/>
    <b v="0"/>
    <n v="2"/>
    <n v="2"/>
    <n v="0.18"/>
    <n v="0.21210000000000001"/>
    <n v="0.51"/>
    <n v="8.9599999999999999E-2"/>
    <n v="3"/>
    <n v="214"/>
    <n v="217"/>
    <b v="1"/>
    <x v="0"/>
    <s v="Tuesday"/>
    <s v="Weekday"/>
    <s v="Spring"/>
    <s v="Mist"/>
    <s v="Morning Peak"/>
    <s v="Low"/>
    <s v="Medium"/>
  </r>
  <r>
    <n v="241"/>
    <d v="2011-01-11T00:00:00"/>
    <n v="1"/>
    <n v="0"/>
    <n v="1"/>
    <n v="9"/>
    <b v="0"/>
    <n v="2"/>
    <n v="2"/>
    <n v="0.18"/>
    <n v="0.19700000000000001"/>
    <n v="0.51"/>
    <n v="0.16420000000000001"/>
    <n v="3"/>
    <n v="127"/>
    <n v="130"/>
    <b v="1"/>
    <x v="0"/>
    <s v="Tuesday"/>
    <s v="Weekday"/>
    <s v="Spring"/>
    <s v="Mist"/>
    <s v="Morning Peak"/>
    <s v="Low"/>
    <s v="Medium"/>
  </r>
  <r>
    <n v="242"/>
    <d v="2011-01-11T00:00:00"/>
    <n v="1"/>
    <n v="0"/>
    <n v="1"/>
    <n v="10"/>
    <b v="0"/>
    <n v="2"/>
    <n v="2"/>
    <n v="0.2"/>
    <n v="0.21210000000000001"/>
    <n v="0.51"/>
    <n v="0.16420000000000001"/>
    <n v="3"/>
    <n v="51"/>
    <n v="54"/>
    <b v="1"/>
    <x v="0"/>
    <s v="Tuesday"/>
    <s v="Weekday"/>
    <s v="Spring"/>
    <s v="Mist"/>
    <s v="Off Peak"/>
    <s v="Low"/>
    <s v="Medium"/>
  </r>
  <r>
    <n v="243"/>
    <d v="2011-01-11T00:00:00"/>
    <n v="1"/>
    <n v="0"/>
    <n v="1"/>
    <n v="11"/>
    <b v="0"/>
    <n v="2"/>
    <n v="2"/>
    <n v="0.2"/>
    <n v="0.21210000000000001"/>
    <n v="0.47"/>
    <n v="0.1343"/>
    <n v="4"/>
    <n v="31"/>
    <n v="35"/>
    <b v="1"/>
    <x v="0"/>
    <s v="Tuesday"/>
    <s v="Weekday"/>
    <s v="Spring"/>
    <s v="Mist"/>
    <s v="Off Peak"/>
    <s v="Low"/>
    <s v="Medium"/>
  </r>
  <r>
    <n v="244"/>
    <d v="2011-01-11T00:00:00"/>
    <n v="1"/>
    <n v="0"/>
    <n v="1"/>
    <n v="12"/>
    <b v="0"/>
    <n v="2"/>
    <n v="2"/>
    <n v="0.2"/>
    <n v="0.2273"/>
    <n v="0.51"/>
    <n v="0.1045"/>
    <n v="2"/>
    <n v="55"/>
    <n v="57"/>
    <b v="1"/>
    <x v="0"/>
    <s v="Tuesday"/>
    <s v="Weekday"/>
    <s v="Spring"/>
    <s v="Mist"/>
    <s v="Off Peak"/>
    <s v="Low"/>
    <s v="Medium"/>
  </r>
  <r>
    <n v="245"/>
    <d v="2011-01-11T00:00:00"/>
    <n v="1"/>
    <n v="0"/>
    <n v="1"/>
    <n v="13"/>
    <b v="0"/>
    <n v="2"/>
    <n v="2"/>
    <n v="0.2"/>
    <n v="0.2273"/>
    <n v="0.59"/>
    <n v="8.9599999999999999E-2"/>
    <n v="6"/>
    <n v="46"/>
    <n v="52"/>
    <b v="1"/>
    <x v="0"/>
    <s v="Tuesday"/>
    <s v="Weekday"/>
    <s v="Spring"/>
    <s v="Mist"/>
    <s v="Off Peak"/>
    <s v="Low"/>
    <s v="Medium"/>
  </r>
  <r>
    <n v="246"/>
    <d v="2011-01-11T00:00:00"/>
    <n v="1"/>
    <n v="0"/>
    <n v="1"/>
    <n v="14"/>
    <b v="0"/>
    <n v="2"/>
    <n v="2"/>
    <n v="0.2"/>
    <n v="0.2273"/>
    <n v="0.59"/>
    <n v="8.9599999999999999E-2"/>
    <n v="3"/>
    <n v="60"/>
    <n v="63"/>
    <b v="1"/>
    <x v="0"/>
    <s v="Tuesday"/>
    <s v="Weekday"/>
    <s v="Spring"/>
    <s v="Mist"/>
    <s v="Off Peak"/>
    <s v="Low"/>
    <s v="Medium"/>
  </r>
  <r>
    <n v="247"/>
    <d v="2011-01-11T00:00:00"/>
    <n v="1"/>
    <n v="0"/>
    <n v="1"/>
    <n v="15"/>
    <b v="0"/>
    <n v="2"/>
    <n v="2"/>
    <n v="0.16"/>
    <n v="0.19700000000000001"/>
    <n v="0.8"/>
    <n v="8.9599999999999999E-2"/>
    <n v="2"/>
    <n v="45"/>
    <n v="47"/>
    <b v="1"/>
    <x v="0"/>
    <s v="Tuesday"/>
    <s v="Weekday"/>
    <s v="Spring"/>
    <s v="Mist"/>
    <s v="Off Peak"/>
    <s v="Low"/>
    <s v="High"/>
  </r>
  <r>
    <n v="248"/>
    <d v="2011-01-11T00:00:00"/>
    <n v="1"/>
    <n v="0"/>
    <n v="1"/>
    <n v="16"/>
    <b v="0"/>
    <n v="2"/>
    <n v="2"/>
    <n v="0.16"/>
    <n v="0.1515"/>
    <n v="0.86"/>
    <n v="0.22389999999999999"/>
    <n v="4"/>
    <n v="72"/>
    <n v="76"/>
    <b v="1"/>
    <x v="0"/>
    <s v="Tuesday"/>
    <s v="Weekday"/>
    <s v="Spring"/>
    <s v="Mist"/>
    <s v="Off Peak"/>
    <s v="Low"/>
    <s v="High"/>
  </r>
  <r>
    <n v="249"/>
    <d v="2011-01-11T00:00:00"/>
    <n v="1"/>
    <n v="0"/>
    <n v="1"/>
    <n v="17"/>
    <b v="0"/>
    <n v="2"/>
    <n v="2"/>
    <n v="0.16"/>
    <n v="0.1515"/>
    <n v="0.86"/>
    <n v="0.22389999999999999"/>
    <n v="6"/>
    <n v="130"/>
    <n v="136"/>
    <b v="1"/>
    <x v="0"/>
    <s v="Tuesday"/>
    <s v="Weekday"/>
    <s v="Spring"/>
    <s v="Mist"/>
    <s v="Evening Peak"/>
    <s v="Low"/>
    <s v="High"/>
  </r>
  <r>
    <n v="250"/>
    <d v="2011-01-11T00:00:00"/>
    <n v="1"/>
    <n v="0"/>
    <n v="1"/>
    <n v="18"/>
    <b v="0"/>
    <n v="2"/>
    <n v="3"/>
    <n v="0.16"/>
    <n v="0.18179999999999999"/>
    <n v="0.93"/>
    <n v="0.1045"/>
    <n v="1"/>
    <n v="94"/>
    <n v="95"/>
    <b v="1"/>
    <x v="0"/>
    <s v="Tuesday"/>
    <s v="Weekday"/>
    <s v="Spring"/>
    <s v="Light Rain"/>
    <s v="Evening Peak"/>
    <s v="Low"/>
    <s v="High"/>
  </r>
  <r>
    <n v="251"/>
    <d v="2011-01-11T00:00:00"/>
    <n v="1"/>
    <n v="0"/>
    <n v="1"/>
    <n v="19"/>
    <b v="0"/>
    <n v="2"/>
    <n v="3"/>
    <n v="0.16"/>
    <n v="0.2273"/>
    <n v="0.93"/>
    <n v="0"/>
    <n v="0"/>
    <n v="51"/>
    <n v="51"/>
    <b v="1"/>
    <x v="0"/>
    <s v="Tuesday"/>
    <s v="Weekday"/>
    <s v="Spring"/>
    <s v="Light Rain"/>
    <s v="Evening Peak"/>
    <s v="Low"/>
    <s v="High"/>
  </r>
  <r>
    <n v="252"/>
    <d v="2011-01-11T00:00:00"/>
    <n v="1"/>
    <n v="0"/>
    <n v="1"/>
    <n v="20"/>
    <b v="0"/>
    <n v="2"/>
    <n v="3"/>
    <n v="0.16"/>
    <n v="0.1515"/>
    <n v="0.93"/>
    <n v="0.19400000000000001"/>
    <n v="0"/>
    <n v="32"/>
    <n v="32"/>
    <b v="1"/>
    <x v="0"/>
    <s v="Tuesday"/>
    <s v="Weekday"/>
    <s v="Spring"/>
    <s v="Light Rain"/>
    <s v="Evening Peak"/>
    <s v="Low"/>
    <s v="High"/>
  </r>
  <r>
    <n v="253"/>
    <d v="2011-01-11T00:00:00"/>
    <n v="1"/>
    <n v="0"/>
    <n v="1"/>
    <n v="21"/>
    <b v="0"/>
    <n v="2"/>
    <n v="3"/>
    <n v="0.16"/>
    <n v="0.19700000000000001"/>
    <n v="0.86"/>
    <n v="8.9599999999999999E-2"/>
    <n v="0"/>
    <n v="20"/>
    <n v="20"/>
    <b v="1"/>
    <x v="0"/>
    <s v="Tuesday"/>
    <s v="Weekday"/>
    <s v="Spring"/>
    <s v="Light Rain"/>
    <s v="Off Peak"/>
    <s v="Low"/>
    <s v="High"/>
  </r>
  <r>
    <n v="254"/>
    <d v="2011-01-11T00:00:00"/>
    <n v="1"/>
    <n v="0"/>
    <n v="1"/>
    <n v="22"/>
    <b v="0"/>
    <n v="2"/>
    <n v="3"/>
    <n v="0.16"/>
    <n v="0.18179999999999999"/>
    <n v="0.93"/>
    <n v="0.1045"/>
    <n v="1"/>
    <n v="28"/>
    <n v="29"/>
    <b v="1"/>
    <x v="0"/>
    <s v="Tuesday"/>
    <s v="Weekday"/>
    <s v="Spring"/>
    <s v="Light Rain"/>
    <s v="Off Peak"/>
    <s v="Low"/>
    <s v="High"/>
  </r>
  <r>
    <n v="255"/>
    <d v="2011-01-11T00:00:00"/>
    <n v="1"/>
    <n v="0"/>
    <n v="1"/>
    <n v="23"/>
    <b v="0"/>
    <n v="2"/>
    <n v="3"/>
    <n v="0.16"/>
    <n v="0.19700000000000001"/>
    <n v="0.93"/>
    <n v="8.9599999999999999E-2"/>
    <n v="1"/>
    <n v="18"/>
    <n v="19"/>
    <b v="1"/>
    <x v="0"/>
    <s v="Tuesday"/>
    <s v="Weekday"/>
    <s v="Spring"/>
    <s v="Light Rain"/>
    <s v="Off Peak"/>
    <s v="Low"/>
    <s v="High"/>
  </r>
  <r>
    <n v="256"/>
    <d v="2011-01-12T00:00:00"/>
    <n v="1"/>
    <n v="0"/>
    <n v="1"/>
    <n v="0"/>
    <b v="0"/>
    <n v="3"/>
    <n v="2"/>
    <n v="0.16"/>
    <n v="0.19700000000000001"/>
    <n v="0.86"/>
    <n v="8.9599999999999999E-2"/>
    <n v="0"/>
    <n v="7"/>
    <n v="7"/>
    <b v="1"/>
    <x v="0"/>
    <s v="Wednesday"/>
    <s v="Weekday"/>
    <s v="Spring"/>
    <s v="Mist"/>
    <s v="Off Peak"/>
    <s v="Low"/>
    <s v="High"/>
  </r>
  <r>
    <n v="257"/>
    <d v="2011-01-12T00:00:00"/>
    <n v="1"/>
    <n v="0"/>
    <n v="1"/>
    <n v="1"/>
    <b v="0"/>
    <n v="3"/>
    <n v="2"/>
    <n v="0.16"/>
    <n v="0.18179999999999999"/>
    <n v="0.86"/>
    <n v="0.1045"/>
    <n v="0"/>
    <n v="6"/>
    <n v="6"/>
    <b v="1"/>
    <x v="0"/>
    <s v="Wednesday"/>
    <s v="Weekday"/>
    <s v="Spring"/>
    <s v="Mist"/>
    <s v="Off Peak"/>
    <s v="Low"/>
    <s v="High"/>
  </r>
  <r>
    <n v="258"/>
    <d v="2011-01-12T00:00:00"/>
    <n v="1"/>
    <n v="0"/>
    <n v="1"/>
    <n v="2"/>
    <b v="0"/>
    <n v="3"/>
    <n v="1"/>
    <n v="0.14000000000000001"/>
    <n v="0.1515"/>
    <n v="0.86"/>
    <n v="0.1343"/>
    <n v="0"/>
    <n v="1"/>
    <n v="1"/>
    <b v="1"/>
    <x v="0"/>
    <s v="Wednesday"/>
    <s v="Weekday"/>
    <s v="Spring"/>
    <s v="Clear"/>
    <s v="Off Peak"/>
    <s v="Low"/>
    <s v="High"/>
  </r>
  <r>
    <n v="259"/>
    <d v="2011-01-12T00:00:00"/>
    <n v="1"/>
    <n v="0"/>
    <n v="1"/>
    <n v="5"/>
    <b v="0"/>
    <n v="3"/>
    <n v="1"/>
    <n v="0.14000000000000001"/>
    <n v="0.1515"/>
    <n v="0.86"/>
    <n v="0.16420000000000001"/>
    <n v="0"/>
    <n v="5"/>
    <n v="5"/>
    <b v="1"/>
    <x v="0"/>
    <s v="Wednesday"/>
    <s v="Weekday"/>
    <s v="Spring"/>
    <s v="Clear"/>
    <s v="Off Peak"/>
    <s v="Low"/>
    <s v="High"/>
  </r>
  <r>
    <n v="260"/>
    <d v="2011-01-12T00:00:00"/>
    <n v="1"/>
    <n v="0"/>
    <n v="1"/>
    <n v="6"/>
    <b v="0"/>
    <n v="3"/>
    <n v="1"/>
    <n v="0.12"/>
    <n v="0.1515"/>
    <n v="0.93"/>
    <n v="0.1343"/>
    <n v="0"/>
    <n v="16"/>
    <n v="16"/>
    <b v="1"/>
    <x v="0"/>
    <s v="Wednesday"/>
    <s v="Weekday"/>
    <s v="Spring"/>
    <s v="Clear"/>
    <s v="Off Peak"/>
    <s v="Low"/>
    <s v="High"/>
  </r>
  <r>
    <n v="261"/>
    <d v="2011-01-12T00:00:00"/>
    <n v="1"/>
    <n v="0"/>
    <n v="1"/>
    <n v="7"/>
    <b v="0"/>
    <n v="3"/>
    <n v="1"/>
    <n v="0.14000000000000001"/>
    <n v="0.1515"/>
    <n v="0.69"/>
    <n v="0.1343"/>
    <n v="0"/>
    <n v="54"/>
    <n v="54"/>
    <b v="1"/>
    <x v="0"/>
    <s v="Wednesday"/>
    <s v="Weekday"/>
    <s v="Spring"/>
    <s v="Clear"/>
    <s v="Morning Peak"/>
    <s v="Low"/>
    <s v="Medium"/>
  </r>
  <r>
    <n v="262"/>
    <d v="2011-01-12T00:00:00"/>
    <n v="1"/>
    <n v="0"/>
    <n v="1"/>
    <n v="8"/>
    <b v="0"/>
    <n v="3"/>
    <n v="1"/>
    <n v="0.16"/>
    <n v="0.16669999999999999"/>
    <n v="0.59"/>
    <n v="0.16420000000000001"/>
    <n v="3"/>
    <n v="125"/>
    <n v="128"/>
    <b v="1"/>
    <x v="0"/>
    <s v="Wednesday"/>
    <s v="Weekday"/>
    <s v="Spring"/>
    <s v="Clear"/>
    <s v="Morning Peak"/>
    <s v="Low"/>
    <s v="Medium"/>
  </r>
  <r>
    <n v="263"/>
    <d v="2011-01-12T00:00:00"/>
    <n v="1"/>
    <n v="0"/>
    <n v="1"/>
    <n v="9"/>
    <b v="0"/>
    <n v="3"/>
    <n v="1"/>
    <n v="0.16"/>
    <n v="0.13639999999999999"/>
    <n v="0.59"/>
    <n v="0.32840000000000003"/>
    <n v="3"/>
    <n v="78"/>
    <n v="81"/>
    <b v="1"/>
    <x v="0"/>
    <s v="Wednesday"/>
    <s v="Weekday"/>
    <s v="Spring"/>
    <s v="Clear"/>
    <s v="Morning Peak"/>
    <s v="Low"/>
    <s v="Medium"/>
  </r>
  <r>
    <n v="264"/>
    <d v="2011-01-12T00:00:00"/>
    <n v="1"/>
    <n v="0"/>
    <n v="1"/>
    <n v="10"/>
    <b v="0"/>
    <n v="3"/>
    <n v="1"/>
    <n v="0.18"/>
    <n v="0.18179999999999999"/>
    <n v="0.55000000000000004"/>
    <n v="0.22389999999999999"/>
    <n v="0"/>
    <n v="39"/>
    <n v="39"/>
    <b v="1"/>
    <x v="0"/>
    <s v="Wednesday"/>
    <s v="Weekday"/>
    <s v="Spring"/>
    <s v="Clear"/>
    <s v="Off Peak"/>
    <s v="Low"/>
    <s v="Medium"/>
  </r>
  <r>
    <n v="265"/>
    <d v="2011-01-12T00:00:00"/>
    <n v="1"/>
    <n v="0"/>
    <n v="1"/>
    <n v="11"/>
    <b v="0"/>
    <n v="3"/>
    <n v="1"/>
    <n v="0.2"/>
    <n v="0.18179999999999999"/>
    <n v="0.51"/>
    <n v="0.3881"/>
    <n v="3"/>
    <n v="32"/>
    <n v="35"/>
    <b v="1"/>
    <x v="0"/>
    <s v="Wednesday"/>
    <s v="Weekday"/>
    <s v="Spring"/>
    <s v="Clear"/>
    <s v="Off Peak"/>
    <s v="Low"/>
    <s v="Medium"/>
  </r>
  <r>
    <n v="266"/>
    <d v="2011-01-12T00:00:00"/>
    <n v="1"/>
    <n v="0"/>
    <n v="1"/>
    <n v="12"/>
    <b v="0"/>
    <n v="3"/>
    <n v="1"/>
    <n v="0.2"/>
    <n v="0.1515"/>
    <n v="0.47"/>
    <n v="0.58209999999999995"/>
    <n v="3"/>
    <n v="52"/>
    <n v="55"/>
    <b v="1"/>
    <x v="0"/>
    <s v="Wednesday"/>
    <s v="Weekday"/>
    <s v="Spring"/>
    <s v="Clear"/>
    <s v="Off Peak"/>
    <s v="Low"/>
    <s v="Medium"/>
  </r>
  <r>
    <n v="267"/>
    <d v="2011-01-12T00:00:00"/>
    <n v="1"/>
    <n v="0"/>
    <n v="1"/>
    <n v="13"/>
    <b v="0"/>
    <n v="3"/>
    <n v="1"/>
    <n v="0.22"/>
    <n v="0.19700000000000001"/>
    <n v="0.44"/>
    <n v="0.35820000000000002"/>
    <n v="0"/>
    <n v="49"/>
    <n v="49"/>
    <b v="1"/>
    <x v="0"/>
    <s v="Wednesday"/>
    <s v="Weekday"/>
    <s v="Spring"/>
    <s v="Clear"/>
    <s v="Off Peak"/>
    <s v="Low"/>
    <s v="Medium"/>
  </r>
  <r>
    <n v="268"/>
    <d v="2011-01-12T00:00:00"/>
    <n v="1"/>
    <n v="0"/>
    <n v="1"/>
    <n v="14"/>
    <b v="0"/>
    <n v="3"/>
    <n v="1"/>
    <n v="0.2"/>
    <n v="0.18179999999999999"/>
    <n v="0.47"/>
    <n v="0.32840000000000003"/>
    <n v="0"/>
    <n v="44"/>
    <n v="44"/>
    <b v="1"/>
    <x v="0"/>
    <s v="Wednesday"/>
    <s v="Weekday"/>
    <s v="Spring"/>
    <s v="Clear"/>
    <s v="Off Peak"/>
    <s v="Low"/>
    <s v="Medium"/>
  </r>
  <r>
    <n v="269"/>
    <d v="2011-01-12T00:00:00"/>
    <n v="1"/>
    <n v="0"/>
    <n v="1"/>
    <n v="15"/>
    <b v="0"/>
    <n v="3"/>
    <n v="1"/>
    <n v="0.2"/>
    <n v="0.16669999999999999"/>
    <n v="0.47"/>
    <n v="0.41789999999999999"/>
    <n v="1"/>
    <n v="48"/>
    <n v="49"/>
    <b v="1"/>
    <x v="0"/>
    <s v="Wednesday"/>
    <s v="Weekday"/>
    <s v="Spring"/>
    <s v="Clear"/>
    <s v="Off Peak"/>
    <s v="Low"/>
    <s v="Medium"/>
  </r>
  <r>
    <n v="270"/>
    <d v="2011-01-12T00:00:00"/>
    <n v="1"/>
    <n v="0"/>
    <n v="1"/>
    <n v="16"/>
    <b v="0"/>
    <n v="3"/>
    <n v="1"/>
    <n v="0.22"/>
    <n v="0.19700000000000001"/>
    <n v="0.44"/>
    <n v="0.32840000000000003"/>
    <n v="5"/>
    <n v="63"/>
    <n v="68"/>
    <b v="1"/>
    <x v="0"/>
    <s v="Wednesday"/>
    <s v="Weekday"/>
    <s v="Spring"/>
    <s v="Clear"/>
    <s v="Off Peak"/>
    <s v="Low"/>
    <s v="Medium"/>
  </r>
  <r>
    <n v="271"/>
    <d v="2011-01-12T00:00:00"/>
    <n v="1"/>
    <n v="0"/>
    <n v="1"/>
    <n v="17"/>
    <b v="0"/>
    <n v="3"/>
    <n v="1"/>
    <n v="0.2"/>
    <n v="0.18179999999999999"/>
    <n v="0.47"/>
    <n v="0.35820000000000002"/>
    <n v="0"/>
    <n v="139"/>
    <n v="139"/>
    <b v="1"/>
    <x v="0"/>
    <s v="Wednesday"/>
    <s v="Weekday"/>
    <s v="Spring"/>
    <s v="Clear"/>
    <s v="Evening Peak"/>
    <s v="Low"/>
    <s v="Medium"/>
  </r>
  <r>
    <n v="272"/>
    <d v="2011-01-12T00:00:00"/>
    <n v="1"/>
    <n v="0"/>
    <n v="1"/>
    <n v="18"/>
    <b v="0"/>
    <n v="3"/>
    <n v="1"/>
    <n v="0.2"/>
    <n v="0.1515"/>
    <n v="0.47"/>
    <n v="0.52239999999999998"/>
    <n v="2"/>
    <n v="135"/>
    <n v="137"/>
    <b v="1"/>
    <x v="0"/>
    <s v="Wednesday"/>
    <s v="Weekday"/>
    <s v="Spring"/>
    <s v="Clear"/>
    <s v="Evening Peak"/>
    <s v="Low"/>
    <s v="Medium"/>
  </r>
  <r>
    <n v="273"/>
    <d v="2011-01-12T00:00:00"/>
    <n v="1"/>
    <n v="0"/>
    <n v="1"/>
    <n v="19"/>
    <b v="0"/>
    <n v="3"/>
    <n v="1"/>
    <n v="0.18"/>
    <n v="0.1515"/>
    <n v="0.47"/>
    <n v="0.41789999999999999"/>
    <n v="1"/>
    <n v="82"/>
    <n v="83"/>
    <b v="1"/>
    <x v="0"/>
    <s v="Wednesday"/>
    <s v="Weekday"/>
    <s v="Spring"/>
    <s v="Clear"/>
    <s v="Evening Peak"/>
    <s v="Low"/>
    <s v="Medium"/>
  </r>
  <r>
    <n v="274"/>
    <d v="2011-01-12T00:00:00"/>
    <n v="1"/>
    <n v="0"/>
    <n v="1"/>
    <n v="20"/>
    <b v="0"/>
    <n v="3"/>
    <n v="1"/>
    <n v="0.16"/>
    <n v="0.13639999999999999"/>
    <n v="0.5"/>
    <n v="0.32840000000000003"/>
    <n v="2"/>
    <n v="54"/>
    <n v="56"/>
    <b v="1"/>
    <x v="0"/>
    <s v="Wednesday"/>
    <s v="Weekday"/>
    <s v="Spring"/>
    <s v="Clear"/>
    <s v="Evening Peak"/>
    <s v="Low"/>
    <s v="Medium"/>
  </r>
  <r>
    <n v="275"/>
    <d v="2011-01-12T00:00:00"/>
    <n v="1"/>
    <n v="0"/>
    <n v="1"/>
    <n v="21"/>
    <b v="0"/>
    <n v="3"/>
    <n v="1"/>
    <n v="0.16"/>
    <n v="0.13639999999999999"/>
    <n v="0.55000000000000004"/>
    <n v="0.32840000000000003"/>
    <n v="0"/>
    <n v="57"/>
    <n v="57"/>
    <b v="1"/>
    <x v="0"/>
    <s v="Wednesday"/>
    <s v="Weekday"/>
    <s v="Spring"/>
    <s v="Clear"/>
    <s v="Off Peak"/>
    <s v="Low"/>
    <s v="Medium"/>
  </r>
  <r>
    <n v="276"/>
    <d v="2011-01-12T00:00:00"/>
    <n v="1"/>
    <n v="0"/>
    <n v="1"/>
    <n v="22"/>
    <b v="0"/>
    <n v="3"/>
    <n v="1"/>
    <n v="0.16"/>
    <n v="0.1212"/>
    <n v="0.55000000000000004"/>
    <n v="0.44779999999999998"/>
    <n v="1"/>
    <n v="32"/>
    <n v="33"/>
    <b v="1"/>
    <x v="0"/>
    <s v="Wednesday"/>
    <s v="Weekday"/>
    <s v="Spring"/>
    <s v="Clear"/>
    <s v="Off Peak"/>
    <s v="Low"/>
    <s v="Medium"/>
  </r>
  <r>
    <n v="277"/>
    <d v="2011-01-12T00:00:00"/>
    <n v="1"/>
    <n v="0"/>
    <n v="1"/>
    <n v="23"/>
    <b v="0"/>
    <n v="3"/>
    <n v="1"/>
    <n v="0.14000000000000001"/>
    <n v="0.1061"/>
    <n v="0.59"/>
    <n v="0.41789999999999999"/>
    <n v="1"/>
    <n v="19"/>
    <n v="20"/>
    <b v="1"/>
    <x v="0"/>
    <s v="Wednesday"/>
    <s v="Weekday"/>
    <s v="Spring"/>
    <s v="Clear"/>
    <s v="Off Peak"/>
    <s v="Low"/>
    <s v="Medium"/>
  </r>
  <r>
    <n v="278"/>
    <d v="2011-01-13T00:00:00"/>
    <n v="1"/>
    <n v="0"/>
    <n v="1"/>
    <n v="0"/>
    <b v="0"/>
    <n v="4"/>
    <n v="1"/>
    <n v="0.14000000000000001"/>
    <n v="0.1212"/>
    <n v="0.59"/>
    <n v="0.28360000000000002"/>
    <n v="1"/>
    <n v="6"/>
    <n v="7"/>
    <b v="1"/>
    <x v="0"/>
    <s v="Thursday"/>
    <s v="Weekday"/>
    <s v="Spring"/>
    <s v="Clear"/>
    <s v="Off Peak"/>
    <s v="Low"/>
    <s v="Medium"/>
  </r>
  <r>
    <n v="279"/>
    <d v="2011-01-13T00:00:00"/>
    <n v="1"/>
    <n v="0"/>
    <n v="1"/>
    <n v="1"/>
    <b v="0"/>
    <n v="4"/>
    <n v="1"/>
    <n v="0.14000000000000001"/>
    <n v="0.1212"/>
    <n v="0.5"/>
    <n v="0.28360000000000002"/>
    <n v="0"/>
    <n v="2"/>
    <n v="2"/>
    <b v="1"/>
    <x v="0"/>
    <s v="Thursday"/>
    <s v="Weekday"/>
    <s v="Spring"/>
    <s v="Clear"/>
    <s v="Off Peak"/>
    <s v="Low"/>
    <s v="Medium"/>
  </r>
  <r>
    <n v="280"/>
    <d v="2011-01-13T00:00:00"/>
    <n v="1"/>
    <n v="0"/>
    <n v="1"/>
    <n v="2"/>
    <b v="0"/>
    <n v="4"/>
    <n v="1"/>
    <n v="0.14000000000000001"/>
    <n v="0.1212"/>
    <n v="0.5"/>
    <n v="0.35820000000000002"/>
    <n v="0"/>
    <n v="2"/>
    <n v="2"/>
    <b v="1"/>
    <x v="0"/>
    <s v="Thursday"/>
    <s v="Weekday"/>
    <s v="Spring"/>
    <s v="Clear"/>
    <s v="Off Peak"/>
    <s v="Low"/>
    <s v="Medium"/>
  </r>
  <r>
    <n v="281"/>
    <d v="2011-01-13T00:00:00"/>
    <n v="1"/>
    <n v="0"/>
    <n v="1"/>
    <n v="3"/>
    <b v="0"/>
    <n v="4"/>
    <n v="1"/>
    <n v="0.14000000000000001"/>
    <n v="0.1212"/>
    <n v="0.5"/>
    <n v="0.32840000000000003"/>
    <n v="0"/>
    <n v="3"/>
    <n v="3"/>
    <b v="1"/>
    <x v="0"/>
    <s v="Thursday"/>
    <s v="Weekday"/>
    <s v="Spring"/>
    <s v="Clear"/>
    <s v="Off Peak"/>
    <s v="Low"/>
    <s v="Medium"/>
  </r>
  <r>
    <n v="282"/>
    <d v="2011-01-13T00:00:00"/>
    <n v="1"/>
    <n v="0"/>
    <n v="1"/>
    <n v="4"/>
    <b v="0"/>
    <n v="4"/>
    <n v="1"/>
    <n v="0.14000000000000001"/>
    <n v="0.1212"/>
    <n v="0.5"/>
    <n v="0.25369999999999998"/>
    <n v="0"/>
    <n v="4"/>
    <n v="4"/>
    <b v="1"/>
    <x v="0"/>
    <s v="Thursday"/>
    <s v="Weekday"/>
    <s v="Spring"/>
    <s v="Clear"/>
    <s v="Off Peak"/>
    <s v="Low"/>
    <s v="Medium"/>
  </r>
  <r>
    <n v="283"/>
    <d v="2011-01-13T00:00:00"/>
    <n v="1"/>
    <n v="0"/>
    <n v="1"/>
    <n v="5"/>
    <b v="0"/>
    <n v="4"/>
    <n v="1"/>
    <n v="0.14000000000000001"/>
    <n v="0.1212"/>
    <n v="0.5"/>
    <n v="0.29849999999999999"/>
    <n v="0"/>
    <n v="3"/>
    <n v="3"/>
    <b v="1"/>
    <x v="0"/>
    <s v="Thursday"/>
    <s v="Weekday"/>
    <s v="Spring"/>
    <s v="Clear"/>
    <s v="Off Peak"/>
    <s v="Low"/>
    <s v="Medium"/>
  </r>
  <r>
    <n v="284"/>
    <d v="2011-01-13T00:00:00"/>
    <n v="1"/>
    <n v="0"/>
    <n v="1"/>
    <n v="6"/>
    <b v="0"/>
    <n v="4"/>
    <n v="1"/>
    <n v="0.12"/>
    <n v="0.1515"/>
    <n v="0.54"/>
    <n v="0.1343"/>
    <n v="0"/>
    <n v="28"/>
    <n v="28"/>
    <b v="1"/>
    <x v="0"/>
    <s v="Thursday"/>
    <s v="Weekday"/>
    <s v="Spring"/>
    <s v="Clear"/>
    <s v="Off Peak"/>
    <s v="Low"/>
    <s v="Medium"/>
  </r>
  <r>
    <n v="285"/>
    <d v="2011-01-13T00:00:00"/>
    <n v="1"/>
    <n v="0"/>
    <n v="1"/>
    <n v="7"/>
    <b v="0"/>
    <n v="4"/>
    <n v="1"/>
    <n v="0.12"/>
    <n v="0.1515"/>
    <n v="0.54"/>
    <n v="0.1343"/>
    <n v="0"/>
    <n v="72"/>
    <n v="72"/>
    <b v="1"/>
    <x v="0"/>
    <s v="Thursday"/>
    <s v="Weekday"/>
    <s v="Spring"/>
    <s v="Clear"/>
    <s v="Morning Peak"/>
    <s v="Low"/>
    <s v="Medium"/>
  </r>
  <r>
    <n v="286"/>
    <d v="2011-01-13T00:00:00"/>
    <n v="1"/>
    <n v="0"/>
    <n v="1"/>
    <n v="8"/>
    <b v="0"/>
    <n v="4"/>
    <n v="1"/>
    <n v="0.14000000000000001"/>
    <n v="0.13639999999999999"/>
    <n v="0.5"/>
    <n v="0.19400000000000001"/>
    <n v="5"/>
    <n v="197"/>
    <n v="202"/>
    <b v="1"/>
    <x v="0"/>
    <s v="Thursday"/>
    <s v="Weekday"/>
    <s v="Spring"/>
    <s v="Clear"/>
    <s v="Morning Peak"/>
    <s v="Low"/>
    <s v="Medium"/>
  </r>
  <r>
    <n v="287"/>
    <d v="2011-01-13T00:00:00"/>
    <n v="1"/>
    <n v="0"/>
    <n v="1"/>
    <n v="9"/>
    <b v="0"/>
    <n v="4"/>
    <n v="1"/>
    <n v="0.14000000000000001"/>
    <n v="0.1212"/>
    <n v="0.5"/>
    <n v="0.32840000000000003"/>
    <n v="2"/>
    <n v="137"/>
    <n v="139"/>
    <b v="1"/>
    <x v="0"/>
    <s v="Thursday"/>
    <s v="Weekday"/>
    <s v="Spring"/>
    <s v="Clear"/>
    <s v="Morning Peak"/>
    <s v="Low"/>
    <s v="Medium"/>
  </r>
  <r>
    <n v="288"/>
    <d v="2011-01-13T00:00:00"/>
    <n v="1"/>
    <n v="0"/>
    <n v="1"/>
    <n v="10"/>
    <b v="0"/>
    <n v="4"/>
    <n v="2"/>
    <n v="0.16"/>
    <n v="0.13639999999999999"/>
    <n v="0.5"/>
    <n v="0.35820000000000002"/>
    <n v="2"/>
    <n v="36"/>
    <n v="38"/>
    <b v="1"/>
    <x v="0"/>
    <s v="Thursday"/>
    <s v="Weekday"/>
    <s v="Spring"/>
    <s v="Mist"/>
    <s v="Off Peak"/>
    <s v="Low"/>
    <s v="Medium"/>
  </r>
  <r>
    <n v="289"/>
    <d v="2011-01-13T00:00:00"/>
    <n v="1"/>
    <n v="0"/>
    <n v="1"/>
    <n v="11"/>
    <b v="0"/>
    <n v="4"/>
    <n v="2"/>
    <n v="0.2"/>
    <n v="0.16669999999999999"/>
    <n v="0.44"/>
    <n v="0.44779999999999998"/>
    <n v="4"/>
    <n v="33"/>
    <n v="37"/>
    <b v="1"/>
    <x v="0"/>
    <s v="Thursday"/>
    <s v="Weekday"/>
    <s v="Spring"/>
    <s v="Mist"/>
    <s v="Off Peak"/>
    <s v="Low"/>
    <s v="Medium"/>
  </r>
  <r>
    <n v="290"/>
    <d v="2011-01-13T00:00:00"/>
    <n v="1"/>
    <n v="0"/>
    <n v="1"/>
    <n v="12"/>
    <b v="0"/>
    <n v="4"/>
    <n v="1"/>
    <n v="0.2"/>
    <n v="0.16669999999999999"/>
    <n v="0.44"/>
    <n v="0.41789999999999999"/>
    <n v="3"/>
    <n v="49"/>
    <n v="52"/>
    <b v="1"/>
    <x v="0"/>
    <s v="Thursday"/>
    <s v="Weekday"/>
    <s v="Spring"/>
    <s v="Clear"/>
    <s v="Off Peak"/>
    <s v="Low"/>
    <s v="Medium"/>
  </r>
  <r>
    <n v="291"/>
    <d v="2011-01-13T00:00:00"/>
    <n v="1"/>
    <n v="0"/>
    <n v="1"/>
    <n v="13"/>
    <b v="0"/>
    <n v="4"/>
    <n v="1"/>
    <n v="0.22"/>
    <n v="0.19700000000000001"/>
    <n v="0.41"/>
    <n v="0.44779999999999998"/>
    <n v="2"/>
    <n v="81"/>
    <n v="83"/>
    <b v="1"/>
    <x v="0"/>
    <s v="Thursday"/>
    <s v="Weekday"/>
    <s v="Spring"/>
    <s v="Clear"/>
    <s v="Off Peak"/>
    <s v="Low"/>
    <s v="Medium"/>
  </r>
  <r>
    <n v="292"/>
    <d v="2011-01-13T00:00:00"/>
    <n v="1"/>
    <n v="0"/>
    <n v="1"/>
    <n v="14"/>
    <b v="0"/>
    <n v="4"/>
    <n v="1"/>
    <n v="0.22"/>
    <n v="0.19700000000000001"/>
    <n v="0.41"/>
    <n v="0.3881"/>
    <n v="3"/>
    <n v="39"/>
    <n v="42"/>
    <b v="1"/>
    <x v="0"/>
    <s v="Thursday"/>
    <s v="Weekday"/>
    <s v="Spring"/>
    <s v="Clear"/>
    <s v="Off Peak"/>
    <s v="Low"/>
    <s v="Medium"/>
  </r>
  <r>
    <n v="293"/>
    <d v="2011-01-13T00:00:00"/>
    <n v="1"/>
    <n v="0"/>
    <n v="1"/>
    <n v="15"/>
    <b v="0"/>
    <n v="4"/>
    <n v="1"/>
    <n v="0.24"/>
    <n v="0.21210000000000001"/>
    <n v="0.38"/>
    <n v="0.29849999999999999"/>
    <n v="5"/>
    <n v="55"/>
    <n v="60"/>
    <b v="1"/>
    <x v="0"/>
    <s v="Thursday"/>
    <s v="Weekday"/>
    <s v="Spring"/>
    <s v="Clear"/>
    <s v="Off Peak"/>
    <s v="Low"/>
    <s v="Low"/>
  </r>
  <r>
    <n v="294"/>
    <d v="2011-01-13T00:00:00"/>
    <n v="1"/>
    <n v="0"/>
    <n v="1"/>
    <n v="16"/>
    <b v="0"/>
    <n v="4"/>
    <n v="1"/>
    <n v="0.24"/>
    <n v="0.21210000000000001"/>
    <n v="0.38"/>
    <n v="0.35820000000000002"/>
    <n v="2"/>
    <n v="76"/>
    <n v="78"/>
    <b v="1"/>
    <x v="0"/>
    <s v="Thursday"/>
    <s v="Weekday"/>
    <s v="Spring"/>
    <s v="Clear"/>
    <s v="Off Peak"/>
    <s v="Low"/>
    <s v="Low"/>
  </r>
  <r>
    <n v="295"/>
    <d v="2011-01-13T00:00:00"/>
    <n v="1"/>
    <n v="0"/>
    <n v="1"/>
    <n v="17"/>
    <b v="0"/>
    <n v="4"/>
    <n v="1"/>
    <n v="0.2"/>
    <n v="0.18179999999999999"/>
    <n v="0.4"/>
    <n v="0.28360000000000002"/>
    <n v="4"/>
    <n v="158"/>
    <n v="162"/>
    <b v="1"/>
    <x v="0"/>
    <s v="Thursday"/>
    <s v="Weekday"/>
    <s v="Spring"/>
    <s v="Clear"/>
    <s v="Evening Peak"/>
    <s v="Low"/>
    <s v="Medium"/>
  </r>
  <r>
    <n v="296"/>
    <d v="2011-01-13T00:00:00"/>
    <n v="1"/>
    <n v="0"/>
    <n v="1"/>
    <n v="18"/>
    <b v="0"/>
    <n v="4"/>
    <n v="1"/>
    <n v="0.2"/>
    <n v="0.18179999999999999"/>
    <n v="0.4"/>
    <n v="0.32840000000000003"/>
    <n v="3"/>
    <n v="141"/>
    <n v="144"/>
    <b v="1"/>
    <x v="0"/>
    <s v="Thursday"/>
    <s v="Weekday"/>
    <s v="Spring"/>
    <s v="Clear"/>
    <s v="Evening Peak"/>
    <s v="Low"/>
    <s v="Medium"/>
  </r>
  <r>
    <n v="297"/>
    <d v="2011-01-13T00:00:00"/>
    <n v="1"/>
    <n v="0"/>
    <n v="1"/>
    <n v="19"/>
    <b v="0"/>
    <n v="4"/>
    <n v="1"/>
    <n v="0.16"/>
    <n v="0.1515"/>
    <n v="0.47"/>
    <n v="0.25369999999999998"/>
    <n v="1"/>
    <n v="98"/>
    <n v="99"/>
    <b v="1"/>
    <x v="0"/>
    <s v="Thursday"/>
    <s v="Weekday"/>
    <s v="Spring"/>
    <s v="Clear"/>
    <s v="Evening Peak"/>
    <s v="Low"/>
    <s v="Medium"/>
  </r>
  <r>
    <n v="298"/>
    <d v="2011-01-13T00:00:00"/>
    <n v="1"/>
    <n v="0"/>
    <n v="1"/>
    <n v="20"/>
    <b v="0"/>
    <n v="4"/>
    <n v="1"/>
    <n v="0.16"/>
    <n v="0.1515"/>
    <n v="0.47"/>
    <n v="0.22389999999999999"/>
    <n v="0"/>
    <n v="64"/>
    <n v="64"/>
    <b v="1"/>
    <x v="0"/>
    <s v="Thursday"/>
    <s v="Weekday"/>
    <s v="Spring"/>
    <s v="Clear"/>
    <s v="Evening Peak"/>
    <s v="Low"/>
    <s v="Medium"/>
  </r>
  <r>
    <n v="299"/>
    <d v="2011-01-13T00:00:00"/>
    <n v="1"/>
    <n v="0"/>
    <n v="1"/>
    <n v="21"/>
    <b v="0"/>
    <n v="4"/>
    <n v="1"/>
    <n v="0.14000000000000001"/>
    <n v="0.1212"/>
    <n v="0.46"/>
    <n v="0.29849999999999999"/>
    <n v="0"/>
    <n v="40"/>
    <n v="40"/>
    <b v="1"/>
    <x v="0"/>
    <s v="Thursday"/>
    <s v="Weekday"/>
    <s v="Spring"/>
    <s v="Clear"/>
    <s v="Off Peak"/>
    <s v="Low"/>
    <s v="Medium"/>
  </r>
  <r>
    <n v="300"/>
    <d v="2011-01-13T00:00:00"/>
    <n v="1"/>
    <n v="0"/>
    <n v="1"/>
    <n v="22"/>
    <b v="0"/>
    <n v="4"/>
    <n v="1"/>
    <n v="0.14000000000000001"/>
    <n v="0.1212"/>
    <n v="0.46"/>
    <n v="0.32840000000000003"/>
    <n v="0"/>
    <n v="30"/>
    <n v="30"/>
    <b v="1"/>
    <x v="0"/>
    <s v="Thursday"/>
    <s v="Weekday"/>
    <s v="Spring"/>
    <s v="Clear"/>
    <s v="Off Peak"/>
    <s v="Low"/>
    <s v="Medium"/>
  </r>
  <r>
    <n v="301"/>
    <d v="2011-01-13T00:00:00"/>
    <n v="1"/>
    <n v="0"/>
    <n v="1"/>
    <n v="23"/>
    <b v="0"/>
    <n v="4"/>
    <n v="1"/>
    <n v="0.12"/>
    <n v="0.13639999999999999"/>
    <n v="0.5"/>
    <n v="0.19400000000000001"/>
    <n v="1"/>
    <n v="14"/>
    <n v="15"/>
    <b v="1"/>
    <x v="0"/>
    <s v="Thursday"/>
    <s v="Weekday"/>
    <s v="Spring"/>
    <s v="Clear"/>
    <s v="Off Peak"/>
    <s v="Low"/>
    <s v="Medium"/>
  </r>
  <r>
    <n v="302"/>
    <d v="2011-01-14T00:00:00"/>
    <n v="1"/>
    <n v="0"/>
    <n v="1"/>
    <n v="0"/>
    <b v="0"/>
    <n v="5"/>
    <n v="1"/>
    <n v="0.12"/>
    <n v="0.13639999999999999"/>
    <n v="0.5"/>
    <n v="0.19400000000000001"/>
    <n v="0"/>
    <n v="14"/>
    <n v="14"/>
    <b v="1"/>
    <x v="0"/>
    <s v="Friday"/>
    <s v="Weekday"/>
    <s v="Spring"/>
    <s v="Clear"/>
    <s v="Off Peak"/>
    <s v="Low"/>
    <s v="Medium"/>
  </r>
  <r>
    <n v="303"/>
    <d v="2011-01-14T00:00:00"/>
    <n v="1"/>
    <n v="0"/>
    <n v="1"/>
    <n v="1"/>
    <b v="0"/>
    <n v="5"/>
    <n v="1"/>
    <n v="0.1"/>
    <n v="0.1212"/>
    <n v="0.54"/>
    <n v="0.16420000000000001"/>
    <n v="0"/>
    <n v="5"/>
    <n v="5"/>
    <b v="1"/>
    <x v="0"/>
    <s v="Friday"/>
    <s v="Weekday"/>
    <s v="Spring"/>
    <s v="Clear"/>
    <s v="Off Peak"/>
    <s v="Low"/>
    <s v="Medium"/>
  </r>
  <r>
    <n v="304"/>
    <d v="2011-01-14T00:00:00"/>
    <n v="1"/>
    <n v="0"/>
    <n v="1"/>
    <n v="2"/>
    <b v="0"/>
    <n v="5"/>
    <n v="1"/>
    <n v="0.1"/>
    <n v="0.1212"/>
    <n v="0.54"/>
    <n v="0.1343"/>
    <n v="0"/>
    <n v="1"/>
    <n v="1"/>
    <b v="1"/>
    <x v="0"/>
    <s v="Friday"/>
    <s v="Weekday"/>
    <s v="Spring"/>
    <s v="Clear"/>
    <s v="Off Peak"/>
    <s v="Low"/>
    <s v="Medium"/>
  </r>
  <r>
    <n v="305"/>
    <d v="2011-01-14T00:00:00"/>
    <n v="1"/>
    <n v="0"/>
    <n v="1"/>
    <n v="3"/>
    <b v="0"/>
    <n v="5"/>
    <n v="1"/>
    <n v="0.1"/>
    <n v="0.13639999999999999"/>
    <n v="0.54"/>
    <n v="0.1045"/>
    <n v="0"/>
    <n v="1"/>
    <n v="1"/>
    <b v="1"/>
    <x v="0"/>
    <s v="Friday"/>
    <s v="Weekday"/>
    <s v="Spring"/>
    <s v="Clear"/>
    <s v="Off Peak"/>
    <s v="Low"/>
    <s v="Medium"/>
  </r>
  <r>
    <n v="306"/>
    <d v="2011-01-14T00:00:00"/>
    <n v="1"/>
    <n v="0"/>
    <n v="1"/>
    <n v="5"/>
    <b v="0"/>
    <n v="5"/>
    <n v="1"/>
    <n v="0.1"/>
    <n v="0.13639999999999999"/>
    <n v="0.54"/>
    <n v="8.9599999999999999E-2"/>
    <n v="0"/>
    <n v="8"/>
    <n v="8"/>
    <b v="1"/>
    <x v="0"/>
    <s v="Friday"/>
    <s v="Weekday"/>
    <s v="Spring"/>
    <s v="Clear"/>
    <s v="Off Peak"/>
    <s v="Low"/>
    <s v="Medium"/>
  </r>
  <r>
    <n v="307"/>
    <d v="2011-01-14T00:00:00"/>
    <n v="1"/>
    <n v="0"/>
    <n v="1"/>
    <n v="6"/>
    <b v="0"/>
    <n v="5"/>
    <n v="1"/>
    <n v="0.1"/>
    <n v="0.18179999999999999"/>
    <n v="0.54"/>
    <n v="0"/>
    <n v="0"/>
    <n v="17"/>
    <n v="17"/>
    <b v="1"/>
    <x v="0"/>
    <s v="Friday"/>
    <s v="Weekday"/>
    <s v="Spring"/>
    <s v="Clear"/>
    <s v="Off Peak"/>
    <s v="Low"/>
    <s v="Medium"/>
  </r>
  <r>
    <n v="308"/>
    <d v="2011-01-14T00:00:00"/>
    <n v="1"/>
    <n v="0"/>
    <n v="1"/>
    <n v="7"/>
    <b v="0"/>
    <n v="5"/>
    <n v="1"/>
    <n v="0.1"/>
    <n v="0.1212"/>
    <n v="0.74"/>
    <n v="0.16420000000000001"/>
    <n v="0"/>
    <n v="70"/>
    <n v="70"/>
    <b v="1"/>
    <x v="0"/>
    <s v="Friday"/>
    <s v="Weekday"/>
    <s v="Spring"/>
    <s v="Clear"/>
    <s v="Morning Peak"/>
    <s v="Low"/>
    <s v="High"/>
  </r>
  <r>
    <n v="309"/>
    <d v="2011-01-14T00:00:00"/>
    <n v="1"/>
    <n v="0"/>
    <n v="1"/>
    <n v="8"/>
    <b v="0"/>
    <n v="5"/>
    <n v="1"/>
    <n v="0.12"/>
    <n v="0.16669999999999999"/>
    <n v="0.68"/>
    <n v="0"/>
    <n v="2"/>
    <n v="156"/>
    <n v="158"/>
    <b v="1"/>
    <x v="0"/>
    <s v="Friday"/>
    <s v="Weekday"/>
    <s v="Spring"/>
    <s v="Clear"/>
    <s v="Morning Peak"/>
    <s v="Low"/>
    <s v="Medium"/>
  </r>
  <r>
    <n v="310"/>
    <d v="2011-01-14T00:00:00"/>
    <n v="1"/>
    <n v="0"/>
    <n v="1"/>
    <n v="9"/>
    <b v="0"/>
    <n v="5"/>
    <n v="1"/>
    <n v="0.14000000000000001"/>
    <n v="0.1515"/>
    <n v="0.69"/>
    <n v="0.1343"/>
    <n v="0"/>
    <n v="117"/>
    <n v="117"/>
    <b v="1"/>
    <x v="0"/>
    <s v="Friday"/>
    <s v="Weekday"/>
    <s v="Spring"/>
    <s v="Clear"/>
    <s v="Morning Peak"/>
    <s v="Low"/>
    <s v="Medium"/>
  </r>
  <r>
    <n v="311"/>
    <d v="2011-01-14T00:00:00"/>
    <n v="1"/>
    <n v="0"/>
    <n v="1"/>
    <n v="10"/>
    <b v="0"/>
    <n v="5"/>
    <n v="1"/>
    <n v="0.18"/>
    <n v="0.18179999999999999"/>
    <n v="0.55000000000000004"/>
    <n v="0.19400000000000001"/>
    <n v="4"/>
    <n v="40"/>
    <n v="44"/>
    <b v="1"/>
    <x v="0"/>
    <s v="Friday"/>
    <s v="Weekday"/>
    <s v="Spring"/>
    <s v="Clear"/>
    <s v="Off Peak"/>
    <s v="Low"/>
    <s v="Medium"/>
  </r>
  <r>
    <n v="312"/>
    <d v="2011-01-14T00:00:00"/>
    <n v="1"/>
    <n v="0"/>
    <n v="1"/>
    <n v="11"/>
    <b v="0"/>
    <n v="5"/>
    <n v="1"/>
    <n v="0.18"/>
    <n v="0.16669999999999999"/>
    <n v="0.51"/>
    <n v="0.28360000000000002"/>
    <n v="6"/>
    <n v="47"/>
    <n v="53"/>
    <b v="1"/>
    <x v="0"/>
    <s v="Friday"/>
    <s v="Weekday"/>
    <s v="Spring"/>
    <s v="Clear"/>
    <s v="Off Peak"/>
    <s v="Low"/>
    <s v="Medium"/>
  </r>
  <r>
    <n v="313"/>
    <d v="2011-01-14T00:00:00"/>
    <n v="1"/>
    <n v="0"/>
    <n v="1"/>
    <n v="12"/>
    <b v="0"/>
    <n v="5"/>
    <n v="1"/>
    <n v="0.2"/>
    <n v="0.19700000000000001"/>
    <n v="0.44"/>
    <n v="0.25369999999999998"/>
    <n v="2"/>
    <n v="59"/>
    <n v="61"/>
    <b v="1"/>
    <x v="0"/>
    <s v="Friday"/>
    <s v="Weekday"/>
    <s v="Spring"/>
    <s v="Clear"/>
    <s v="Off Peak"/>
    <s v="Low"/>
    <s v="Medium"/>
  </r>
  <r>
    <n v="314"/>
    <d v="2011-01-14T00:00:00"/>
    <n v="1"/>
    <n v="0"/>
    <n v="1"/>
    <n v="13"/>
    <b v="0"/>
    <n v="5"/>
    <n v="1"/>
    <n v="0.22"/>
    <n v="0.19700000000000001"/>
    <n v="0.37"/>
    <n v="0.3881"/>
    <n v="4"/>
    <n v="73"/>
    <n v="77"/>
    <b v="1"/>
    <x v="0"/>
    <s v="Friday"/>
    <s v="Weekday"/>
    <s v="Spring"/>
    <s v="Clear"/>
    <s v="Off Peak"/>
    <s v="Low"/>
    <s v="Low"/>
  </r>
  <r>
    <n v="315"/>
    <d v="2011-01-14T00:00:00"/>
    <n v="1"/>
    <n v="0"/>
    <n v="1"/>
    <n v="14"/>
    <b v="0"/>
    <n v="5"/>
    <n v="1"/>
    <n v="0.22"/>
    <n v="0.21210000000000001"/>
    <n v="0.41"/>
    <n v="0.28360000000000002"/>
    <n v="5"/>
    <n v="59"/>
    <n v="64"/>
    <b v="1"/>
    <x v="0"/>
    <s v="Friday"/>
    <s v="Weekday"/>
    <s v="Spring"/>
    <s v="Clear"/>
    <s v="Off Peak"/>
    <s v="Low"/>
    <s v="Medium"/>
  </r>
  <r>
    <n v="316"/>
    <d v="2011-01-14T00:00:00"/>
    <n v="1"/>
    <n v="0"/>
    <n v="1"/>
    <n v="15"/>
    <b v="0"/>
    <n v="5"/>
    <n v="1"/>
    <n v="0.24"/>
    <n v="0.2424"/>
    <n v="0.38"/>
    <n v="0.16420000000000001"/>
    <n v="9"/>
    <n v="59"/>
    <n v="68"/>
    <b v="1"/>
    <x v="0"/>
    <s v="Friday"/>
    <s v="Weekday"/>
    <s v="Spring"/>
    <s v="Clear"/>
    <s v="Off Peak"/>
    <s v="Low"/>
    <s v="Low"/>
  </r>
  <r>
    <n v="317"/>
    <d v="2011-01-14T00:00:00"/>
    <n v="1"/>
    <n v="0"/>
    <n v="1"/>
    <n v="16"/>
    <b v="0"/>
    <n v="5"/>
    <n v="1"/>
    <n v="0.22"/>
    <n v="0.2424"/>
    <n v="0.41"/>
    <n v="0.1045"/>
    <n v="3"/>
    <n v="87"/>
    <n v="90"/>
    <b v="1"/>
    <x v="0"/>
    <s v="Friday"/>
    <s v="Weekday"/>
    <s v="Spring"/>
    <s v="Clear"/>
    <s v="Off Peak"/>
    <s v="Low"/>
    <s v="Medium"/>
  </r>
  <r>
    <n v="318"/>
    <d v="2011-01-14T00:00:00"/>
    <n v="1"/>
    <n v="0"/>
    <n v="1"/>
    <n v="17"/>
    <b v="0"/>
    <n v="5"/>
    <n v="1"/>
    <n v="0.22"/>
    <n v="0.2273"/>
    <n v="0.41"/>
    <n v="0.16420000000000001"/>
    <n v="4"/>
    <n v="155"/>
    <n v="159"/>
    <b v="1"/>
    <x v="0"/>
    <s v="Friday"/>
    <s v="Weekday"/>
    <s v="Spring"/>
    <s v="Clear"/>
    <s v="Evening Peak"/>
    <s v="Low"/>
    <s v="Medium"/>
  </r>
  <r>
    <n v="319"/>
    <d v="2011-01-14T00:00:00"/>
    <n v="1"/>
    <n v="0"/>
    <n v="1"/>
    <n v="18"/>
    <b v="0"/>
    <n v="5"/>
    <n v="1"/>
    <n v="0.2"/>
    <n v="0.2576"/>
    <n v="0.47"/>
    <n v="0"/>
    <n v="5"/>
    <n v="134"/>
    <n v="139"/>
    <b v="1"/>
    <x v="0"/>
    <s v="Friday"/>
    <s v="Weekday"/>
    <s v="Spring"/>
    <s v="Clear"/>
    <s v="Evening Peak"/>
    <s v="Low"/>
    <s v="Medium"/>
  </r>
  <r>
    <n v="320"/>
    <d v="2011-01-14T00:00:00"/>
    <n v="1"/>
    <n v="0"/>
    <n v="1"/>
    <n v="19"/>
    <b v="0"/>
    <n v="5"/>
    <n v="1"/>
    <n v="0.16"/>
    <n v="0.19700000000000001"/>
    <n v="0.59"/>
    <n v="8.9599999999999999E-2"/>
    <n v="3"/>
    <n v="89"/>
    <n v="92"/>
    <b v="1"/>
    <x v="0"/>
    <s v="Friday"/>
    <s v="Weekday"/>
    <s v="Spring"/>
    <s v="Clear"/>
    <s v="Evening Peak"/>
    <s v="Low"/>
    <s v="Medium"/>
  </r>
  <r>
    <n v="321"/>
    <d v="2011-01-14T00:00:00"/>
    <n v="1"/>
    <n v="0"/>
    <n v="1"/>
    <n v="20"/>
    <b v="0"/>
    <n v="5"/>
    <n v="1"/>
    <n v="0.18"/>
    <n v="0.2424"/>
    <n v="0.59"/>
    <n v="0"/>
    <n v="0"/>
    <n v="68"/>
    <n v="68"/>
    <b v="1"/>
    <x v="0"/>
    <s v="Friday"/>
    <s v="Weekday"/>
    <s v="Spring"/>
    <s v="Clear"/>
    <s v="Evening Peak"/>
    <s v="Low"/>
    <s v="Medium"/>
  </r>
  <r>
    <n v="322"/>
    <d v="2011-01-14T00:00:00"/>
    <n v="1"/>
    <n v="0"/>
    <n v="1"/>
    <n v="21"/>
    <b v="0"/>
    <n v="5"/>
    <n v="1"/>
    <n v="0.16"/>
    <n v="0.2273"/>
    <n v="0.69"/>
    <n v="0"/>
    <n v="4"/>
    <n v="48"/>
    <n v="52"/>
    <b v="1"/>
    <x v="0"/>
    <s v="Friday"/>
    <s v="Weekday"/>
    <s v="Spring"/>
    <s v="Clear"/>
    <s v="Off Peak"/>
    <s v="Low"/>
    <s v="Medium"/>
  </r>
  <r>
    <n v="323"/>
    <d v="2011-01-14T00:00:00"/>
    <n v="1"/>
    <n v="0"/>
    <n v="1"/>
    <n v="22"/>
    <b v="0"/>
    <n v="5"/>
    <n v="2"/>
    <n v="0.16"/>
    <n v="0.2273"/>
    <n v="0.69"/>
    <n v="0"/>
    <n v="2"/>
    <n v="34"/>
    <n v="36"/>
    <b v="1"/>
    <x v="0"/>
    <s v="Friday"/>
    <s v="Weekday"/>
    <s v="Spring"/>
    <s v="Mist"/>
    <s v="Off Peak"/>
    <s v="Low"/>
    <s v="Medium"/>
  </r>
  <r>
    <n v="324"/>
    <d v="2011-01-14T00:00:00"/>
    <n v="1"/>
    <n v="0"/>
    <n v="1"/>
    <n v="23"/>
    <b v="0"/>
    <n v="5"/>
    <n v="2"/>
    <n v="0.18"/>
    <n v="0.2424"/>
    <n v="0.55000000000000004"/>
    <n v="0"/>
    <n v="1"/>
    <n v="26"/>
    <n v="27"/>
    <b v="1"/>
    <x v="0"/>
    <s v="Friday"/>
    <s v="Weekday"/>
    <s v="Spring"/>
    <s v="Mist"/>
    <s v="Off Peak"/>
    <s v="Low"/>
    <s v="Medium"/>
  </r>
  <r>
    <n v="325"/>
    <d v="2011-01-15T00:00:00"/>
    <n v="1"/>
    <n v="0"/>
    <n v="1"/>
    <n v="0"/>
    <b v="0"/>
    <n v="6"/>
    <n v="1"/>
    <n v="0.18"/>
    <n v="0.2424"/>
    <n v="0.55000000000000004"/>
    <n v="0"/>
    <n v="3"/>
    <n v="25"/>
    <n v="28"/>
    <b v="1"/>
    <x v="0"/>
    <s v="Saturday"/>
    <s v="Weekend"/>
    <s v="Spring"/>
    <s v="Clear"/>
    <s v="Off Peak"/>
    <s v="Low"/>
    <s v="Medium"/>
  </r>
  <r>
    <n v="326"/>
    <d v="2011-01-15T00:00:00"/>
    <n v="1"/>
    <n v="0"/>
    <n v="1"/>
    <n v="1"/>
    <b v="0"/>
    <n v="6"/>
    <n v="2"/>
    <n v="0.16"/>
    <n v="0.19700000000000001"/>
    <n v="0.59"/>
    <n v="8.9599999999999999E-2"/>
    <n v="2"/>
    <n v="18"/>
    <n v="20"/>
    <b v="1"/>
    <x v="0"/>
    <s v="Saturday"/>
    <s v="Weekend"/>
    <s v="Spring"/>
    <s v="Mist"/>
    <s v="Off Peak"/>
    <s v="Low"/>
    <s v="Medium"/>
  </r>
  <r>
    <n v="327"/>
    <d v="2011-01-15T00:00:00"/>
    <n v="1"/>
    <n v="0"/>
    <n v="1"/>
    <n v="2"/>
    <b v="0"/>
    <n v="6"/>
    <n v="2"/>
    <n v="0.16"/>
    <n v="0.19700000000000001"/>
    <n v="0.59"/>
    <n v="8.9599999999999999E-2"/>
    <n v="0"/>
    <n v="12"/>
    <n v="12"/>
    <b v="1"/>
    <x v="0"/>
    <s v="Saturday"/>
    <s v="Weekend"/>
    <s v="Spring"/>
    <s v="Mist"/>
    <s v="Off Peak"/>
    <s v="Low"/>
    <s v="Medium"/>
  </r>
  <r>
    <n v="328"/>
    <d v="2011-01-15T00:00:00"/>
    <n v="1"/>
    <n v="0"/>
    <n v="1"/>
    <n v="3"/>
    <b v="0"/>
    <n v="6"/>
    <n v="2"/>
    <n v="0.16"/>
    <n v="0.2273"/>
    <n v="0.59"/>
    <n v="0"/>
    <n v="1"/>
    <n v="7"/>
    <n v="8"/>
    <b v="1"/>
    <x v="0"/>
    <s v="Saturday"/>
    <s v="Weekend"/>
    <s v="Spring"/>
    <s v="Mist"/>
    <s v="Off Peak"/>
    <s v="Low"/>
    <s v="Medium"/>
  </r>
  <r>
    <n v="329"/>
    <d v="2011-01-15T00:00:00"/>
    <n v="1"/>
    <n v="0"/>
    <n v="1"/>
    <n v="4"/>
    <b v="0"/>
    <n v="6"/>
    <n v="2"/>
    <n v="0.16"/>
    <n v="0.2273"/>
    <n v="0.59"/>
    <n v="0"/>
    <n v="0"/>
    <n v="5"/>
    <n v="5"/>
    <b v="1"/>
    <x v="0"/>
    <s v="Saturday"/>
    <s v="Weekend"/>
    <s v="Spring"/>
    <s v="Mist"/>
    <s v="Off Peak"/>
    <s v="Low"/>
    <s v="Medium"/>
  </r>
  <r>
    <n v="330"/>
    <d v="2011-01-15T00:00:00"/>
    <n v="1"/>
    <n v="0"/>
    <n v="1"/>
    <n v="5"/>
    <b v="0"/>
    <n v="6"/>
    <n v="1"/>
    <n v="0.16"/>
    <n v="0.2273"/>
    <n v="0.59"/>
    <n v="0"/>
    <n v="0"/>
    <n v="1"/>
    <n v="1"/>
    <b v="1"/>
    <x v="0"/>
    <s v="Saturday"/>
    <s v="Weekend"/>
    <s v="Spring"/>
    <s v="Clear"/>
    <s v="Off Peak"/>
    <s v="Low"/>
    <s v="Medium"/>
  </r>
  <r>
    <n v="331"/>
    <d v="2011-01-15T00:00:00"/>
    <n v="1"/>
    <n v="0"/>
    <n v="1"/>
    <n v="6"/>
    <b v="0"/>
    <n v="6"/>
    <n v="1"/>
    <n v="0.14000000000000001"/>
    <n v="0.16669999999999999"/>
    <n v="0.63"/>
    <n v="0.1045"/>
    <n v="1"/>
    <n v="2"/>
    <n v="3"/>
    <b v="1"/>
    <x v="0"/>
    <s v="Saturday"/>
    <s v="Weekend"/>
    <s v="Spring"/>
    <s v="Clear"/>
    <s v="Off Peak"/>
    <s v="Low"/>
    <s v="Medium"/>
  </r>
  <r>
    <n v="332"/>
    <d v="2011-01-15T00:00:00"/>
    <n v="1"/>
    <n v="0"/>
    <n v="1"/>
    <n v="7"/>
    <b v="0"/>
    <n v="6"/>
    <n v="1"/>
    <n v="0.14000000000000001"/>
    <n v="0.21210000000000001"/>
    <n v="0.63"/>
    <n v="0"/>
    <n v="1"/>
    <n v="9"/>
    <n v="10"/>
    <b v="1"/>
    <x v="0"/>
    <s v="Saturday"/>
    <s v="Weekend"/>
    <s v="Spring"/>
    <s v="Clear"/>
    <s v="Morning Peak"/>
    <s v="Low"/>
    <s v="Medium"/>
  </r>
  <r>
    <n v="333"/>
    <d v="2011-01-15T00:00:00"/>
    <n v="1"/>
    <n v="0"/>
    <n v="1"/>
    <n v="8"/>
    <b v="0"/>
    <n v="6"/>
    <n v="1"/>
    <n v="0.14000000000000001"/>
    <n v="0.1515"/>
    <n v="0.63"/>
    <n v="0.1343"/>
    <n v="1"/>
    <n v="22"/>
    <n v="23"/>
    <b v="1"/>
    <x v="0"/>
    <s v="Saturday"/>
    <s v="Weekend"/>
    <s v="Spring"/>
    <s v="Clear"/>
    <s v="Morning Peak"/>
    <s v="Low"/>
    <s v="Medium"/>
  </r>
  <r>
    <n v="334"/>
    <d v="2011-01-15T00:00:00"/>
    <n v="1"/>
    <n v="0"/>
    <n v="1"/>
    <n v="9"/>
    <b v="0"/>
    <n v="6"/>
    <n v="1"/>
    <n v="0.16"/>
    <n v="0.18179999999999999"/>
    <n v="0.64"/>
    <n v="0.1343"/>
    <n v="2"/>
    <n v="31"/>
    <n v="33"/>
    <b v="1"/>
    <x v="0"/>
    <s v="Saturday"/>
    <s v="Weekend"/>
    <s v="Spring"/>
    <s v="Clear"/>
    <s v="Morning Peak"/>
    <s v="Low"/>
    <s v="Medium"/>
  </r>
  <r>
    <n v="335"/>
    <d v="2011-01-15T00:00:00"/>
    <n v="1"/>
    <n v="0"/>
    <n v="1"/>
    <n v="10"/>
    <b v="0"/>
    <n v="6"/>
    <n v="1"/>
    <n v="0.18"/>
    <n v="0.19700000000000001"/>
    <n v="0.59"/>
    <n v="0.16420000000000001"/>
    <n v="2"/>
    <n v="57"/>
    <n v="59"/>
    <b v="1"/>
    <x v="0"/>
    <s v="Saturday"/>
    <s v="Weekend"/>
    <s v="Spring"/>
    <s v="Clear"/>
    <s v="Off Peak"/>
    <s v="Low"/>
    <s v="Medium"/>
  </r>
  <r>
    <n v="336"/>
    <d v="2011-01-15T00:00:00"/>
    <n v="1"/>
    <n v="0"/>
    <n v="1"/>
    <n v="11"/>
    <b v="0"/>
    <n v="6"/>
    <n v="1"/>
    <n v="0.2"/>
    <n v="0.19700000000000001"/>
    <n v="0.55000000000000004"/>
    <n v="0.22389999999999999"/>
    <n v="18"/>
    <n v="54"/>
    <n v="72"/>
    <b v="1"/>
    <x v="0"/>
    <s v="Saturday"/>
    <s v="Weekend"/>
    <s v="Spring"/>
    <s v="Clear"/>
    <s v="Off Peak"/>
    <s v="Low"/>
    <s v="Medium"/>
  </r>
  <r>
    <n v="337"/>
    <d v="2011-01-15T00:00:00"/>
    <n v="1"/>
    <n v="0"/>
    <n v="1"/>
    <n v="12"/>
    <b v="0"/>
    <n v="6"/>
    <n v="1"/>
    <n v="0.24"/>
    <n v="0.2273"/>
    <n v="0.48"/>
    <n v="0.22389999999999999"/>
    <n v="15"/>
    <n v="74"/>
    <n v="89"/>
    <b v="1"/>
    <x v="0"/>
    <s v="Saturday"/>
    <s v="Weekend"/>
    <s v="Spring"/>
    <s v="Clear"/>
    <s v="Off Peak"/>
    <s v="Low"/>
    <s v="Medium"/>
  </r>
  <r>
    <n v="338"/>
    <d v="2011-01-15T00:00:00"/>
    <n v="1"/>
    <n v="0"/>
    <n v="1"/>
    <n v="13"/>
    <b v="0"/>
    <n v="6"/>
    <n v="1"/>
    <n v="0.28000000000000003"/>
    <n v="0.2576"/>
    <n v="0.38"/>
    <n v="0.29849999999999999"/>
    <n v="21"/>
    <n v="80"/>
    <n v="101"/>
    <b v="1"/>
    <x v="0"/>
    <s v="Saturday"/>
    <s v="Weekend"/>
    <s v="Spring"/>
    <s v="Clear"/>
    <s v="Off Peak"/>
    <s v="Low"/>
    <s v="Low"/>
  </r>
  <r>
    <n v="339"/>
    <d v="2011-01-15T00:00:00"/>
    <n v="1"/>
    <n v="0"/>
    <n v="1"/>
    <n v="14"/>
    <b v="0"/>
    <n v="6"/>
    <n v="1"/>
    <n v="0.3"/>
    <n v="0.28789999999999999"/>
    <n v="0.39"/>
    <n v="0.28360000000000002"/>
    <n v="26"/>
    <n v="92"/>
    <n v="118"/>
    <b v="1"/>
    <x v="0"/>
    <s v="Saturday"/>
    <s v="Weekend"/>
    <s v="Spring"/>
    <s v="Clear"/>
    <s v="Off Peak"/>
    <s v="Medium"/>
    <s v="Low"/>
  </r>
  <r>
    <n v="340"/>
    <d v="2011-01-15T00:00:00"/>
    <n v="1"/>
    <n v="0"/>
    <n v="1"/>
    <n v="15"/>
    <b v="0"/>
    <n v="6"/>
    <n v="2"/>
    <n v="0.32"/>
    <n v="0.31819999999999998"/>
    <n v="0.36"/>
    <n v="0.19400000000000001"/>
    <n v="21"/>
    <n v="108"/>
    <n v="129"/>
    <b v="1"/>
    <x v="0"/>
    <s v="Saturday"/>
    <s v="Weekend"/>
    <s v="Spring"/>
    <s v="Mist"/>
    <s v="Off Peak"/>
    <s v="Medium"/>
    <s v="Low"/>
  </r>
  <r>
    <n v="341"/>
    <d v="2011-01-15T00:00:00"/>
    <n v="1"/>
    <n v="0"/>
    <n v="1"/>
    <n v="16"/>
    <b v="0"/>
    <n v="6"/>
    <n v="2"/>
    <n v="0.34"/>
    <n v="0.33329999999999999"/>
    <n v="0.34"/>
    <n v="0.19400000000000001"/>
    <n v="33"/>
    <n v="95"/>
    <n v="128"/>
    <b v="1"/>
    <x v="0"/>
    <s v="Saturday"/>
    <s v="Weekend"/>
    <s v="Spring"/>
    <s v="Mist"/>
    <s v="Off Peak"/>
    <s v="Medium"/>
    <s v="Low"/>
  </r>
  <r>
    <n v="342"/>
    <d v="2011-01-15T00:00:00"/>
    <n v="1"/>
    <n v="0"/>
    <n v="1"/>
    <n v="17"/>
    <b v="0"/>
    <n v="6"/>
    <n v="2"/>
    <n v="0.32"/>
    <n v="0.30299999999999999"/>
    <n v="0.36"/>
    <n v="0.28360000000000002"/>
    <n v="29"/>
    <n v="54"/>
    <n v="83"/>
    <b v="1"/>
    <x v="0"/>
    <s v="Saturday"/>
    <s v="Weekend"/>
    <s v="Spring"/>
    <s v="Mist"/>
    <s v="Evening Peak"/>
    <s v="Medium"/>
    <s v="Low"/>
  </r>
  <r>
    <n v="343"/>
    <d v="2011-01-15T00:00:00"/>
    <n v="1"/>
    <n v="0"/>
    <n v="1"/>
    <n v="18"/>
    <b v="0"/>
    <n v="6"/>
    <n v="2"/>
    <n v="0.3"/>
    <n v="0.28789999999999999"/>
    <n v="0.45"/>
    <n v="0.25369999999999998"/>
    <n v="15"/>
    <n v="69"/>
    <n v="84"/>
    <b v="1"/>
    <x v="0"/>
    <s v="Saturday"/>
    <s v="Weekend"/>
    <s v="Spring"/>
    <s v="Mist"/>
    <s v="Evening Peak"/>
    <s v="Medium"/>
    <s v="Medium"/>
  </r>
  <r>
    <n v="344"/>
    <d v="2011-01-15T00:00:00"/>
    <n v="1"/>
    <n v="0"/>
    <n v="1"/>
    <n v="19"/>
    <b v="0"/>
    <n v="6"/>
    <n v="2"/>
    <n v="0.32"/>
    <n v="0.30299999999999999"/>
    <n v="0.39"/>
    <n v="0.25369999999999998"/>
    <n v="14"/>
    <n v="60"/>
    <n v="74"/>
    <b v="1"/>
    <x v="0"/>
    <s v="Saturday"/>
    <s v="Weekend"/>
    <s v="Spring"/>
    <s v="Mist"/>
    <s v="Evening Peak"/>
    <s v="Medium"/>
    <s v="Low"/>
  </r>
  <r>
    <n v="345"/>
    <d v="2011-01-15T00:00:00"/>
    <n v="1"/>
    <n v="0"/>
    <n v="1"/>
    <n v="20"/>
    <b v="0"/>
    <n v="6"/>
    <n v="2"/>
    <n v="0.32"/>
    <n v="0.30299999999999999"/>
    <n v="0.39"/>
    <n v="0.25369999999999998"/>
    <n v="6"/>
    <n v="35"/>
    <n v="41"/>
    <b v="1"/>
    <x v="0"/>
    <s v="Saturday"/>
    <s v="Weekend"/>
    <s v="Spring"/>
    <s v="Mist"/>
    <s v="Evening Peak"/>
    <s v="Medium"/>
    <s v="Low"/>
  </r>
  <r>
    <n v="346"/>
    <d v="2011-01-15T00:00:00"/>
    <n v="1"/>
    <n v="0"/>
    <n v="1"/>
    <n v="21"/>
    <b v="0"/>
    <n v="6"/>
    <n v="2"/>
    <n v="0.32"/>
    <n v="0.30299999999999999"/>
    <n v="0.39"/>
    <n v="0.22389999999999999"/>
    <n v="6"/>
    <n v="51"/>
    <n v="57"/>
    <b v="1"/>
    <x v="0"/>
    <s v="Saturday"/>
    <s v="Weekend"/>
    <s v="Spring"/>
    <s v="Mist"/>
    <s v="Off Peak"/>
    <s v="Medium"/>
    <s v="Low"/>
  </r>
  <r>
    <n v="347"/>
    <d v="2011-01-15T00:00:00"/>
    <n v="1"/>
    <n v="0"/>
    <n v="1"/>
    <n v="22"/>
    <b v="0"/>
    <n v="6"/>
    <n v="2"/>
    <n v="0.3"/>
    <n v="0.31819999999999998"/>
    <n v="0.42"/>
    <n v="0.1045"/>
    <n v="0"/>
    <n v="26"/>
    <n v="26"/>
    <b v="1"/>
    <x v="0"/>
    <s v="Saturday"/>
    <s v="Weekend"/>
    <s v="Spring"/>
    <s v="Mist"/>
    <s v="Off Peak"/>
    <s v="Medium"/>
    <s v="Medium"/>
  </r>
  <r>
    <n v="348"/>
    <d v="2011-01-15T00:00:00"/>
    <n v="1"/>
    <n v="0"/>
    <n v="1"/>
    <n v="23"/>
    <b v="0"/>
    <n v="6"/>
    <n v="1"/>
    <n v="0.3"/>
    <n v="0.28789999999999999"/>
    <n v="0.45"/>
    <n v="0.28360000000000002"/>
    <n v="5"/>
    <n v="39"/>
    <n v="44"/>
    <b v="1"/>
    <x v="0"/>
    <s v="Saturday"/>
    <s v="Weekend"/>
    <s v="Spring"/>
    <s v="Clear"/>
    <s v="Off Peak"/>
    <s v="Medium"/>
    <s v="Medium"/>
  </r>
  <r>
    <n v="349"/>
    <d v="2011-01-16T00:00:00"/>
    <n v="1"/>
    <n v="0"/>
    <n v="1"/>
    <n v="0"/>
    <b v="0"/>
    <n v="0"/>
    <n v="1"/>
    <n v="0.26"/>
    <n v="0.30299999999999999"/>
    <n v="0.56000000000000005"/>
    <n v="0"/>
    <n v="6"/>
    <n v="33"/>
    <n v="39"/>
    <b v="1"/>
    <x v="0"/>
    <s v="Sunday"/>
    <s v="Weekend"/>
    <s v="Spring"/>
    <s v="Clear"/>
    <s v="Off Peak"/>
    <s v="Low"/>
    <s v="Medium"/>
  </r>
  <r>
    <n v="350"/>
    <d v="2011-01-16T00:00:00"/>
    <n v="1"/>
    <n v="0"/>
    <n v="1"/>
    <n v="1"/>
    <b v="0"/>
    <n v="0"/>
    <n v="1"/>
    <n v="0.26"/>
    <n v="0.2727"/>
    <n v="0.56000000000000005"/>
    <n v="0.1343"/>
    <n v="4"/>
    <n v="19"/>
    <n v="23"/>
    <b v="1"/>
    <x v="0"/>
    <s v="Sunday"/>
    <s v="Weekend"/>
    <s v="Spring"/>
    <s v="Clear"/>
    <s v="Off Peak"/>
    <s v="Low"/>
    <s v="Medium"/>
  </r>
  <r>
    <n v="351"/>
    <d v="2011-01-16T00:00:00"/>
    <n v="1"/>
    <n v="0"/>
    <n v="1"/>
    <n v="2"/>
    <b v="0"/>
    <n v="0"/>
    <n v="1"/>
    <n v="0.26"/>
    <n v="0.28789999999999999"/>
    <n v="0.56000000000000005"/>
    <n v="8.9599999999999999E-2"/>
    <n v="3"/>
    <n v="13"/>
    <n v="16"/>
    <b v="1"/>
    <x v="0"/>
    <s v="Sunday"/>
    <s v="Weekend"/>
    <s v="Spring"/>
    <s v="Clear"/>
    <s v="Off Peak"/>
    <s v="Low"/>
    <s v="Medium"/>
  </r>
  <r>
    <n v="352"/>
    <d v="2011-01-16T00:00:00"/>
    <n v="1"/>
    <n v="0"/>
    <n v="1"/>
    <n v="3"/>
    <b v="0"/>
    <n v="0"/>
    <n v="1"/>
    <n v="0.22"/>
    <n v="0.2727"/>
    <n v="0.69"/>
    <n v="0"/>
    <n v="9"/>
    <n v="6"/>
    <n v="15"/>
    <b v="1"/>
    <x v="0"/>
    <s v="Sunday"/>
    <s v="Weekend"/>
    <s v="Spring"/>
    <s v="Clear"/>
    <s v="Off Peak"/>
    <s v="Low"/>
    <s v="Medium"/>
  </r>
  <r>
    <n v="353"/>
    <d v="2011-01-16T00:00:00"/>
    <n v="1"/>
    <n v="0"/>
    <n v="1"/>
    <n v="4"/>
    <b v="0"/>
    <n v="0"/>
    <n v="1"/>
    <n v="0.26"/>
    <n v="0.2576"/>
    <n v="0.56000000000000005"/>
    <n v="0.16420000000000001"/>
    <n v="0"/>
    <n v="1"/>
    <n v="1"/>
    <b v="1"/>
    <x v="0"/>
    <s v="Sunday"/>
    <s v="Weekend"/>
    <s v="Spring"/>
    <s v="Clear"/>
    <s v="Off Peak"/>
    <s v="Low"/>
    <s v="Medium"/>
  </r>
  <r>
    <n v="354"/>
    <d v="2011-01-16T00:00:00"/>
    <n v="1"/>
    <n v="0"/>
    <n v="1"/>
    <n v="5"/>
    <b v="0"/>
    <n v="0"/>
    <n v="2"/>
    <n v="0.26"/>
    <n v="0.2576"/>
    <n v="0.56000000000000005"/>
    <n v="0.16420000000000001"/>
    <n v="1"/>
    <n v="1"/>
    <n v="2"/>
    <b v="1"/>
    <x v="0"/>
    <s v="Sunday"/>
    <s v="Weekend"/>
    <s v="Spring"/>
    <s v="Mist"/>
    <s v="Off Peak"/>
    <s v="Low"/>
    <s v="Medium"/>
  </r>
  <r>
    <n v="355"/>
    <d v="2011-01-16T00:00:00"/>
    <n v="1"/>
    <n v="0"/>
    <n v="1"/>
    <n v="6"/>
    <b v="0"/>
    <n v="0"/>
    <n v="2"/>
    <n v="0.26"/>
    <n v="0.2576"/>
    <n v="0.56000000000000005"/>
    <n v="0.16420000000000001"/>
    <n v="0"/>
    <n v="1"/>
    <n v="1"/>
    <b v="1"/>
    <x v="0"/>
    <s v="Sunday"/>
    <s v="Weekend"/>
    <s v="Spring"/>
    <s v="Mist"/>
    <s v="Off Peak"/>
    <s v="Low"/>
    <s v="Medium"/>
  </r>
  <r>
    <n v="356"/>
    <d v="2011-01-16T00:00:00"/>
    <n v="1"/>
    <n v="0"/>
    <n v="1"/>
    <n v="7"/>
    <b v="0"/>
    <n v="0"/>
    <n v="2"/>
    <n v="0.24"/>
    <n v="0.21210000000000001"/>
    <n v="0.56000000000000005"/>
    <n v="0.29849999999999999"/>
    <n v="0"/>
    <n v="3"/>
    <n v="3"/>
    <b v="1"/>
    <x v="0"/>
    <s v="Sunday"/>
    <s v="Weekend"/>
    <s v="Spring"/>
    <s v="Mist"/>
    <s v="Morning Peak"/>
    <s v="Low"/>
    <s v="Medium"/>
  </r>
  <r>
    <n v="357"/>
    <d v="2011-01-16T00:00:00"/>
    <n v="1"/>
    <n v="0"/>
    <n v="1"/>
    <n v="8"/>
    <b v="0"/>
    <n v="0"/>
    <n v="1"/>
    <n v="0.22"/>
    <n v="0.21210000000000001"/>
    <n v="0.55000000000000004"/>
    <n v="0.28360000000000002"/>
    <n v="0"/>
    <n v="18"/>
    <n v="18"/>
    <b v="1"/>
    <x v="0"/>
    <s v="Sunday"/>
    <s v="Weekend"/>
    <s v="Spring"/>
    <s v="Clear"/>
    <s v="Morning Peak"/>
    <s v="Low"/>
    <s v="Medium"/>
  </r>
  <r>
    <n v="358"/>
    <d v="2011-01-16T00:00:00"/>
    <n v="1"/>
    <n v="0"/>
    <n v="1"/>
    <n v="9"/>
    <b v="0"/>
    <n v="0"/>
    <n v="1"/>
    <n v="0.22"/>
    <n v="0.21210000000000001"/>
    <n v="0.51"/>
    <n v="0.25369999999999998"/>
    <n v="3"/>
    <n v="29"/>
    <n v="32"/>
    <b v="1"/>
    <x v="0"/>
    <s v="Sunday"/>
    <s v="Weekend"/>
    <s v="Spring"/>
    <s v="Clear"/>
    <s v="Morning Peak"/>
    <s v="Low"/>
    <s v="Medium"/>
  </r>
  <r>
    <n v="359"/>
    <d v="2011-01-16T00:00:00"/>
    <n v="1"/>
    <n v="0"/>
    <n v="1"/>
    <n v="10"/>
    <b v="0"/>
    <n v="0"/>
    <n v="1"/>
    <n v="0.22"/>
    <n v="0.21210000000000001"/>
    <n v="0.51"/>
    <n v="0.28360000000000002"/>
    <n v="8"/>
    <n v="71"/>
    <n v="79"/>
    <b v="1"/>
    <x v="0"/>
    <s v="Sunday"/>
    <s v="Weekend"/>
    <s v="Spring"/>
    <s v="Clear"/>
    <s v="Off Peak"/>
    <s v="Low"/>
    <s v="Medium"/>
  </r>
  <r>
    <n v="360"/>
    <d v="2011-01-16T00:00:00"/>
    <n v="1"/>
    <n v="0"/>
    <n v="1"/>
    <n v="11"/>
    <b v="0"/>
    <n v="0"/>
    <n v="1"/>
    <n v="0.24"/>
    <n v="0.2273"/>
    <n v="0.44"/>
    <n v="0.25369999999999998"/>
    <n v="23"/>
    <n v="70"/>
    <n v="93"/>
    <b v="1"/>
    <x v="0"/>
    <s v="Sunday"/>
    <s v="Weekend"/>
    <s v="Spring"/>
    <s v="Clear"/>
    <s v="Off Peak"/>
    <s v="Low"/>
    <s v="Medium"/>
  </r>
  <r>
    <n v="361"/>
    <d v="2011-01-16T00:00:00"/>
    <n v="1"/>
    <n v="0"/>
    <n v="1"/>
    <n v="12"/>
    <b v="0"/>
    <n v="0"/>
    <n v="1"/>
    <n v="0.24"/>
    <n v="0.21210000000000001"/>
    <n v="0.41"/>
    <n v="0.28360000000000002"/>
    <n v="29"/>
    <n v="75"/>
    <n v="104"/>
    <b v="1"/>
    <x v="0"/>
    <s v="Sunday"/>
    <s v="Weekend"/>
    <s v="Spring"/>
    <s v="Clear"/>
    <s v="Off Peak"/>
    <s v="Low"/>
    <s v="Medium"/>
  </r>
  <r>
    <n v="362"/>
    <d v="2011-01-16T00:00:00"/>
    <n v="1"/>
    <n v="0"/>
    <n v="1"/>
    <n v="13"/>
    <b v="0"/>
    <n v="0"/>
    <n v="1"/>
    <n v="0.26"/>
    <n v="0.2273"/>
    <n v="0.35"/>
    <n v="0.29849999999999999"/>
    <n v="23"/>
    <n v="95"/>
    <n v="118"/>
    <b v="1"/>
    <x v="0"/>
    <s v="Sunday"/>
    <s v="Weekend"/>
    <s v="Spring"/>
    <s v="Clear"/>
    <s v="Off Peak"/>
    <s v="Low"/>
    <s v="Low"/>
  </r>
  <r>
    <n v="363"/>
    <d v="2011-01-16T00:00:00"/>
    <n v="1"/>
    <n v="0"/>
    <n v="1"/>
    <n v="14"/>
    <b v="0"/>
    <n v="0"/>
    <n v="1"/>
    <n v="0.28000000000000003"/>
    <n v="0.2727"/>
    <n v="0.36"/>
    <n v="0.25369999999999998"/>
    <n v="22"/>
    <n v="69"/>
    <n v="91"/>
    <b v="1"/>
    <x v="0"/>
    <s v="Sunday"/>
    <s v="Weekend"/>
    <s v="Spring"/>
    <s v="Clear"/>
    <s v="Off Peak"/>
    <s v="Low"/>
    <s v="Low"/>
  </r>
  <r>
    <n v="364"/>
    <d v="2011-01-16T00:00:00"/>
    <n v="1"/>
    <n v="0"/>
    <n v="1"/>
    <n v="15"/>
    <b v="0"/>
    <n v="0"/>
    <n v="1"/>
    <n v="0.26"/>
    <n v="0.2424"/>
    <n v="0.38"/>
    <n v="0.25369999999999998"/>
    <n v="35"/>
    <n v="78"/>
    <n v="113"/>
    <b v="1"/>
    <x v="0"/>
    <s v="Sunday"/>
    <s v="Weekend"/>
    <s v="Spring"/>
    <s v="Clear"/>
    <s v="Off Peak"/>
    <s v="Low"/>
    <s v="Low"/>
  </r>
  <r>
    <n v="365"/>
    <d v="2011-01-16T00:00:00"/>
    <n v="1"/>
    <n v="0"/>
    <n v="1"/>
    <n v="16"/>
    <b v="0"/>
    <n v="0"/>
    <n v="1"/>
    <n v="0.24"/>
    <n v="0.2273"/>
    <n v="0.38"/>
    <n v="0.22389999999999999"/>
    <n v="22"/>
    <n v="77"/>
    <n v="99"/>
    <b v="1"/>
    <x v="0"/>
    <s v="Sunday"/>
    <s v="Weekend"/>
    <s v="Spring"/>
    <s v="Clear"/>
    <s v="Off Peak"/>
    <s v="Low"/>
    <s v="Low"/>
  </r>
  <r>
    <n v="366"/>
    <d v="2011-01-16T00:00:00"/>
    <n v="1"/>
    <n v="0"/>
    <n v="1"/>
    <n v="17"/>
    <b v="0"/>
    <n v="0"/>
    <n v="1"/>
    <n v="0.22"/>
    <n v="0.21210000000000001"/>
    <n v="0.37"/>
    <n v="0.25369999999999998"/>
    <n v="23"/>
    <n v="82"/>
    <n v="105"/>
    <b v="1"/>
    <x v="0"/>
    <s v="Sunday"/>
    <s v="Weekend"/>
    <s v="Spring"/>
    <s v="Clear"/>
    <s v="Evening Peak"/>
    <s v="Low"/>
    <s v="Low"/>
  </r>
  <r>
    <n v="367"/>
    <d v="2011-01-16T00:00:00"/>
    <n v="1"/>
    <n v="0"/>
    <n v="1"/>
    <n v="18"/>
    <b v="0"/>
    <n v="0"/>
    <n v="1"/>
    <n v="0.2"/>
    <n v="0.21210000000000001"/>
    <n v="0.4"/>
    <n v="0.16420000000000001"/>
    <n v="11"/>
    <n v="56"/>
    <n v="67"/>
    <b v="1"/>
    <x v="0"/>
    <s v="Sunday"/>
    <s v="Weekend"/>
    <s v="Spring"/>
    <s v="Clear"/>
    <s v="Evening Peak"/>
    <s v="Low"/>
    <s v="Medium"/>
  </r>
  <r>
    <n v="368"/>
    <d v="2011-01-16T00:00:00"/>
    <n v="1"/>
    <n v="0"/>
    <n v="1"/>
    <n v="19"/>
    <b v="0"/>
    <n v="0"/>
    <n v="1"/>
    <n v="0.18"/>
    <n v="0.19700000000000001"/>
    <n v="0.47"/>
    <n v="0.1343"/>
    <n v="14"/>
    <n v="47"/>
    <n v="61"/>
    <b v="1"/>
    <x v="0"/>
    <s v="Sunday"/>
    <s v="Weekend"/>
    <s v="Spring"/>
    <s v="Clear"/>
    <s v="Evening Peak"/>
    <s v="Low"/>
    <s v="Medium"/>
  </r>
  <r>
    <n v="369"/>
    <d v="2011-01-16T00:00:00"/>
    <n v="1"/>
    <n v="0"/>
    <n v="1"/>
    <n v="20"/>
    <b v="0"/>
    <n v="0"/>
    <n v="1"/>
    <n v="0.18"/>
    <n v="0.19700000000000001"/>
    <n v="0.47"/>
    <n v="0.16420000000000001"/>
    <n v="7"/>
    <n v="50"/>
    <n v="57"/>
    <b v="1"/>
    <x v="0"/>
    <s v="Sunday"/>
    <s v="Weekend"/>
    <s v="Spring"/>
    <s v="Clear"/>
    <s v="Evening Peak"/>
    <s v="Low"/>
    <s v="Medium"/>
  </r>
  <r>
    <n v="370"/>
    <d v="2011-01-16T00:00:00"/>
    <n v="1"/>
    <n v="0"/>
    <n v="1"/>
    <n v="21"/>
    <b v="0"/>
    <n v="0"/>
    <n v="1"/>
    <n v="0.18"/>
    <n v="0.19700000000000001"/>
    <n v="0.51"/>
    <n v="0.16420000000000001"/>
    <n v="6"/>
    <n v="22"/>
    <n v="28"/>
    <b v="1"/>
    <x v="0"/>
    <s v="Sunday"/>
    <s v="Weekend"/>
    <s v="Spring"/>
    <s v="Clear"/>
    <s v="Off Peak"/>
    <s v="Low"/>
    <s v="Medium"/>
  </r>
  <r>
    <n v="371"/>
    <d v="2011-01-16T00:00:00"/>
    <n v="1"/>
    <n v="0"/>
    <n v="1"/>
    <n v="22"/>
    <b v="0"/>
    <n v="0"/>
    <n v="2"/>
    <n v="0.2"/>
    <n v="0.21210000000000001"/>
    <n v="0.49"/>
    <n v="0.1343"/>
    <n v="2"/>
    <n v="19"/>
    <n v="21"/>
    <b v="1"/>
    <x v="0"/>
    <s v="Sunday"/>
    <s v="Weekend"/>
    <s v="Spring"/>
    <s v="Mist"/>
    <s v="Off Peak"/>
    <s v="Low"/>
    <s v="Medium"/>
  </r>
  <r>
    <n v="372"/>
    <d v="2011-01-16T00:00:00"/>
    <n v="1"/>
    <n v="0"/>
    <n v="1"/>
    <n v="23"/>
    <b v="0"/>
    <n v="0"/>
    <n v="2"/>
    <n v="0.2"/>
    <n v="0.2273"/>
    <n v="0.4"/>
    <n v="0.1045"/>
    <n v="0"/>
    <n v="18"/>
    <n v="18"/>
    <b v="1"/>
    <x v="0"/>
    <s v="Sunday"/>
    <s v="Weekend"/>
    <s v="Spring"/>
    <s v="Mist"/>
    <s v="Off Peak"/>
    <s v="Low"/>
    <s v="Medium"/>
  </r>
  <r>
    <n v="373"/>
    <d v="2011-01-17T00:00:00"/>
    <n v="1"/>
    <n v="0"/>
    <n v="1"/>
    <n v="0"/>
    <b v="1"/>
    <n v="1"/>
    <n v="2"/>
    <n v="0.2"/>
    <n v="0.19700000000000001"/>
    <n v="0.47"/>
    <n v="0.22389999999999999"/>
    <n v="1"/>
    <n v="16"/>
    <n v="17"/>
    <b v="1"/>
    <x v="0"/>
    <s v="Monday"/>
    <s v="Weekday"/>
    <s v="Spring"/>
    <s v="Mist"/>
    <s v="Off Peak"/>
    <s v="Low"/>
    <s v="Medium"/>
  </r>
  <r>
    <n v="374"/>
    <d v="2011-01-17T00:00:00"/>
    <n v="1"/>
    <n v="0"/>
    <n v="1"/>
    <n v="1"/>
    <b v="1"/>
    <n v="1"/>
    <n v="2"/>
    <n v="0.2"/>
    <n v="0.19700000000000001"/>
    <n v="0.44"/>
    <n v="0.19400000000000001"/>
    <n v="1"/>
    <n v="15"/>
    <n v="16"/>
    <b v="1"/>
    <x v="0"/>
    <s v="Monday"/>
    <s v="Weekday"/>
    <s v="Spring"/>
    <s v="Mist"/>
    <s v="Off Peak"/>
    <s v="Low"/>
    <s v="Medium"/>
  </r>
  <r>
    <n v="375"/>
    <d v="2011-01-17T00:00:00"/>
    <n v="1"/>
    <n v="0"/>
    <n v="1"/>
    <n v="2"/>
    <b v="1"/>
    <n v="1"/>
    <n v="2"/>
    <n v="0.18"/>
    <n v="0.16669999999999999"/>
    <n v="0.43"/>
    <n v="0.25369999999999998"/>
    <n v="0"/>
    <n v="8"/>
    <n v="8"/>
    <b v="1"/>
    <x v="0"/>
    <s v="Monday"/>
    <s v="Weekday"/>
    <s v="Spring"/>
    <s v="Mist"/>
    <s v="Off Peak"/>
    <s v="Low"/>
    <s v="Medium"/>
  </r>
  <r>
    <n v="376"/>
    <d v="2011-01-17T00:00:00"/>
    <n v="1"/>
    <n v="0"/>
    <n v="1"/>
    <n v="3"/>
    <b v="1"/>
    <n v="1"/>
    <n v="2"/>
    <n v="0.18"/>
    <n v="0.18179999999999999"/>
    <n v="0.43"/>
    <n v="0.19400000000000001"/>
    <n v="0"/>
    <n v="2"/>
    <n v="2"/>
    <b v="1"/>
    <x v="0"/>
    <s v="Monday"/>
    <s v="Weekday"/>
    <s v="Spring"/>
    <s v="Mist"/>
    <s v="Off Peak"/>
    <s v="Low"/>
    <s v="Medium"/>
  </r>
  <r>
    <n v="377"/>
    <d v="2011-01-17T00:00:00"/>
    <n v="1"/>
    <n v="0"/>
    <n v="1"/>
    <n v="4"/>
    <b v="1"/>
    <n v="1"/>
    <n v="2"/>
    <n v="0.18"/>
    <n v="0.19700000000000001"/>
    <n v="0.43"/>
    <n v="0.1343"/>
    <n v="1"/>
    <n v="2"/>
    <n v="3"/>
    <b v="1"/>
    <x v="0"/>
    <s v="Monday"/>
    <s v="Weekday"/>
    <s v="Spring"/>
    <s v="Mist"/>
    <s v="Off Peak"/>
    <s v="Low"/>
    <s v="Medium"/>
  </r>
  <r>
    <n v="378"/>
    <d v="2011-01-17T00:00:00"/>
    <n v="1"/>
    <n v="0"/>
    <n v="1"/>
    <n v="5"/>
    <b v="1"/>
    <n v="1"/>
    <n v="2"/>
    <n v="0.18"/>
    <n v="0.19700000000000001"/>
    <n v="0.43"/>
    <n v="0.16420000000000001"/>
    <n v="0"/>
    <n v="1"/>
    <n v="1"/>
    <b v="1"/>
    <x v="0"/>
    <s v="Monday"/>
    <s v="Weekday"/>
    <s v="Spring"/>
    <s v="Mist"/>
    <s v="Off Peak"/>
    <s v="Low"/>
    <s v="Medium"/>
  </r>
  <r>
    <n v="379"/>
    <d v="2011-01-17T00:00:00"/>
    <n v="1"/>
    <n v="0"/>
    <n v="1"/>
    <n v="6"/>
    <b v="1"/>
    <n v="1"/>
    <n v="2"/>
    <n v="0.18"/>
    <n v="0.18179999999999999"/>
    <n v="0.43"/>
    <n v="0.19400000000000001"/>
    <n v="0"/>
    <n v="5"/>
    <n v="5"/>
    <b v="1"/>
    <x v="0"/>
    <s v="Monday"/>
    <s v="Weekday"/>
    <s v="Spring"/>
    <s v="Mist"/>
    <s v="Off Peak"/>
    <s v="Low"/>
    <s v="Medium"/>
  </r>
  <r>
    <n v="380"/>
    <d v="2011-01-17T00:00:00"/>
    <n v="1"/>
    <n v="0"/>
    <n v="1"/>
    <n v="7"/>
    <b v="1"/>
    <n v="1"/>
    <n v="2"/>
    <n v="0.16"/>
    <n v="0.18179999999999999"/>
    <n v="0.5"/>
    <n v="0.1343"/>
    <n v="4"/>
    <n v="9"/>
    <n v="13"/>
    <b v="1"/>
    <x v="0"/>
    <s v="Monday"/>
    <s v="Weekday"/>
    <s v="Spring"/>
    <s v="Mist"/>
    <s v="Morning Peak"/>
    <s v="Low"/>
    <s v="Medium"/>
  </r>
  <r>
    <n v="381"/>
    <d v="2011-01-17T00:00:00"/>
    <n v="1"/>
    <n v="0"/>
    <n v="1"/>
    <n v="8"/>
    <b v="1"/>
    <n v="1"/>
    <n v="2"/>
    <n v="0.16"/>
    <n v="0.1515"/>
    <n v="0.47"/>
    <n v="0.22389999999999999"/>
    <n v="3"/>
    <n v="30"/>
    <n v="33"/>
    <b v="1"/>
    <x v="0"/>
    <s v="Monday"/>
    <s v="Weekday"/>
    <s v="Spring"/>
    <s v="Mist"/>
    <s v="Morning Peak"/>
    <s v="Low"/>
    <s v="Medium"/>
  </r>
  <r>
    <n v="382"/>
    <d v="2011-01-17T00:00:00"/>
    <n v="1"/>
    <n v="0"/>
    <n v="1"/>
    <n v="9"/>
    <b v="1"/>
    <n v="1"/>
    <n v="2"/>
    <n v="0.16"/>
    <n v="0.1515"/>
    <n v="0.47"/>
    <n v="0.22389999999999999"/>
    <n v="8"/>
    <n v="39"/>
    <n v="47"/>
    <b v="1"/>
    <x v="0"/>
    <s v="Monday"/>
    <s v="Weekday"/>
    <s v="Spring"/>
    <s v="Mist"/>
    <s v="Morning Peak"/>
    <s v="Low"/>
    <s v="Medium"/>
  </r>
  <r>
    <n v="383"/>
    <d v="2011-01-17T00:00:00"/>
    <n v="1"/>
    <n v="0"/>
    <n v="1"/>
    <n v="10"/>
    <b v="1"/>
    <n v="1"/>
    <n v="2"/>
    <n v="0.16"/>
    <n v="0.1515"/>
    <n v="0.5"/>
    <n v="0.25369999999999998"/>
    <n v="7"/>
    <n v="50"/>
    <n v="57"/>
    <b v="1"/>
    <x v="0"/>
    <s v="Monday"/>
    <s v="Weekday"/>
    <s v="Spring"/>
    <s v="Mist"/>
    <s v="Off Peak"/>
    <s v="Low"/>
    <s v="Medium"/>
  </r>
  <r>
    <n v="384"/>
    <d v="2011-01-17T00:00:00"/>
    <n v="1"/>
    <n v="0"/>
    <n v="1"/>
    <n v="11"/>
    <b v="1"/>
    <n v="1"/>
    <n v="2"/>
    <n v="0.16"/>
    <n v="0.1515"/>
    <n v="0.55000000000000004"/>
    <n v="0.19400000000000001"/>
    <n v="9"/>
    <n v="55"/>
    <n v="64"/>
    <b v="1"/>
    <x v="0"/>
    <s v="Monday"/>
    <s v="Weekday"/>
    <s v="Spring"/>
    <s v="Mist"/>
    <s v="Off Peak"/>
    <s v="Low"/>
    <s v="Medium"/>
  </r>
  <r>
    <n v="385"/>
    <d v="2011-01-17T00:00:00"/>
    <n v="1"/>
    <n v="0"/>
    <n v="1"/>
    <n v="12"/>
    <b v="1"/>
    <n v="1"/>
    <n v="2"/>
    <n v="0.18"/>
    <n v="0.19700000000000001"/>
    <n v="0.47"/>
    <n v="0.1343"/>
    <n v="10"/>
    <n v="70"/>
    <n v="80"/>
    <b v="1"/>
    <x v="0"/>
    <s v="Monday"/>
    <s v="Weekday"/>
    <s v="Spring"/>
    <s v="Mist"/>
    <s v="Off Peak"/>
    <s v="Low"/>
    <s v="Medium"/>
  </r>
  <r>
    <n v="386"/>
    <d v="2011-01-17T00:00:00"/>
    <n v="1"/>
    <n v="0"/>
    <n v="1"/>
    <n v="13"/>
    <b v="1"/>
    <n v="1"/>
    <n v="2"/>
    <n v="0.18"/>
    <n v="0.19700000000000001"/>
    <n v="0.47"/>
    <n v="0.1343"/>
    <n v="13"/>
    <n v="80"/>
    <n v="93"/>
    <b v="1"/>
    <x v="0"/>
    <s v="Monday"/>
    <s v="Weekday"/>
    <s v="Spring"/>
    <s v="Mist"/>
    <s v="Off Peak"/>
    <s v="Low"/>
    <s v="Medium"/>
  </r>
  <r>
    <n v="387"/>
    <d v="2011-01-17T00:00:00"/>
    <n v="1"/>
    <n v="0"/>
    <n v="1"/>
    <n v="14"/>
    <b v="1"/>
    <n v="1"/>
    <n v="2"/>
    <n v="0.18"/>
    <n v="0.21210000000000001"/>
    <n v="0.43"/>
    <n v="0.1045"/>
    <n v="12"/>
    <n v="74"/>
    <n v="86"/>
    <b v="1"/>
    <x v="0"/>
    <s v="Monday"/>
    <s v="Weekday"/>
    <s v="Spring"/>
    <s v="Mist"/>
    <s v="Off Peak"/>
    <s v="Low"/>
    <s v="Medium"/>
  </r>
  <r>
    <n v="388"/>
    <d v="2011-01-17T00:00:00"/>
    <n v="1"/>
    <n v="0"/>
    <n v="1"/>
    <n v="15"/>
    <b v="1"/>
    <n v="1"/>
    <n v="2"/>
    <n v="0.2"/>
    <n v="0.21210000000000001"/>
    <n v="0.47"/>
    <n v="0.16420000000000001"/>
    <n v="21"/>
    <n v="72"/>
    <n v="93"/>
    <b v="1"/>
    <x v="0"/>
    <s v="Monday"/>
    <s v="Weekday"/>
    <s v="Spring"/>
    <s v="Mist"/>
    <s v="Off Peak"/>
    <s v="Low"/>
    <s v="Medium"/>
  </r>
  <r>
    <n v="389"/>
    <d v="2011-01-17T00:00:00"/>
    <n v="1"/>
    <n v="0"/>
    <n v="1"/>
    <n v="16"/>
    <b v="1"/>
    <n v="1"/>
    <n v="2"/>
    <n v="0.2"/>
    <n v="0.21210000000000001"/>
    <n v="0.47"/>
    <n v="0.16420000000000001"/>
    <n v="6"/>
    <n v="76"/>
    <n v="82"/>
    <b v="1"/>
    <x v="0"/>
    <s v="Monday"/>
    <s v="Weekday"/>
    <s v="Spring"/>
    <s v="Mist"/>
    <s v="Off Peak"/>
    <s v="Low"/>
    <s v="Medium"/>
  </r>
  <r>
    <n v="390"/>
    <d v="2011-01-17T00:00:00"/>
    <n v="1"/>
    <n v="0"/>
    <n v="1"/>
    <n v="17"/>
    <b v="1"/>
    <n v="1"/>
    <n v="1"/>
    <n v="0.2"/>
    <n v="0.19700000000000001"/>
    <n v="0.51"/>
    <n v="0.19400000000000001"/>
    <n v="4"/>
    <n v="67"/>
    <n v="71"/>
    <b v="1"/>
    <x v="0"/>
    <s v="Monday"/>
    <s v="Weekday"/>
    <s v="Spring"/>
    <s v="Clear"/>
    <s v="Evening Peak"/>
    <s v="Low"/>
    <s v="Medium"/>
  </r>
  <r>
    <n v="391"/>
    <d v="2011-01-17T00:00:00"/>
    <n v="1"/>
    <n v="0"/>
    <n v="1"/>
    <n v="18"/>
    <b v="1"/>
    <n v="1"/>
    <n v="2"/>
    <n v="0.18"/>
    <n v="0.16669999999999999"/>
    <n v="0.55000000000000004"/>
    <n v="0.25369999999999998"/>
    <n v="7"/>
    <n v="85"/>
    <n v="92"/>
    <b v="1"/>
    <x v="0"/>
    <s v="Monday"/>
    <s v="Weekday"/>
    <s v="Spring"/>
    <s v="Mist"/>
    <s v="Evening Peak"/>
    <s v="Low"/>
    <s v="Medium"/>
  </r>
  <r>
    <n v="392"/>
    <d v="2011-01-17T00:00:00"/>
    <n v="1"/>
    <n v="0"/>
    <n v="1"/>
    <n v="19"/>
    <b v="1"/>
    <n v="1"/>
    <n v="3"/>
    <n v="0.18"/>
    <n v="0.18179999999999999"/>
    <n v="0.59"/>
    <n v="0.19400000000000001"/>
    <n v="2"/>
    <n v="58"/>
    <n v="60"/>
    <b v="1"/>
    <x v="0"/>
    <s v="Monday"/>
    <s v="Weekday"/>
    <s v="Spring"/>
    <s v="Light Rain"/>
    <s v="Evening Peak"/>
    <s v="Low"/>
    <s v="Medium"/>
  </r>
  <r>
    <n v="393"/>
    <d v="2011-01-17T00:00:00"/>
    <n v="1"/>
    <n v="0"/>
    <n v="1"/>
    <n v="20"/>
    <b v="1"/>
    <n v="1"/>
    <n v="3"/>
    <n v="0.16"/>
    <n v="0.1515"/>
    <n v="0.8"/>
    <n v="0.19400000000000001"/>
    <n v="4"/>
    <n v="29"/>
    <n v="33"/>
    <b v="1"/>
    <x v="0"/>
    <s v="Monday"/>
    <s v="Weekday"/>
    <s v="Spring"/>
    <s v="Light Rain"/>
    <s v="Evening Peak"/>
    <s v="Low"/>
    <s v="High"/>
  </r>
  <r>
    <n v="394"/>
    <d v="2011-01-17T00:00:00"/>
    <n v="1"/>
    <n v="0"/>
    <n v="1"/>
    <n v="21"/>
    <b v="1"/>
    <n v="1"/>
    <n v="3"/>
    <n v="0.16"/>
    <n v="0.1515"/>
    <n v="0.8"/>
    <n v="0.19400000000000001"/>
    <n v="3"/>
    <n v="24"/>
    <n v="27"/>
    <b v="1"/>
    <x v="0"/>
    <s v="Monday"/>
    <s v="Weekday"/>
    <s v="Spring"/>
    <s v="Light Rain"/>
    <s v="Off Peak"/>
    <s v="Low"/>
    <s v="High"/>
  </r>
  <r>
    <n v="395"/>
    <d v="2011-01-17T00:00:00"/>
    <n v="1"/>
    <n v="0"/>
    <n v="1"/>
    <n v="22"/>
    <b v="1"/>
    <n v="1"/>
    <n v="3"/>
    <n v="0.14000000000000001"/>
    <n v="0.1212"/>
    <n v="0.93"/>
    <n v="0.25369999999999998"/>
    <n v="0"/>
    <n v="13"/>
    <n v="13"/>
    <b v="1"/>
    <x v="0"/>
    <s v="Monday"/>
    <s v="Weekday"/>
    <s v="Spring"/>
    <s v="Light Rain"/>
    <s v="Off Peak"/>
    <s v="Low"/>
    <s v="High"/>
  </r>
  <r>
    <n v="396"/>
    <d v="2011-01-17T00:00:00"/>
    <n v="1"/>
    <n v="0"/>
    <n v="1"/>
    <n v="23"/>
    <b v="1"/>
    <n v="1"/>
    <n v="3"/>
    <n v="0.16"/>
    <n v="0.13639999999999999"/>
    <n v="0.86"/>
    <n v="0.28360000000000002"/>
    <n v="1"/>
    <n v="3"/>
    <n v="4"/>
    <b v="1"/>
    <x v="0"/>
    <s v="Monday"/>
    <s v="Weekday"/>
    <s v="Spring"/>
    <s v="Light Rain"/>
    <s v="Off Peak"/>
    <s v="Low"/>
    <s v="High"/>
  </r>
  <r>
    <n v="397"/>
    <d v="2011-01-18T00:00:00"/>
    <n v="1"/>
    <n v="0"/>
    <n v="1"/>
    <n v="12"/>
    <b v="0"/>
    <n v="2"/>
    <n v="2"/>
    <n v="0.2"/>
    <n v="0.18179999999999999"/>
    <n v="0.86"/>
    <n v="0.32840000000000003"/>
    <n v="0"/>
    <n v="3"/>
    <n v="3"/>
    <b v="1"/>
    <x v="0"/>
    <s v="Tuesday"/>
    <s v="Weekday"/>
    <s v="Spring"/>
    <s v="Mist"/>
    <s v="Off Peak"/>
    <s v="Low"/>
    <s v="High"/>
  </r>
  <r>
    <n v="398"/>
    <d v="2011-01-18T00:00:00"/>
    <n v="1"/>
    <n v="0"/>
    <n v="1"/>
    <n v="13"/>
    <b v="0"/>
    <n v="2"/>
    <n v="2"/>
    <n v="0.2"/>
    <n v="0.19700000000000001"/>
    <n v="0.86"/>
    <n v="0.22389999999999999"/>
    <n v="0"/>
    <n v="22"/>
    <n v="22"/>
    <b v="1"/>
    <x v="0"/>
    <s v="Tuesday"/>
    <s v="Weekday"/>
    <s v="Spring"/>
    <s v="Mist"/>
    <s v="Off Peak"/>
    <s v="Low"/>
    <s v="High"/>
  </r>
  <r>
    <n v="399"/>
    <d v="2011-01-18T00:00:00"/>
    <n v="1"/>
    <n v="0"/>
    <n v="1"/>
    <n v="14"/>
    <b v="0"/>
    <n v="2"/>
    <n v="2"/>
    <n v="0.22"/>
    <n v="0.2273"/>
    <n v="0.8"/>
    <n v="0.16420000000000001"/>
    <n v="2"/>
    <n v="26"/>
    <n v="28"/>
    <b v="1"/>
    <x v="0"/>
    <s v="Tuesday"/>
    <s v="Weekday"/>
    <s v="Spring"/>
    <s v="Mist"/>
    <s v="Off Peak"/>
    <s v="Low"/>
    <s v="High"/>
  </r>
  <r>
    <n v="400"/>
    <d v="2011-01-18T00:00:00"/>
    <n v="1"/>
    <n v="0"/>
    <n v="1"/>
    <n v="15"/>
    <b v="0"/>
    <n v="2"/>
    <n v="2"/>
    <n v="0.22"/>
    <n v="0.2273"/>
    <n v="0.87"/>
    <n v="0.16420000000000001"/>
    <n v="3"/>
    <n v="32"/>
    <n v="35"/>
    <b v="1"/>
    <x v="0"/>
    <s v="Tuesday"/>
    <s v="Weekday"/>
    <s v="Spring"/>
    <s v="Mist"/>
    <s v="Off Peak"/>
    <s v="Low"/>
    <s v="High"/>
  </r>
  <r>
    <n v="401"/>
    <d v="2011-01-18T00:00:00"/>
    <n v="1"/>
    <n v="0"/>
    <n v="1"/>
    <n v="16"/>
    <b v="0"/>
    <n v="2"/>
    <n v="2"/>
    <n v="0.22"/>
    <n v="0.2273"/>
    <n v="0.87"/>
    <n v="0.19400000000000001"/>
    <n v="0"/>
    <n v="61"/>
    <n v="61"/>
    <b v="1"/>
    <x v="0"/>
    <s v="Tuesday"/>
    <s v="Weekday"/>
    <s v="Spring"/>
    <s v="Mist"/>
    <s v="Off Peak"/>
    <s v="Low"/>
    <s v="High"/>
  </r>
  <r>
    <n v="402"/>
    <d v="2011-01-18T00:00:00"/>
    <n v="1"/>
    <n v="0"/>
    <n v="1"/>
    <n v="17"/>
    <b v="0"/>
    <n v="2"/>
    <n v="2"/>
    <n v="0.22"/>
    <n v="0.2273"/>
    <n v="0.82"/>
    <n v="0.19400000000000001"/>
    <n v="1"/>
    <n v="124"/>
    <n v="125"/>
    <b v="1"/>
    <x v="0"/>
    <s v="Tuesday"/>
    <s v="Weekday"/>
    <s v="Spring"/>
    <s v="Mist"/>
    <s v="Evening Peak"/>
    <s v="Low"/>
    <s v="High"/>
  </r>
  <r>
    <n v="403"/>
    <d v="2011-01-18T00:00:00"/>
    <n v="1"/>
    <n v="0"/>
    <n v="1"/>
    <n v="18"/>
    <b v="0"/>
    <n v="2"/>
    <n v="2"/>
    <n v="0.22"/>
    <n v="0.2273"/>
    <n v="0.8"/>
    <n v="0.16420000000000001"/>
    <n v="1"/>
    <n v="132"/>
    <n v="133"/>
    <b v="1"/>
    <x v="0"/>
    <s v="Tuesday"/>
    <s v="Weekday"/>
    <s v="Spring"/>
    <s v="Mist"/>
    <s v="Evening Peak"/>
    <s v="Low"/>
    <s v="High"/>
  </r>
  <r>
    <n v="404"/>
    <d v="2011-01-18T00:00:00"/>
    <n v="1"/>
    <n v="0"/>
    <n v="1"/>
    <n v="19"/>
    <b v="0"/>
    <n v="2"/>
    <n v="2"/>
    <n v="0.22"/>
    <n v="0.2273"/>
    <n v="0.8"/>
    <n v="0.1343"/>
    <n v="1"/>
    <n v="98"/>
    <n v="99"/>
    <b v="1"/>
    <x v="0"/>
    <s v="Tuesday"/>
    <s v="Weekday"/>
    <s v="Spring"/>
    <s v="Mist"/>
    <s v="Evening Peak"/>
    <s v="Low"/>
    <s v="High"/>
  </r>
  <r>
    <n v="405"/>
    <d v="2011-01-18T00:00:00"/>
    <n v="1"/>
    <n v="0"/>
    <n v="1"/>
    <n v="20"/>
    <b v="0"/>
    <n v="2"/>
    <n v="2"/>
    <n v="0.22"/>
    <n v="0.2727"/>
    <n v="0.87"/>
    <n v="0"/>
    <n v="0"/>
    <n v="83"/>
    <n v="83"/>
    <b v="1"/>
    <x v="0"/>
    <s v="Tuesday"/>
    <s v="Weekday"/>
    <s v="Spring"/>
    <s v="Mist"/>
    <s v="Evening Peak"/>
    <s v="Low"/>
    <s v="High"/>
  </r>
  <r>
    <n v="406"/>
    <d v="2011-01-18T00:00:00"/>
    <n v="1"/>
    <n v="0"/>
    <n v="1"/>
    <n v="21"/>
    <b v="0"/>
    <n v="2"/>
    <n v="2"/>
    <n v="0.22"/>
    <n v="0.2424"/>
    <n v="0.93"/>
    <n v="0.1045"/>
    <n v="0"/>
    <n v="41"/>
    <n v="41"/>
    <b v="1"/>
    <x v="0"/>
    <s v="Tuesday"/>
    <s v="Weekday"/>
    <s v="Spring"/>
    <s v="Mist"/>
    <s v="Off Peak"/>
    <s v="Low"/>
    <s v="High"/>
  </r>
  <r>
    <n v="407"/>
    <d v="2011-01-18T00:00:00"/>
    <n v="1"/>
    <n v="0"/>
    <n v="1"/>
    <n v="22"/>
    <b v="0"/>
    <n v="2"/>
    <n v="2"/>
    <n v="0.22"/>
    <n v="0.2576"/>
    <n v="0.93"/>
    <n v="8.9599999999999999E-2"/>
    <n v="0"/>
    <n v="33"/>
    <n v="33"/>
    <b v="1"/>
    <x v="0"/>
    <s v="Tuesday"/>
    <s v="Weekday"/>
    <s v="Spring"/>
    <s v="Mist"/>
    <s v="Off Peak"/>
    <s v="Low"/>
    <s v="High"/>
  </r>
  <r>
    <n v="408"/>
    <d v="2011-01-18T00:00:00"/>
    <n v="1"/>
    <n v="0"/>
    <n v="1"/>
    <n v="23"/>
    <b v="0"/>
    <n v="2"/>
    <n v="2"/>
    <n v="0.22"/>
    <n v="0.2727"/>
    <n v="0.93"/>
    <n v="0"/>
    <n v="1"/>
    <n v="19"/>
    <n v="20"/>
    <b v="1"/>
    <x v="0"/>
    <s v="Tuesday"/>
    <s v="Weekday"/>
    <s v="Spring"/>
    <s v="Mist"/>
    <s v="Off Peak"/>
    <s v="Low"/>
    <s v="High"/>
  </r>
  <r>
    <n v="409"/>
    <d v="2011-01-19T00:00:00"/>
    <n v="1"/>
    <n v="0"/>
    <n v="1"/>
    <n v="0"/>
    <b v="0"/>
    <n v="3"/>
    <n v="2"/>
    <n v="0.22"/>
    <n v="0.2727"/>
    <n v="0.93"/>
    <n v="0"/>
    <n v="0"/>
    <n v="3"/>
    <n v="3"/>
    <b v="1"/>
    <x v="0"/>
    <s v="Wednesday"/>
    <s v="Weekday"/>
    <s v="Spring"/>
    <s v="Mist"/>
    <s v="Off Peak"/>
    <s v="Low"/>
    <s v="High"/>
  </r>
  <r>
    <n v="410"/>
    <d v="2011-01-19T00:00:00"/>
    <n v="1"/>
    <n v="0"/>
    <n v="1"/>
    <n v="1"/>
    <b v="0"/>
    <n v="3"/>
    <n v="3"/>
    <n v="0.22"/>
    <n v="0.2273"/>
    <n v="0.93"/>
    <n v="0.1343"/>
    <n v="1"/>
    <n v="6"/>
    <n v="7"/>
    <b v="1"/>
    <x v="0"/>
    <s v="Wednesday"/>
    <s v="Weekday"/>
    <s v="Spring"/>
    <s v="Light Rain"/>
    <s v="Off Peak"/>
    <s v="Low"/>
    <s v="High"/>
  </r>
  <r>
    <n v="411"/>
    <d v="2011-01-19T00:00:00"/>
    <n v="1"/>
    <n v="0"/>
    <n v="1"/>
    <n v="2"/>
    <b v="0"/>
    <n v="3"/>
    <n v="3"/>
    <n v="0.22"/>
    <n v="0.2273"/>
    <n v="0.93"/>
    <n v="0.1343"/>
    <n v="0"/>
    <n v="3"/>
    <n v="3"/>
    <b v="1"/>
    <x v="0"/>
    <s v="Wednesday"/>
    <s v="Weekday"/>
    <s v="Spring"/>
    <s v="Light Rain"/>
    <s v="Off Peak"/>
    <s v="Low"/>
    <s v="High"/>
  </r>
  <r>
    <n v="412"/>
    <d v="2011-01-19T00:00:00"/>
    <n v="1"/>
    <n v="0"/>
    <n v="1"/>
    <n v="4"/>
    <b v="0"/>
    <n v="3"/>
    <n v="3"/>
    <n v="0.22"/>
    <n v="0.2273"/>
    <n v="0.93"/>
    <n v="0.1343"/>
    <n v="1"/>
    <n v="1"/>
    <n v="2"/>
    <b v="1"/>
    <x v="0"/>
    <s v="Wednesday"/>
    <s v="Weekday"/>
    <s v="Spring"/>
    <s v="Light Rain"/>
    <s v="Off Peak"/>
    <s v="Low"/>
    <s v="High"/>
  </r>
  <r>
    <n v="413"/>
    <d v="2011-01-19T00:00:00"/>
    <n v="1"/>
    <n v="0"/>
    <n v="1"/>
    <n v="5"/>
    <b v="0"/>
    <n v="3"/>
    <n v="2"/>
    <n v="0.22"/>
    <n v="0.2576"/>
    <n v="0.93"/>
    <n v="8.9599999999999999E-2"/>
    <n v="0"/>
    <n v="7"/>
    <n v="7"/>
    <b v="1"/>
    <x v="0"/>
    <s v="Wednesday"/>
    <s v="Weekday"/>
    <s v="Spring"/>
    <s v="Mist"/>
    <s v="Off Peak"/>
    <s v="Low"/>
    <s v="High"/>
  </r>
  <r>
    <n v="414"/>
    <d v="2011-01-19T00:00:00"/>
    <n v="1"/>
    <n v="0"/>
    <n v="1"/>
    <n v="6"/>
    <b v="0"/>
    <n v="3"/>
    <n v="2"/>
    <n v="0.22"/>
    <n v="0.2576"/>
    <n v="0.93"/>
    <n v="8.9599999999999999E-2"/>
    <n v="0"/>
    <n v="32"/>
    <n v="32"/>
    <b v="1"/>
    <x v="0"/>
    <s v="Wednesday"/>
    <s v="Weekday"/>
    <s v="Spring"/>
    <s v="Mist"/>
    <s v="Off Peak"/>
    <s v="Low"/>
    <s v="High"/>
  </r>
  <r>
    <n v="415"/>
    <d v="2011-01-19T00:00:00"/>
    <n v="1"/>
    <n v="0"/>
    <n v="1"/>
    <n v="7"/>
    <b v="0"/>
    <n v="3"/>
    <n v="2"/>
    <n v="0.24"/>
    <n v="0.2576"/>
    <n v="0.92"/>
    <n v="0.1045"/>
    <n v="1"/>
    <n v="89"/>
    <n v="90"/>
    <b v="1"/>
    <x v="0"/>
    <s v="Wednesday"/>
    <s v="Weekday"/>
    <s v="Spring"/>
    <s v="Mist"/>
    <s v="Morning Peak"/>
    <s v="Low"/>
    <s v="High"/>
  </r>
  <r>
    <n v="416"/>
    <d v="2011-01-19T00:00:00"/>
    <n v="1"/>
    <n v="0"/>
    <n v="1"/>
    <n v="8"/>
    <b v="0"/>
    <n v="3"/>
    <n v="2"/>
    <n v="0.24"/>
    <n v="0.2576"/>
    <n v="0.93"/>
    <n v="0.1045"/>
    <n v="1"/>
    <n v="196"/>
    <n v="197"/>
    <b v="1"/>
    <x v="0"/>
    <s v="Wednesday"/>
    <s v="Weekday"/>
    <s v="Spring"/>
    <s v="Mist"/>
    <s v="Morning Peak"/>
    <s v="Low"/>
    <s v="High"/>
  </r>
  <r>
    <n v="417"/>
    <d v="2011-01-19T00:00:00"/>
    <n v="1"/>
    <n v="0"/>
    <n v="1"/>
    <n v="9"/>
    <b v="0"/>
    <n v="3"/>
    <n v="2"/>
    <n v="0.24"/>
    <n v="0.2576"/>
    <n v="0.93"/>
    <n v="0.1045"/>
    <n v="2"/>
    <n v="107"/>
    <n v="109"/>
    <b v="1"/>
    <x v="0"/>
    <s v="Wednesday"/>
    <s v="Weekday"/>
    <s v="Spring"/>
    <s v="Mist"/>
    <s v="Morning Peak"/>
    <s v="Low"/>
    <s v="High"/>
  </r>
  <r>
    <n v="418"/>
    <d v="2011-01-19T00:00:00"/>
    <n v="1"/>
    <n v="0"/>
    <n v="1"/>
    <n v="10"/>
    <b v="0"/>
    <n v="3"/>
    <n v="2"/>
    <n v="0.26"/>
    <n v="0.2727"/>
    <n v="0.93"/>
    <n v="0.1343"/>
    <n v="1"/>
    <n v="46"/>
    <n v="47"/>
    <b v="1"/>
    <x v="0"/>
    <s v="Wednesday"/>
    <s v="Weekday"/>
    <s v="Spring"/>
    <s v="Mist"/>
    <s v="Off Peak"/>
    <s v="Low"/>
    <s v="High"/>
  </r>
  <r>
    <n v="419"/>
    <d v="2011-01-19T00:00:00"/>
    <n v="1"/>
    <n v="0"/>
    <n v="1"/>
    <n v="11"/>
    <b v="0"/>
    <n v="3"/>
    <n v="2"/>
    <n v="0.28000000000000003"/>
    <n v="0.30299999999999999"/>
    <n v="0.87"/>
    <n v="8.9599999999999999E-2"/>
    <n v="5"/>
    <n v="47"/>
    <n v="52"/>
    <b v="1"/>
    <x v="0"/>
    <s v="Wednesday"/>
    <s v="Weekday"/>
    <s v="Spring"/>
    <s v="Mist"/>
    <s v="Off Peak"/>
    <s v="Low"/>
    <s v="High"/>
  </r>
  <r>
    <n v="420"/>
    <d v="2011-01-19T00:00:00"/>
    <n v="1"/>
    <n v="0"/>
    <n v="1"/>
    <n v="12"/>
    <b v="0"/>
    <n v="3"/>
    <n v="2"/>
    <n v="0.3"/>
    <n v="0.31819999999999998"/>
    <n v="0.81"/>
    <n v="8.9599999999999999E-2"/>
    <n v="5"/>
    <n v="65"/>
    <n v="70"/>
    <b v="1"/>
    <x v="0"/>
    <s v="Wednesday"/>
    <s v="Weekday"/>
    <s v="Spring"/>
    <s v="Mist"/>
    <s v="Off Peak"/>
    <s v="Medium"/>
    <s v="High"/>
  </r>
  <r>
    <n v="421"/>
    <d v="2011-01-19T00:00:00"/>
    <n v="1"/>
    <n v="0"/>
    <n v="1"/>
    <n v="13"/>
    <b v="0"/>
    <n v="3"/>
    <n v="1"/>
    <n v="0.4"/>
    <n v="0.40910000000000002"/>
    <n v="0.62"/>
    <n v="0.28360000000000002"/>
    <n v="11"/>
    <n v="67"/>
    <n v="78"/>
    <b v="1"/>
    <x v="0"/>
    <s v="Wednesday"/>
    <s v="Weekday"/>
    <s v="Spring"/>
    <s v="Clear"/>
    <s v="Off Peak"/>
    <s v="Medium"/>
    <s v="Medium"/>
  </r>
  <r>
    <n v="422"/>
    <d v="2011-01-19T00:00:00"/>
    <n v="1"/>
    <n v="0"/>
    <n v="1"/>
    <n v="14"/>
    <b v="0"/>
    <n v="3"/>
    <n v="1"/>
    <n v="0.4"/>
    <n v="0.40910000000000002"/>
    <n v="0.57999999999999996"/>
    <n v="0.25369999999999998"/>
    <n v="7"/>
    <n v="68"/>
    <n v="75"/>
    <b v="1"/>
    <x v="0"/>
    <s v="Wednesday"/>
    <s v="Weekday"/>
    <s v="Spring"/>
    <s v="Clear"/>
    <s v="Off Peak"/>
    <s v="Medium"/>
    <s v="Medium"/>
  </r>
  <r>
    <n v="423"/>
    <d v="2011-01-19T00:00:00"/>
    <n v="1"/>
    <n v="0"/>
    <n v="1"/>
    <n v="15"/>
    <b v="0"/>
    <n v="3"/>
    <n v="1"/>
    <n v="0.4"/>
    <n v="0.40910000000000002"/>
    <n v="0.54"/>
    <n v="0.28360000000000002"/>
    <n v="4"/>
    <n v="78"/>
    <n v="82"/>
    <b v="1"/>
    <x v="0"/>
    <s v="Wednesday"/>
    <s v="Weekday"/>
    <s v="Spring"/>
    <s v="Clear"/>
    <s v="Off Peak"/>
    <s v="Medium"/>
    <s v="Medium"/>
  </r>
  <r>
    <n v="424"/>
    <d v="2011-01-19T00:00:00"/>
    <n v="1"/>
    <n v="0"/>
    <n v="1"/>
    <n v="16"/>
    <b v="0"/>
    <n v="3"/>
    <n v="1"/>
    <n v="0.38"/>
    <n v="0.39389999999999997"/>
    <n v="0.57999999999999996"/>
    <n v="0.3881"/>
    <n v="10"/>
    <n v="94"/>
    <n v="104"/>
    <b v="1"/>
    <x v="0"/>
    <s v="Wednesday"/>
    <s v="Weekday"/>
    <s v="Spring"/>
    <s v="Clear"/>
    <s v="Off Peak"/>
    <s v="Medium"/>
    <s v="Medium"/>
  </r>
  <r>
    <n v="425"/>
    <d v="2011-01-19T00:00:00"/>
    <n v="1"/>
    <n v="0"/>
    <n v="1"/>
    <n v="17"/>
    <b v="0"/>
    <n v="3"/>
    <n v="1"/>
    <n v="0.36"/>
    <n v="0.33329999999999999"/>
    <n v="0.56999999999999995"/>
    <n v="0.32840000000000003"/>
    <n v="7"/>
    <n v="190"/>
    <n v="197"/>
    <b v="1"/>
    <x v="0"/>
    <s v="Wednesday"/>
    <s v="Weekday"/>
    <s v="Spring"/>
    <s v="Clear"/>
    <s v="Evening Peak"/>
    <s v="Medium"/>
    <s v="Medium"/>
  </r>
  <r>
    <n v="426"/>
    <d v="2011-01-19T00:00:00"/>
    <n v="1"/>
    <n v="0"/>
    <n v="1"/>
    <n v="18"/>
    <b v="0"/>
    <n v="3"/>
    <n v="1"/>
    <n v="0.34"/>
    <n v="0.31819999999999998"/>
    <n v="0.61"/>
    <n v="0.28360000000000002"/>
    <n v="5"/>
    <n v="156"/>
    <n v="161"/>
    <b v="1"/>
    <x v="0"/>
    <s v="Wednesday"/>
    <s v="Weekday"/>
    <s v="Spring"/>
    <s v="Clear"/>
    <s v="Evening Peak"/>
    <s v="Medium"/>
    <s v="Medium"/>
  </r>
  <r>
    <n v="427"/>
    <d v="2011-01-19T00:00:00"/>
    <n v="1"/>
    <n v="0"/>
    <n v="1"/>
    <n v="19"/>
    <b v="0"/>
    <n v="3"/>
    <n v="1"/>
    <n v="0.32"/>
    <n v="0.28789999999999999"/>
    <n v="0.56999999999999995"/>
    <n v="0.41789999999999999"/>
    <n v="4"/>
    <n v="108"/>
    <n v="112"/>
    <b v="1"/>
    <x v="0"/>
    <s v="Wednesday"/>
    <s v="Weekday"/>
    <s v="Spring"/>
    <s v="Clear"/>
    <s v="Evening Peak"/>
    <s v="Medium"/>
    <s v="Medium"/>
  </r>
  <r>
    <n v="428"/>
    <d v="2011-01-19T00:00:00"/>
    <n v="1"/>
    <n v="0"/>
    <n v="1"/>
    <n v="20"/>
    <b v="0"/>
    <n v="3"/>
    <n v="1"/>
    <n v="0.32"/>
    <n v="0.30299999999999999"/>
    <n v="0.49"/>
    <n v="0.29849999999999999"/>
    <n v="2"/>
    <n v="74"/>
    <n v="76"/>
    <b v="1"/>
    <x v="0"/>
    <s v="Wednesday"/>
    <s v="Weekday"/>
    <s v="Spring"/>
    <s v="Clear"/>
    <s v="Evening Peak"/>
    <s v="Medium"/>
    <s v="Medium"/>
  </r>
  <r>
    <n v="429"/>
    <d v="2011-01-19T00:00:00"/>
    <n v="1"/>
    <n v="0"/>
    <n v="1"/>
    <n v="21"/>
    <b v="0"/>
    <n v="3"/>
    <n v="1"/>
    <n v="0.32"/>
    <n v="0.28789999999999999"/>
    <n v="0.49"/>
    <n v="0.41789999999999999"/>
    <n v="4"/>
    <n v="55"/>
    <n v="59"/>
    <b v="1"/>
    <x v="0"/>
    <s v="Wednesday"/>
    <s v="Weekday"/>
    <s v="Spring"/>
    <s v="Clear"/>
    <s v="Off Peak"/>
    <s v="Medium"/>
    <s v="Medium"/>
  </r>
  <r>
    <n v="430"/>
    <d v="2011-01-19T00:00:00"/>
    <n v="1"/>
    <n v="0"/>
    <n v="1"/>
    <n v="22"/>
    <b v="0"/>
    <n v="3"/>
    <n v="1"/>
    <n v="0.3"/>
    <n v="0.30299999999999999"/>
    <n v="0.52"/>
    <n v="0.16420000000000001"/>
    <n v="6"/>
    <n v="53"/>
    <n v="59"/>
    <b v="1"/>
    <x v="0"/>
    <s v="Wednesday"/>
    <s v="Weekday"/>
    <s v="Spring"/>
    <s v="Clear"/>
    <s v="Off Peak"/>
    <s v="Medium"/>
    <s v="Medium"/>
  </r>
  <r>
    <n v="431"/>
    <d v="2011-01-19T00:00:00"/>
    <n v="1"/>
    <n v="0"/>
    <n v="1"/>
    <n v="23"/>
    <b v="0"/>
    <n v="3"/>
    <n v="1"/>
    <n v="0.3"/>
    <n v="0.2727"/>
    <n v="0.52"/>
    <n v="0.4627"/>
    <n v="1"/>
    <n v="27"/>
    <n v="28"/>
    <b v="1"/>
    <x v="0"/>
    <s v="Wednesday"/>
    <s v="Weekday"/>
    <s v="Spring"/>
    <s v="Clear"/>
    <s v="Off Peak"/>
    <s v="Medium"/>
    <s v="Medium"/>
  </r>
  <r>
    <n v="432"/>
    <d v="2011-01-20T00:00:00"/>
    <n v="1"/>
    <n v="0"/>
    <n v="1"/>
    <n v="0"/>
    <b v="0"/>
    <n v="4"/>
    <n v="1"/>
    <n v="0.26"/>
    <n v="0.2273"/>
    <n v="0.56000000000000005"/>
    <n v="0.3881"/>
    <n v="5"/>
    <n v="8"/>
    <n v="13"/>
    <b v="1"/>
    <x v="0"/>
    <s v="Thursday"/>
    <s v="Weekday"/>
    <s v="Spring"/>
    <s v="Clear"/>
    <s v="Off Peak"/>
    <s v="Low"/>
    <s v="Medium"/>
  </r>
  <r>
    <n v="433"/>
    <d v="2011-01-20T00:00:00"/>
    <n v="1"/>
    <n v="0"/>
    <n v="1"/>
    <n v="1"/>
    <b v="0"/>
    <n v="4"/>
    <n v="1"/>
    <n v="0.26"/>
    <n v="0.2727"/>
    <n v="0.56000000000000005"/>
    <n v="0"/>
    <n v="2"/>
    <n v="3"/>
    <n v="5"/>
    <b v="1"/>
    <x v="0"/>
    <s v="Thursday"/>
    <s v="Weekday"/>
    <s v="Spring"/>
    <s v="Clear"/>
    <s v="Off Peak"/>
    <s v="Low"/>
    <s v="Medium"/>
  </r>
  <r>
    <n v="434"/>
    <d v="2011-01-20T00:00:00"/>
    <n v="1"/>
    <n v="0"/>
    <n v="1"/>
    <n v="2"/>
    <b v="0"/>
    <n v="4"/>
    <n v="1"/>
    <n v="0.26"/>
    <n v="0.2727"/>
    <n v="0.56000000000000005"/>
    <n v="0"/>
    <n v="0"/>
    <n v="2"/>
    <n v="2"/>
    <b v="1"/>
    <x v="0"/>
    <s v="Thursday"/>
    <s v="Weekday"/>
    <s v="Spring"/>
    <s v="Clear"/>
    <s v="Off Peak"/>
    <s v="Low"/>
    <s v="Medium"/>
  </r>
  <r>
    <n v="435"/>
    <d v="2011-01-20T00:00:00"/>
    <n v="1"/>
    <n v="0"/>
    <n v="1"/>
    <n v="3"/>
    <b v="0"/>
    <n v="4"/>
    <n v="1"/>
    <n v="0.26"/>
    <n v="0.2576"/>
    <n v="0.56000000000000005"/>
    <n v="0.16420000000000001"/>
    <n v="0"/>
    <n v="1"/>
    <n v="1"/>
    <b v="1"/>
    <x v="0"/>
    <s v="Thursday"/>
    <s v="Weekday"/>
    <s v="Spring"/>
    <s v="Clear"/>
    <s v="Off Peak"/>
    <s v="Low"/>
    <s v="Medium"/>
  </r>
  <r>
    <n v="436"/>
    <d v="2011-01-20T00:00:00"/>
    <n v="1"/>
    <n v="0"/>
    <n v="1"/>
    <n v="4"/>
    <b v="0"/>
    <n v="4"/>
    <n v="1"/>
    <n v="0.26"/>
    <n v="0.2576"/>
    <n v="0.56000000000000005"/>
    <n v="0.16420000000000001"/>
    <n v="0"/>
    <n v="1"/>
    <n v="1"/>
    <b v="1"/>
    <x v="0"/>
    <s v="Thursday"/>
    <s v="Weekday"/>
    <s v="Spring"/>
    <s v="Clear"/>
    <s v="Off Peak"/>
    <s v="Low"/>
    <s v="Medium"/>
  </r>
  <r>
    <n v="437"/>
    <d v="2011-01-20T00:00:00"/>
    <n v="1"/>
    <n v="0"/>
    <n v="1"/>
    <n v="5"/>
    <b v="0"/>
    <n v="4"/>
    <n v="1"/>
    <n v="0.24"/>
    <n v="0.2273"/>
    <n v="0.6"/>
    <n v="0.22389999999999999"/>
    <n v="0"/>
    <n v="6"/>
    <n v="6"/>
    <b v="1"/>
    <x v="0"/>
    <s v="Thursday"/>
    <s v="Weekday"/>
    <s v="Spring"/>
    <s v="Clear"/>
    <s v="Off Peak"/>
    <s v="Low"/>
    <s v="Medium"/>
  </r>
  <r>
    <n v="438"/>
    <d v="2011-01-20T00:00:00"/>
    <n v="1"/>
    <n v="0"/>
    <n v="1"/>
    <n v="6"/>
    <b v="0"/>
    <n v="4"/>
    <n v="1"/>
    <n v="0.22"/>
    <n v="0.21210000000000001"/>
    <n v="0.6"/>
    <n v="0.22389999999999999"/>
    <n v="0"/>
    <n v="35"/>
    <n v="35"/>
    <b v="1"/>
    <x v="0"/>
    <s v="Thursday"/>
    <s v="Weekday"/>
    <s v="Spring"/>
    <s v="Clear"/>
    <s v="Off Peak"/>
    <s v="Low"/>
    <s v="Medium"/>
  </r>
  <r>
    <n v="439"/>
    <d v="2011-01-20T00:00:00"/>
    <n v="1"/>
    <n v="0"/>
    <n v="1"/>
    <n v="7"/>
    <b v="0"/>
    <n v="4"/>
    <n v="1"/>
    <n v="0.22"/>
    <n v="0.21210000000000001"/>
    <n v="0.55000000000000004"/>
    <n v="0.22389999999999999"/>
    <n v="1"/>
    <n v="100"/>
    <n v="101"/>
    <b v="1"/>
    <x v="0"/>
    <s v="Thursday"/>
    <s v="Weekday"/>
    <s v="Spring"/>
    <s v="Clear"/>
    <s v="Morning Peak"/>
    <s v="Low"/>
    <s v="Medium"/>
  </r>
  <r>
    <n v="440"/>
    <d v="2011-01-20T00:00:00"/>
    <n v="1"/>
    <n v="0"/>
    <n v="1"/>
    <n v="8"/>
    <b v="0"/>
    <n v="4"/>
    <n v="1"/>
    <n v="0.22"/>
    <n v="0.21210000000000001"/>
    <n v="0.55000000000000004"/>
    <n v="0.28360000000000002"/>
    <n v="2"/>
    <n v="247"/>
    <n v="249"/>
    <b v="1"/>
    <x v="0"/>
    <s v="Thursday"/>
    <s v="Weekday"/>
    <s v="Spring"/>
    <s v="Clear"/>
    <s v="Morning Peak"/>
    <s v="Low"/>
    <s v="Medium"/>
  </r>
  <r>
    <n v="441"/>
    <d v="2011-01-20T00:00:00"/>
    <n v="1"/>
    <n v="0"/>
    <n v="1"/>
    <n v="9"/>
    <b v="0"/>
    <n v="4"/>
    <n v="2"/>
    <n v="0.24"/>
    <n v="0.2273"/>
    <n v="0.52"/>
    <n v="0.22389999999999999"/>
    <n v="3"/>
    <n v="140"/>
    <n v="143"/>
    <b v="1"/>
    <x v="0"/>
    <s v="Thursday"/>
    <s v="Weekday"/>
    <s v="Spring"/>
    <s v="Mist"/>
    <s v="Morning Peak"/>
    <s v="Low"/>
    <s v="Medium"/>
  </r>
  <r>
    <n v="442"/>
    <d v="2011-01-20T00:00:00"/>
    <n v="1"/>
    <n v="0"/>
    <n v="1"/>
    <n v="10"/>
    <b v="0"/>
    <n v="4"/>
    <n v="1"/>
    <n v="0.26"/>
    <n v="0.2273"/>
    <n v="0.48"/>
    <n v="0.29849999999999999"/>
    <n v="1"/>
    <n v="56"/>
    <n v="57"/>
    <b v="1"/>
    <x v="0"/>
    <s v="Thursday"/>
    <s v="Weekday"/>
    <s v="Spring"/>
    <s v="Clear"/>
    <s v="Off Peak"/>
    <s v="Low"/>
    <s v="Medium"/>
  </r>
  <r>
    <n v="443"/>
    <d v="2011-01-20T00:00:00"/>
    <n v="1"/>
    <n v="0"/>
    <n v="1"/>
    <n v="11"/>
    <b v="0"/>
    <n v="4"/>
    <n v="2"/>
    <n v="0.28000000000000003"/>
    <n v="0.2727"/>
    <n v="0.45"/>
    <n v="0.16420000000000001"/>
    <n v="5"/>
    <n v="63"/>
    <n v="68"/>
    <b v="1"/>
    <x v="0"/>
    <s v="Thursday"/>
    <s v="Weekday"/>
    <s v="Spring"/>
    <s v="Mist"/>
    <s v="Off Peak"/>
    <s v="Low"/>
    <s v="Medium"/>
  </r>
  <r>
    <n v="444"/>
    <d v="2011-01-20T00:00:00"/>
    <n v="1"/>
    <n v="0"/>
    <n v="1"/>
    <n v="12"/>
    <b v="0"/>
    <n v="4"/>
    <n v="2"/>
    <n v="0.3"/>
    <n v="0.33329999999999999"/>
    <n v="0.42"/>
    <n v="0"/>
    <n v="7"/>
    <n v="77"/>
    <n v="84"/>
    <b v="1"/>
    <x v="0"/>
    <s v="Thursday"/>
    <s v="Weekday"/>
    <s v="Spring"/>
    <s v="Mist"/>
    <s v="Off Peak"/>
    <s v="Medium"/>
    <s v="Medium"/>
  </r>
  <r>
    <n v="445"/>
    <d v="2011-01-20T00:00:00"/>
    <n v="1"/>
    <n v="0"/>
    <n v="1"/>
    <n v="13"/>
    <b v="0"/>
    <n v="4"/>
    <n v="2"/>
    <n v="0.28000000000000003"/>
    <n v="0.28789999999999999"/>
    <n v="0.45"/>
    <n v="0.1045"/>
    <n v="12"/>
    <n v="86"/>
    <n v="98"/>
    <b v="1"/>
    <x v="0"/>
    <s v="Thursday"/>
    <s v="Weekday"/>
    <s v="Spring"/>
    <s v="Mist"/>
    <s v="Off Peak"/>
    <s v="Low"/>
    <s v="Medium"/>
  </r>
  <r>
    <n v="446"/>
    <d v="2011-01-20T00:00:00"/>
    <n v="1"/>
    <n v="0"/>
    <n v="1"/>
    <n v="14"/>
    <b v="0"/>
    <n v="4"/>
    <n v="2"/>
    <n v="0.3"/>
    <n v="0.30299999999999999"/>
    <n v="0.45"/>
    <n v="0.1343"/>
    <n v="6"/>
    <n v="75"/>
    <n v="81"/>
    <b v="1"/>
    <x v="0"/>
    <s v="Thursday"/>
    <s v="Weekday"/>
    <s v="Spring"/>
    <s v="Mist"/>
    <s v="Off Peak"/>
    <s v="Medium"/>
    <s v="Medium"/>
  </r>
  <r>
    <n v="447"/>
    <d v="2011-01-20T00:00:00"/>
    <n v="1"/>
    <n v="0"/>
    <n v="1"/>
    <n v="15"/>
    <b v="0"/>
    <n v="4"/>
    <n v="2"/>
    <n v="0.32"/>
    <n v="0.31819999999999998"/>
    <n v="0.45"/>
    <n v="0.19400000000000001"/>
    <n v="8"/>
    <n v="62"/>
    <n v="70"/>
    <b v="1"/>
    <x v="0"/>
    <s v="Thursday"/>
    <s v="Weekday"/>
    <s v="Spring"/>
    <s v="Mist"/>
    <s v="Off Peak"/>
    <s v="Medium"/>
    <s v="Medium"/>
  </r>
  <r>
    <n v="448"/>
    <d v="2011-01-20T00:00:00"/>
    <n v="1"/>
    <n v="0"/>
    <n v="1"/>
    <n v="16"/>
    <b v="0"/>
    <n v="4"/>
    <n v="2"/>
    <n v="0.3"/>
    <n v="0.30299999999999999"/>
    <n v="0.49"/>
    <n v="0.1343"/>
    <n v="8"/>
    <n v="83"/>
    <n v="91"/>
    <b v="1"/>
    <x v="0"/>
    <s v="Thursday"/>
    <s v="Weekday"/>
    <s v="Spring"/>
    <s v="Mist"/>
    <s v="Off Peak"/>
    <s v="Medium"/>
    <s v="Medium"/>
  </r>
  <r>
    <n v="449"/>
    <d v="2011-01-20T00:00:00"/>
    <n v="1"/>
    <n v="0"/>
    <n v="1"/>
    <n v="17"/>
    <b v="0"/>
    <n v="4"/>
    <n v="2"/>
    <n v="0.3"/>
    <n v="0.31819999999999998"/>
    <n v="0.49"/>
    <n v="0.1045"/>
    <n v="8"/>
    <n v="207"/>
    <n v="215"/>
    <b v="1"/>
    <x v="0"/>
    <s v="Thursday"/>
    <s v="Weekday"/>
    <s v="Spring"/>
    <s v="Mist"/>
    <s v="Evening Peak"/>
    <s v="Medium"/>
    <s v="Medium"/>
  </r>
  <r>
    <n v="450"/>
    <d v="2011-01-20T00:00:00"/>
    <n v="1"/>
    <n v="0"/>
    <n v="1"/>
    <n v="18"/>
    <b v="0"/>
    <n v="4"/>
    <n v="2"/>
    <n v="0.26"/>
    <n v="0.2576"/>
    <n v="0.56000000000000005"/>
    <n v="0.19400000000000001"/>
    <n v="1"/>
    <n v="184"/>
    <n v="185"/>
    <b v="1"/>
    <x v="0"/>
    <s v="Thursday"/>
    <s v="Weekday"/>
    <s v="Spring"/>
    <s v="Mist"/>
    <s v="Evening Peak"/>
    <s v="Low"/>
    <s v="Medium"/>
  </r>
  <r>
    <n v="451"/>
    <d v="2011-01-20T00:00:00"/>
    <n v="1"/>
    <n v="0"/>
    <n v="1"/>
    <n v="19"/>
    <b v="0"/>
    <n v="4"/>
    <n v="1"/>
    <n v="0.26"/>
    <n v="0.2273"/>
    <n v="0.56000000000000005"/>
    <n v="0.32840000000000003"/>
    <n v="6"/>
    <n v="146"/>
    <n v="152"/>
    <b v="1"/>
    <x v="0"/>
    <s v="Thursday"/>
    <s v="Weekday"/>
    <s v="Spring"/>
    <s v="Clear"/>
    <s v="Evening Peak"/>
    <s v="Low"/>
    <s v="Medium"/>
  </r>
  <r>
    <n v="452"/>
    <d v="2011-01-20T00:00:00"/>
    <n v="1"/>
    <n v="0"/>
    <n v="1"/>
    <n v="20"/>
    <b v="0"/>
    <n v="4"/>
    <n v="2"/>
    <n v="0.26"/>
    <n v="0.2424"/>
    <n v="0.6"/>
    <n v="0.28360000000000002"/>
    <n v="2"/>
    <n v="124"/>
    <n v="126"/>
    <b v="1"/>
    <x v="0"/>
    <s v="Thursday"/>
    <s v="Weekday"/>
    <s v="Spring"/>
    <s v="Mist"/>
    <s v="Evening Peak"/>
    <s v="Low"/>
    <s v="Medium"/>
  </r>
  <r>
    <n v="453"/>
    <d v="2011-01-20T00:00:00"/>
    <n v="1"/>
    <n v="0"/>
    <n v="1"/>
    <n v="21"/>
    <b v="0"/>
    <n v="4"/>
    <n v="2"/>
    <n v="0.24"/>
    <n v="0.2273"/>
    <n v="0.6"/>
    <n v="0.25369999999999998"/>
    <n v="3"/>
    <n v="54"/>
    <n v="57"/>
    <b v="1"/>
    <x v="0"/>
    <s v="Thursday"/>
    <s v="Weekday"/>
    <s v="Spring"/>
    <s v="Mist"/>
    <s v="Off Peak"/>
    <s v="Low"/>
    <s v="Medium"/>
  </r>
  <r>
    <n v="454"/>
    <d v="2011-01-20T00:00:00"/>
    <n v="1"/>
    <n v="0"/>
    <n v="1"/>
    <n v="22"/>
    <b v="0"/>
    <n v="4"/>
    <n v="2"/>
    <n v="0.24"/>
    <n v="0.21210000000000001"/>
    <n v="0.65"/>
    <n v="0.28360000000000002"/>
    <n v="0"/>
    <n v="56"/>
    <n v="56"/>
    <b v="1"/>
    <x v="0"/>
    <s v="Thursday"/>
    <s v="Weekday"/>
    <s v="Spring"/>
    <s v="Mist"/>
    <s v="Off Peak"/>
    <s v="Low"/>
    <s v="Medium"/>
  </r>
  <r>
    <n v="455"/>
    <d v="2011-01-20T00:00:00"/>
    <n v="1"/>
    <n v="0"/>
    <n v="1"/>
    <n v="23"/>
    <b v="0"/>
    <n v="4"/>
    <n v="2"/>
    <n v="0.24"/>
    <n v="0.21210000000000001"/>
    <n v="0.65"/>
    <n v="0.32840000000000003"/>
    <n v="3"/>
    <n v="28"/>
    <n v="31"/>
    <b v="1"/>
    <x v="0"/>
    <s v="Thursday"/>
    <s v="Weekday"/>
    <s v="Spring"/>
    <s v="Mist"/>
    <s v="Off Peak"/>
    <s v="Low"/>
    <s v="Medium"/>
  </r>
  <r>
    <n v="456"/>
    <d v="2011-01-21T00:00:00"/>
    <n v="1"/>
    <n v="0"/>
    <n v="1"/>
    <n v="0"/>
    <b v="0"/>
    <n v="5"/>
    <n v="2"/>
    <n v="0.24"/>
    <n v="0.2273"/>
    <n v="0.7"/>
    <n v="0.25369999999999998"/>
    <n v="1"/>
    <n v="20"/>
    <n v="21"/>
    <b v="1"/>
    <x v="0"/>
    <s v="Friday"/>
    <s v="Weekday"/>
    <s v="Spring"/>
    <s v="Mist"/>
    <s v="Off Peak"/>
    <s v="Low"/>
    <s v="High"/>
  </r>
  <r>
    <n v="457"/>
    <d v="2011-01-21T00:00:00"/>
    <n v="1"/>
    <n v="0"/>
    <n v="1"/>
    <n v="1"/>
    <b v="0"/>
    <n v="5"/>
    <n v="2"/>
    <n v="0.24"/>
    <n v="0.2273"/>
    <n v="0.7"/>
    <n v="0.25369999999999998"/>
    <n v="0"/>
    <n v="6"/>
    <n v="6"/>
    <b v="1"/>
    <x v="0"/>
    <s v="Friday"/>
    <s v="Weekday"/>
    <s v="Spring"/>
    <s v="Mist"/>
    <s v="Off Peak"/>
    <s v="Low"/>
    <s v="High"/>
  </r>
  <r>
    <n v="458"/>
    <d v="2011-01-21T00:00:00"/>
    <n v="1"/>
    <n v="0"/>
    <n v="1"/>
    <n v="2"/>
    <b v="0"/>
    <n v="5"/>
    <n v="3"/>
    <n v="0.24"/>
    <n v="0.2424"/>
    <n v="0.75"/>
    <n v="0.16420000000000001"/>
    <n v="0"/>
    <n v="2"/>
    <n v="2"/>
    <b v="1"/>
    <x v="0"/>
    <s v="Friday"/>
    <s v="Weekday"/>
    <s v="Spring"/>
    <s v="Light Rain"/>
    <s v="Off Peak"/>
    <s v="Low"/>
    <s v="High"/>
  </r>
  <r>
    <n v="459"/>
    <d v="2011-01-21T00:00:00"/>
    <n v="1"/>
    <n v="0"/>
    <n v="1"/>
    <n v="3"/>
    <b v="0"/>
    <n v="5"/>
    <n v="3"/>
    <n v="0.22"/>
    <n v="0.21210000000000001"/>
    <n v="0.8"/>
    <n v="0.29849999999999999"/>
    <n v="0"/>
    <n v="1"/>
    <n v="1"/>
    <b v="1"/>
    <x v="0"/>
    <s v="Friday"/>
    <s v="Weekday"/>
    <s v="Spring"/>
    <s v="Light Rain"/>
    <s v="Off Peak"/>
    <s v="Low"/>
    <s v="High"/>
  </r>
  <r>
    <n v="460"/>
    <d v="2011-01-21T00:00:00"/>
    <n v="1"/>
    <n v="0"/>
    <n v="1"/>
    <n v="4"/>
    <b v="0"/>
    <n v="5"/>
    <n v="2"/>
    <n v="0.22"/>
    <n v="0.2576"/>
    <n v="0.87"/>
    <n v="8.9599999999999999E-2"/>
    <n v="0"/>
    <n v="1"/>
    <n v="1"/>
    <b v="1"/>
    <x v="0"/>
    <s v="Friday"/>
    <s v="Weekday"/>
    <s v="Spring"/>
    <s v="Mist"/>
    <s v="Off Peak"/>
    <s v="Low"/>
    <s v="High"/>
  </r>
  <r>
    <n v="461"/>
    <d v="2011-01-21T00:00:00"/>
    <n v="1"/>
    <n v="0"/>
    <n v="1"/>
    <n v="5"/>
    <b v="0"/>
    <n v="5"/>
    <n v="1"/>
    <n v="0.24"/>
    <n v="0.19700000000000001"/>
    <n v="0.6"/>
    <n v="0.41789999999999999"/>
    <n v="1"/>
    <n v="4"/>
    <n v="5"/>
    <b v="1"/>
    <x v="0"/>
    <s v="Friday"/>
    <s v="Weekday"/>
    <s v="Spring"/>
    <s v="Clear"/>
    <s v="Off Peak"/>
    <s v="Low"/>
    <s v="Medium"/>
  </r>
  <r>
    <n v="462"/>
    <d v="2011-01-21T00:00:00"/>
    <n v="1"/>
    <n v="0"/>
    <n v="1"/>
    <n v="6"/>
    <b v="0"/>
    <n v="5"/>
    <n v="1"/>
    <n v="0.22"/>
    <n v="0.21210000000000001"/>
    <n v="0.55000000000000004"/>
    <n v="0.25369999999999998"/>
    <n v="0"/>
    <n v="27"/>
    <n v="27"/>
    <b v="1"/>
    <x v="0"/>
    <s v="Friday"/>
    <s v="Weekday"/>
    <s v="Spring"/>
    <s v="Clear"/>
    <s v="Off Peak"/>
    <s v="Low"/>
    <s v="Medium"/>
  </r>
  <r>
    <n v="463"/>
    <d v="2011-01-21T00:00:00"/>
    <n v="1"/>
    <n v="0"/>
    <n v="1"/>
    <n v="7"/>
    <b v="0"/>
    <n v="5"/>
    <n v="1"/>
    <n v="0.2"/>
    <n v="0.18179999999999999"/>
    <n v="0.51"/>
    <n v="0.28360000000000002"/>
    <n v="2"/>
    <n v="66"/>
    <n v="68"/>
    <b v="1"/>
    <x v="0"/>
    <s v="Friday"/>
    <s v="Weekday"/>
    <s v="Spring"/>
    <s v="Clear"/>
    <s v="Morning Peak"/>
    <s v="Low"/>
    <s v="Medium"/>
  </r>
  <r>
    <n v="464"/>
    <d v="2011-01-21T00:00:00"/>
    <n v="1"/>
    <n v="0"/>
    <n v="1"/>
    <n v="8"/>
    <b v="0"/>
    <n v="5"/>
    <n v="1"/>
    <n v="0.2"/>
    <n v="0.18179999999999999"/>
    <n v="0.47"/>
    <n v="0.32840000000000003"/>
    <n v="7"/>
    <n v="210"/>
    <n v="217"/>
    <b v="1"/>
    <x v="0"/>
    <s v="Friday"/>
    <s v="Weekday"/>
    <s v="Spring"/>
    <s v="Clear"/>
    <s v="Morning Peak"/>
    <s v="Low"/>
    <s v="Medium"/>
  </r>
  <r>
    <n v="465"/>
    <d v="2011-01-21T00:00:00"/>
    <n v="1"/>
    <n v="0"/>
    <n v="1"/>
    <n v="9"/>
    <b v="0"/>
    <n v="5"/>
    <n v="1"/>
    <n v="0.2"/>
    <n v="0.18179999999999999"/>
    <n v="0.51"/>
    <n v="0.35820000000000002"/>
    <n v="7"/>
    <n v="159"/>
    <n v="166"/>
    <b v="1"/>
    <x v="0"/>
    <s v="Friday"/>
    <s v="Weekday"/>
    <s v="Spring"/>
    <s v="Clear"/>
    <s v="Morning Peak"/>
    <s v="Low"/>
    <s v="Medium"/>
  </r>
  <r>
    <n v="466"/>
    <d v="2011-01-21T00:00:00"/>
    <n v="1"/>
    <n v="0"/>
    <n v="1"/>
    <n v="10"/>
    <b v="0"/>
    <n v="5"/>
    <n v="1"/>
    <n v="0.2"/>
    <n v="0.16669999999999999"/>
    <n v="0.47"/>
    <n v="0.4627"/>
    <n v="6"/>
    <n v="57"/>
    <n v="63"/>
    <b v="1"/>
    <x v="0"/>
    <s v="Friday"/>
    <s v="Weekday"/>
    <s v="Spring"/>
    <s v="Clear"/>
    <s v="Off Peak"/>
    <s v="Low"/>
    <s v="Medium"/>
  </r>
  <r>
    <n v="467"/>
    <d v="2011-01-21T00:00:00"/>
    <n v="1"/>
    <n v="0"/>
    <n v="1"/>
    <n v="11"/>
    <b v="0"/>
    <n v="5"/>
    <n v="1"/>
    <n v="0.22"/>
    <n v="0.18179999999999999"/>
    <n v="0.41"/>
    <n v="0.4627"/>
    <n v="6"/>
    <n v="53"/>
    <n v="59"/>
    <b v="1"/>
    <x v="0"/>
    <s v="Friday"/>
    <s v="Weekday"/>
    <s v="Spring"/>
    <s v="Clear"/>
    <s v="Off Peak"/>
    <s v="Low"/>
    <s v="Medium"/>
  </r>
  <r>
    <n v="468"/>
    <d v="2011-01-21T00:00:00"/>
    <n v="1"/>
    <n v="0"/>
    <n v="1"/>
    <n v="12"/>
    <b v="0"/>
    <n v="5"/>
    <n v="1"/>
    <n v="0.22"/>
    <n v="0.18179999999999999"/>
    <n v="0.27"/>
    <n v="0.58209999999999995"/>
    <n v="11"/>
    <n v="67"/>
    <n v="78"/>
    <b v="1"/>
    <x v="0"/>
    <s v="Friday"/>
    <s v="Weekday"/>
    <s v="Spring"/>
    <s v="Clear"/>
    <s v="Off Peak"/>
    <s v="Low"/>
    <s v="Low"/>
  </r>
  <r>
    <n v="469"/>
    <d v="2011-01-21T00:00:00"/>
    <n v="1"/>
    <n v="0"/>
    <n v="1"/>
    <n v="13"/>
    <b v="0"/>
    <n v="5"/>
    <n v="1"/>
    <n v="0.2"/>
    <n v="0.1515"/>
    <n v="0.21"/>
    <n v="0.58209999999999995"/>
    <n v="8"/>
    <n v="65"/>
    <n v="73"/>
    <b v="1"/>
    <x v="0"/>
    <s v="Friday"/>
    <s v="Weekday"/>
    <s v="Spring"/>
    <s v="Clear"/>
    <s v="Off Peak"/>
    <s v="Low"/>
    <s v="Low"/>
  </r>
  <r>
    <n v="470"/>
    <d v="2011-01-21T00:00:00"/>
    <n v="1"/>
    <n v="0"/>
    <n v="1"/>
    <n v="14"/>
    <b v="0"/>
    <n v="5"/>
    <n v="1"/>
    <n v="0.2"/>
    <n v="0.1515"/>
    <n v="0.25"/>
    <n v="0.52239999999999998"/>
    <n v="6"/>
    <n v="56"/>
    <n v="62"/>
    <b v="1"/>
    <x v="0"/>
    <s v="Friday"/>
    <s v="Weekday"/>
    <s v="Spring"/>
    <s v="Clear"/>
    <s v="Off Peak"/>
    <s v="Low"/>
    <s v="Low"/>
  </r>
  <r>
    <n v="471"/>
    <d v="2011-01-21T00:00:00"/>
    <n v="1"/>
    <n v="0"/>
    <n v="1"/>
    <n v="15"/>
    <b v="0"/>
    <n v="5"/>
    <n v="1"/>
    <n v="0.16"/>
    <n v="0.1212"/>
    <n v="0.26"/>
    <n v="0.44779999999999998"/>
    <n v="4"/>
    <n v="61"/>
    <n v="65"/>
    <b v="1"/>
    <x v="0"/>
    <s v="Friday"/>
    <s v="Weekday"/>
    <s v="Spring"/>
    <s v="Clear"/>
    <s v="Off Peak"/>
    <s v="Low"/>
    <s v="Low"/>
  </r>
  <r>
    <n v="472"/>
    <d v="2011-01-21T00:00:00"/>
    <n v="1"/>
    <n v="0"/>
    <n v="1"/>
    <n v="16"/>
    <b v="0"/>
    <n v="5"/>
    <n v="1"/>
    <n v="0.16"/>
    <n v="0.13639999999999999"/>
    <n v="0.26"/>
    <n v="0.35820000000000002"/>
    <n v="0"/>
    <n v="97"/>
    <n v="97"/>
    <b v="1"/>
    <x v="0"/>
    <s v="Friday"/>
    <s v="Weekday"/>
    <s v="Spring"/>
    <s v="Clear"/>
    <s v="Off Peak"/>
    <s v="Low"/>
    <s v="Low"/>
  </r>
  <r>
    <n v="473"/>
    <d v="2011-01-21T00:00:00"/>
    <n v="1"/>
    <n v="0"/>
    <n v="1"/>
    <n v="17"/>
    <b v="0"/>
    <n v="5"/>
    <n v="1"/>
    <n v="0.14000000000000001"/>
    <n v="0.1212"/>
    <n v="0.28000000000000003"/>
    <n v="0.35820000000000002"/>
    <n v="10"/>
    <n v="151"/>
    <n v="161"/>
    <b v="1"/>
    <x v="0"/>
    <s v="Friday"/>
    <s v="Weekday"/>
    <s v="Spring"/>
    <s v="Clear"/>
    <s v="Evening Peak"/>
    <s v="Low"/>
    <s v="Low"/>
  </r>
  <r>
    <n v="474"/>
    <d v="2011-01-21T00:00:00"/>
    <n v="1"/>
    <n v="0"/>
    <n v="1"/>
    <n v="18"/>
    <b v="0"/>
    <n v="5"/>
    <n v="1"/>
    <n v="0.12"/>
    <n v="0.1212"/>
    <n v="0.3"/>
    <n v="0.25369999999999998"/>
    <n v="1"/>
    <n v="119"/>
    <n v="120"/>
    <b v="1"/>
    <x v="0"/>
    <s v="Friday"/>
    <s v="Weekday"/>
    <s v="Spring"/>
    <s v="Clear"/>
    <s v="Evening Peak"/>
    <s v="Low"/>
    <s v="Low"/>
  </r>
  <r>
    <n v="475"/>
    <d v="2011-01-21T00:00:00"/>
    <n v="1"/>
    <n v="0"/>
    <n v="1"/>
    <n v="19"/>
    <b v="0"/>
    <n v="5"/>
    <n v="1"/>
    <n v="0.12"/>
    <n v="0.1061"/>
    <n v="0.3"/>
    <n v="0.32840000000000003"/>
    <n v="3"/>
    <n v="93"/>
    <n v="96"/>
    <b v="1"/>
    <x v="0"/>
    <s v="Friday"/>
    <s v="Weekday"/>
    <s v="Spring"/>
    <s v="Clear"/>
    <s v="Evening Peak"/>
    <s v="Low"/>
    <s v="Low"/>
  </r>
  <r>
    <n v="476"/>
    <d v="2011-01-21T00:00:00"/>
    <n v="1"/>
    <n v="0"/>
    <n v="1"/>
    <n v="20"/>
    <b v="0"/>
    <n v="5"/>
    <n v="1"/>
    <n v="0.1"/>
    <n v="7.5800000000000006E-2"/>
    <n v="0.33"/>
    <n v="0.41789999999999999"/>
    <n v="1"/>
    <n v="52"/>
    <n v="53"/>
    <b v="1"/>
    <x v="0"/>
    <s v="Friday"/>
    <s v="Weekday"/>
    <s v="Spring"/>
    <s v="Clear"/>
    <s v="Evening Peak"/>
    <s v="Low"/>
    <s v="Low"/>
  </r>
  <r>
    <n v="477"/>
    <d v="2011-01-21T00:00:00"/>
    <n v="1"/>
    <n v="0"/>
    <n v="1"/>
    <n v="21"/>
    <b v="0"/>
    <n v="5"/>
    <n v="1"/>
    <n v="0.08"/>
    <n v="7.5800000000000006E-2"/>
    <n v="0.38"/>
    <n v="0.28360000000000002"/>
    <n v="0"/>
    <n v="41"/>
    <n v="41"/>
    <b v="1"/>
    <x v="0"/>
    <s v="Friday"/>
    <s v="Weekday"/>
    <s v="Spring"/>
    <s v="Clear"/>
    <s v="Off Peak"/>
    <s v="Low"/>
    <s v="Low"/>
  </r>
  <r>
    <n v="478"/>
    <d v="2011-01-21T00:00:00"/>
    <n v="1"/>
    <n v="0"/>
    <n v="1"/>
    <n v="22"/>
    <b v="0"/>
    <n v="5"/>
    <n v="1"/>
    <n v="0.06"/>
    <n v="3.0300000000000001E-2"/>
    <n v="0.41"/>
    <n v="0.3881"/>
    <n v="1"/>
    <n v="33"/>
    <n v="34"/>
    <b v="1"/>
    <x v="0"/>
    <s v="Friday"/>
    <s v="Weekday"/>
    <s v="Spring"/>
    <s v="Clear"/>
    <s v="Off Peak"/>
    <s v="Low"/>
    <s v="Medium"/>
  </r>
  <r>
    <n v="479"/>
    <d v="2011-01-21T00:00:00"/>
    <n v="1"/>
    <n v="0"/>
    <n v="1"/>
    <n v="23"/>
    <b v="0"/>
    <n v="5"/>
    <n v="1"/>
    <n v="0.06"/>
    <n v="4.5499999999999999E-2"/>
    <n v="0.38"/>
    <n v="0.32840000000000003"/>
    <n v="0"/>
    <n v="27"/>
    <n v="27"/>
    <b v="1"/>
    <x v="0"/>
    <s v="Friday"/>
    <s v="Weekday"/>
    <s v="Spring"/>
    <s v="Clear"/>
    <s v="Off Peak"/>
    <s v="Low"/>
    <s v="Low"/>
  </r>
  <r>
    <n v="480"/>
    <d v="2011-01-22T00:00:00"/>
    <n v="1"/>
    <n v="0"/>
    <n v="1"/>
    <n v="0"/>
    <b v="0"/>
    <n v="6"/>
    <n v="1"/>
    <n v="0.04"/>
    <n v="3.0300000000000001E-2"/>
    <n v="0.45"/>
    <n v="0.25369999999999998"/>
    <n v="0"/>
    <n v="13"/>
    <n v="13"/>
    <b v="1"/>
    <x v="0"/>
    <s v="Saturday"/>
    <s v="Weekend"/>
    <s v="Spring"/>
    <s v="Clear"/>
    <s v="Off Peak"/>
    <s v="Low"/>
    <s v="Medium"/>
  </r>
  <r>
    <n v="481"/>
    <d v="2011-01-22T00:00:00"/>
    <n v="1"/>
    <n v="0"/>
    <n v="1"/>
    <n v="1"/>
    <b v="0"/>
    <n v="6"/>
    <n v="2"/>
    <n v="0.04"/>
    <n v="0"/>
    <n v="0.41"/>
    <n v="0.3881"/>
    <n v="3"/>
    <n v="9"/>
    <n v="12"/>
    <b v="1"/>
    <x v="0"/>
    <s v="Saturday"/>
    <s v="Weekend"/>
    <s v="Spring"/>
    <s v="Mist"/>
    <s v="Off Peak"/>
    <s v="Low"/>
    <s v="Medium"/>
  </r>
  <r>
    <n v="482"/>
    <d v="2011-01-22T00:00:00"/>
    <n v="1"/>
    <n v="0"/>
    <n v="1"/>
    <n v="2"/>
    <b v="0"/>
    <n v="6"/>
    <n v="2"/>
    <n v="0.04"/>
    <n v="3.0300000000000001E-2"/>
    <n v="0.41"/>
    <n v="0.25369999999999998"/>
    <n v="0"/>
    <n v="11"/>
    <n v="11"/>
    <b v="1"/>
    <x v="0"/>
    <s v="Saturday"/>
    <s v="Weekend"/>
    <s v="Spring"/>
    <s v="Mist"/>
    <s v="Off Peak"/>
    <s v="Low"/>
    <s v="Medium"/>
  </r>
  <r>
    <n v="483"/>
    <d v="2011-01-22T00:00:00"/>
    <n v="1"/>
    <n v="0"/>
    <n v="1"/>
    <n v="3"/>
    <b v="0"/>
    <n v="6"/>
    <n v="2"/>
    <n v="0.04"/>
    <n v="3.0300000000000001E-2"/>
    <n v="0.41"/>
    <n v="0.28360000000000002"/>
    <n v="1"/>
    <n v="6"/>
    <n v="7"/>
    <b v="1"/>
    <x v="0"/>
    <s v="Saturday"/>
    <s v="Weekend"/>
    <s v="Spring"/>
    <s v="Mist"/>
    <s v="Off Peak"/>
    <s v="Low"/>
    <s v="Medium"/>
  </r>
  <r>
    <n v="484"/>
    <d v="2011-01-22T00:00:00"/>
    <n v="1"/>
    <n v="0"/>
    <n v="1"/>
    <n v="4"/>
    <b v="0"/>
    <n v="6"/>
    <n v="2"/>
    <n v="0.02"/>
    <n v="1.52E-2"/>
    <n v="0.48"/>
    <n v="0.29849999999999999"/>
    <n v="0"/>
    <n v="3"/>
    <n v="3"/>
    <b v="1"/>
    <x v="0"/>
    <s v="Saturday"/>
    <s v="Weekend"/>
    <s v="Spring"/>
    <s v="Mist"/>
    <s v="Off Peak"/>
    <s v="Low"/>
    <s v="Medium"/>
  </r>
  <r>
    <n v="485"/>
    <d v="2011-01-22T00:00:00"/>
    <n v="1"/>
    <n v="0"/>
    <n v="1"/>
    <n v="6"/>
    <b v="0"/>
    <n v="6"/>
    <n v="2"/>
    <n v="0.02"/>
    <n v="3.0300000000000001E-2"/>
    <n v="0.44"/>
    <n v="0.22389999999999999"/>
    <n v="0"/>
    <n v="2"/>
    <n v="2"/>
    <b v="1"/>
    <x v="0"/>
    <s v="Saturday"/>
    <s v="Weekend"/>
    <s v="Spring"/>
    <s v="Mist"/>
    <s v="Off Peak"/>
    <s v="Low"/>
    <s v="Medium"/>
  </r>
  <r>
    <n v="486"/>
    <d v="2011-01-22T00:00:00"/>
    <n v="1"/>
    <n v="0"/>
    <n v="1"/>
    <n v="7"/>
    <b v="0"/>
    <n v="6"/>
    <n v="1"/>
    <n v="0.02"/>
    <n v="1.52E-2"/>
    <n v="0.44"/>
    <n v="0.28360000000000002"/>
    <n v="0"/>
    <n v="8"/>
    <n v="8"/>
    <b v="1"/>
    <x v="0"/>
    <s v="Saturday"/>
    <s v="Weekend"/>
    <s v="Spring"/>
    <s v="Clear"/>
    <s v="Morning Peak"/>
    <s v="Low"/>
    <s v="Medium"/>
  </r>
  <r>
    <n v="487"/>
    <d v="2011-01-22T00:00:00"/>
    <n v="1"/>
    <n v="0"/>
    <n v="1"/>
    <n v="8"/>
    <b v="0"/>
    <n v="6"/>
    <n v="1"/>
    <n v="0.02"/>
    <n v="0"/>
    <n v="0.44"/>
    <n v="0.32840000000000003"/>
    <n v="1"/>
    <n v="26"/>
    <n v="27"/>
    <b v="1"/>
    <x v="0"/>
    <s v="Saturday"/>
    <s v="Weekend"/>
    <s v="Spring"/>
    <s v="Clear"/>
    <s v="Morning Peak"/>
    <s v="Low"/>
    <s v="Medium"/>
  </r>
  <r>
    <n v="488"/>
    <d v="2011-01-22T00:00:00"/>
    <n v="1"/>
    <n v="0"/>
    <n v="1"/>
    <n v="9"/>
    <b v="0"/>
    <n v="6"/>
    <n v="1"/>
    <n v="0.04"/>
    <n v="3.0300000000000001E-2"/>
    <n v="0.41"/>
    <n v="0.25369999999999998"/>
    <n v="3"/>
    <n v="37"/>
    <n v="40"/>
    <b v="1"/>
    <x v="0"/>
    <s v="Saturday"/>
    <s v="Weekend"/>
    <s v="Spring"/>
    <s v="Clear"/>
    <s v="Morning Peak"/>
    <s v="Low"/>
    <s v="Medium"/>
  </r>
  <r>
    <n v="489"/>
    <d v="2011-01-22T00:00:00"/>
    <n v="1"/>
    <n v="0"/>
    <n v="1"/>
    <n v="10"/>
    <b v="0"/>
    <n v="6"/>
    <n v="2"/>
    <n v="0.04"/>
    <n v="6.0600000000000001E-2"/>
    <n v="0.41"/>
    <n v="0.16420000000000001"/>
    <n v="3"/>
    <n v="50"/>
    <n v="53"/>
    <b v="1"/>
    <x v="0"/>
    <s v="Saturday"/>
    <s v="Weekend"/>
    <s v="Spring"/>
    <s v="Mist"/>
    <s v="Off Peak"/>
    <s v="Low"/>
    <s v="Medium"/>
  </r>
  <r>
    <n v="490"/>
    <d v="2011-01-22T00:00:00"/>
    <n v="1"/>
    <n v="0"/>
    <n v="1"/>
    <n v="11"/>
    <b v="0"/>
    <n v="6"/>
    <n v="2"/>
    <n v="0.06"/>
    <n v="7.5800000000000006E-2"/>
    <n v="0.38"/>
    <n v="0.1343"/>
    <n v="4"/>
    <n v="59"/>
    <n v="63"/>
    <b v="1"/>
    <x v="0"/>
    <s v="Saturday"/>
    <s v="Weekend"/>
    <s v="Spring"/>
    <s v="Mist"/>
    <s v="Off Peak"/>
    <s v="Low"/>
    <s v="Low"/>
  </r>
  <r>
    <n v="491"/>
    <d v="2011-01-22T00:00:00"/>
    <n v="1"/>
    <n v="0"/>
    <n v="1"/>
    <n v="12"/>
    <b v="0"/>
    <n v="6"/>
    <n v="2"/>
    <n v="0.06"/>
    <n v="0.1061"/>
    <n v="0.38"/>
    <n v="0.1045"/>
    <n v="10"/>
    <n v="60"/>
    <n v="70"/>
    <b v="1"/>
    <x v="0"/>
    <s v="Saturday"/>
    <s v="Weekend"/>
    <s v="Spring"/>
    <s v="Mist"/>
    <s v="Off Peak"/>
    <s v="Low"/>
    <s v="Low"/>
  </r>
  <r>
    <n v="492"/>
    <d v="2011-01-22T00:00:00"/>
    <n v="1"/>
    <n v="0"/>
    <n v="1"/>
    <n v="13"/>
    <b v="0"/>
    <n v="6"/>
    <n v="1"/>
    <n v="0.08"/>
    <n v="0.16669999999999999"/>
    <n v="0.35"/>
    <n v="0"/>
    <n v="12"/>
    <n v="72"/>
    <n v="84"/>
    <b v="1"/>
    <x v="0"/>
    <s v="Saturday"/>
    <s v="Weekend"/>
    <s v="Spring"/>
    <s v="Clear"/>
    <s v="Off Peak"/>
    <s v="Low"/>
    <s v="Low"/>
  </r>
  <r>
    <n v="493"/>
    <d v="2011-01-22T00:00:00"/>
    <n v="1"/>
    <n v="0"/>
    <n v="1"/>
    <n v="14"/>
    <b v="0"/>
    <n v="6"/>
    <n v="1"/>
    <n v="0.1"/>
    <n v="0.13639999999999999"/>
    <n v="0.33"/>
    <n v="0.1045"/>
    <n v="11"/>
    <n v="64"/>
    <n v="75"/>
    <b v="1"/>
    <x v="0"/>
    <s v="Saturday"/>
    <s v="Weekend"/>
    <s v="Spring"/>
    <s v="Clear"/>
    <s v="Off Peak"/>
    <s v="Low"/>
    <s v="Low"/>
  </r>
  <r>
    <n v="494"/>
    <d v="2011-01-22T00:00:00"/>
    <n v="1"/>
    <n v="0"/>
    <n v="1"/>
    <n v="15"/>
    <b v="0"/>
    <n v="6"/>
    <n v="1"/>
    <n v="0.12"/>
    <n v="0.1515"/>
    <n v="0.28000000000000003"/>
    <n v="0"/>
    <n v="10"/>
    <n v="93"/>
    <n v="103"/>
    <b v="1"/>
    <x v="0"/>
    <s v="Saturday"/>
    <s v="Weekend"/>
    <s v="Spring"/>
    <s v="Clear"/>
    <s v="Off Peak"/>
    <s v="Low"/>
    <s v="Low"/>
  </r>
  <r>
    <n v="495"/>
    <d v="2011-01-22T00:00:00"/>
    <n v="1"/>
    <n v="0"/>
    <n v="1"/>
    <n v="16"/>
    <b v="0"/>
    <n v="6"/>
    <n v="1"/>
    <n v="0.12"/>
    <n v="0.13639999999999999"/>
    <n v="0.28000000000000003"/>
    <n v="0.19400000000000001"/>
    <n v="11"/>
    <n v="72"/>
    <n v="83"/>
    <b v="1"/>
    <x v="0"/>
    <s v="Saturday"/>
    <s v="Weekend"/>
    <s v="Spring"/>
    <s v="Clear"/>
    <s v="Off Peak"/>
    <s v="Low"/>
    <s v="Low"/>
  </r>
  <r>
    <n v="496"/>
    <d v="2011-01-22T00:00:00"/>
    <n v="1"/>
    <n v="0"/>
    <n v="1"/>
    <n v="17"/>
    <b v="0"/>
    <n v="6"/>
    <n v="1"/>
    <n v="0.12"/>
    <n v="0.19700000000000001"/>
    <n v="0.28000000000000003"/>
    <n v="0"/>
    <n v="8"/>
    <n v="59"/>
    <n v="67"/>
    <b v="1"/>
    <x v="0"/>
    <s v="Saturday"/>
    <s v="Weekend"/>
    <s v="Spring"/>
    <s v="Clear"/>
    <s v="Evening Peak"/>
    <s v="Low"/>
    <s v="Low"/>
  </r>
  <r>
    <n v="497"/>
    <d v="2011-01-22T00:00:00"/>
    <n v="1"/>
    <n v="0"/>
    <n v="1"/>
    <n v="18"/>
    <b v="0"/>
    <n v="6"/>
    <n v="1"/>
    <n v="0.08"/>
    <n v="9.0899999999999995E-2"/>
    <n v="0.35"/>
    <n v="0.19400000000000001"/>
    <n v="0"/>
    <n v="54"/>
    <n v="54"/>
    <b v="1"/>
    <x v="0"/>
    <s v="Saturday"/>
    <s v="Weekend"/>
    <s v="Spring"/>
    <s v="Clear"/>
    <s v="Evening Peak"/>
    <s v="Low"/>
    <s v="Low"/>
  </r>
  <r>
    <n v="498"/>
    <d v="2011-01-22T00:00:00"/>
    <n v="1"/>
    <n v="0"/>
    <n v="1"/>
    <n v="19"/>
    <b v="0"/>
    <n v="6"/>
    <n v="1"/>
    <n v="0.08"/>
    <n v="0.1061"/>
    <n v="0.35"/>
    <n v="0.1343"/>
    <n v="6"/>
    <n v="53"/>
    <n v="59"/>
    <b v="1"/>
    <x v="0"/>
    <s v="Saturday"/>
    <s v="Weekend"/>
    <s v="Spring"/>
    <s v="Clear"/>
    <s v="Evening Peak"/>
    <s v="Low"/>
    <s v="Low"/>
  </r>
  <r>
    <n v="499"/>
    <d v="2011-01-22T00:00:00"/>
    <n v="1"/>
    <n v="0"/>
    <n v="1"/>
    <n v="20"/>
    <b v="0"/>
    <n v="6"/>
    <n v="1"/>
    <n v="0.06"/>
    <n v="7.5800000000000006E-2"/>
    <n v="0.45"/>
    <n v="0.16420000000000001"/>
    <n v="1"/>
    <n v="44"/>
    <n v="45"/>
    <b v="1"/>
    <x v="0"/>
    <s v="Saturday"/>
    <s v="Weekend"/>
    <s v="Spring"/>
    <s v="Clear"/>
    <s v="Evening Peak"/>
    <s v="Low"/>
    <s v="Medium"/>
  </r>
  <r>
    <n v="500"/>
    <d v="2011-01-22T00:00:00"/>
    <n v="1"/>
    <n v="0"/>
    <n v="1"/>
    <n v="21"/>
    <b v="0"/>
    <n v="6"/>
    <n v="1"/>
    <n v="0.06"/>
    <n v="0.1061"/>
    <n v="0.41"/>
    <n v="8.9599999999999999E-2"/>
    <n v="0"/>
    <n v="39"/>
    <n v="39"/>
    <b v="1"/>
    <x v="0"/>
    <s v="Saturday"/>
    <s v="Weekend"/>
    <s v="Spring"/>
    <s v="Clear"/>
    <s v="Off Peak"/>
    <s v="Low"/>
    <s v="Medium"/>
  </r>
  <r>
    <n v="501"/>
    <d v="2011-01-22T00:00:00"/>
    <n v="1"/>
    <n v="0"/>
    <n v="1"/>
    <n v="22"/>
    <b v="0"/>
    <n v="6"/>
    <n v="1"/>
    <n v="0.06"/>
    <n v="0.1515"/>
    <n v="0.49"/>
    <n v="0"/>
    <n v="7"/>
    <n v="23"/>
    <n v="30"/>
    <b v="1"/>
    <x v="0"/>
    <s v="Saturday"/>
    <s v="Weekend"/>
    <s v="Spring"/>
    <s v="Clear"/>
    <s v="Off Peak"/>
    <s v="Low"/>
    <s v="Medium"/>
  </r>
  <r>
    <n v="502"/>
    <d v="2011-01-22T00:00:00"/>
    <n v="1"/>
    <n v="0"/>
    <n v="1"/>
    <n v="23"/>
    <b v="0"/>
    <n v="6"/>
    <n v="1"/>
    <n v="0.04"/>
    <n v="7.5800000000000006E-2"/>
    <n v="0.56999999999999995"/>
    <n v="0.1045"/>
    <n v="2"/>
    <n v="31"/>
    <n v="33"/>
    <b v="1"/>
    <x v="0"/>
    <s v="Saturday"/>
    <s v="Weekend"/>
    <s v="Spring"/>
    <s v="Clear"/>
    <s v="Off Peak"/>
    <s v="Low"/>
    <s v="Medium"/>
  </r>
  <r>
    <n v="503"/>
    <d v="2011-01-23T00:00:00"/>
    <n v="1"/>
    <n v="0"/>
    <n v="1"/>
    <n v="0"/>
    <b v="0"/>
    <n v="0"/>
    <n v="1"/>
    <n v="0.04"/>
    <n v="7.5800000000000006E-2"/>
    <n v="0.56999999999999995"/>
    <n v="0.1045"/>
    <n v="2"/>
    <n v="20"/>
    <n v="22"/>
    <b v="1"/>
    <x v="0"/>
    <s v="Sunday"/>
    <s v="Weekend"/>
    <s v="Spring"/>
    <s v="Clear"/>
    <s v="Off Peak"/>
    <s v="Low"/>
    <s v="Medium"/>
  </r>
  <r>
    <n v="504"/>
    <d v="2011-01-23T00:00:00"/>
    <n v="1"/>
    <n v="0"/>
    <n v="1"/>
    <n v="1"/>
    <b v="0"/>
    <n v="0"/>
    <n v="1"/>
    <n v="0.04"/>
    <n v="7.5800000000000006E-2"/>
    <n v="0.56999999999999995"/>
    <n v="0.1045"/>
    <n v="1"/>
    <n v="12"/>
    <n v="13"/>
    <b v="1"/>
    <x v="0"/>
    <s v="Sunday"/>
    <s v="Weekend"/>
    <s v="Spring"/>
    <s v="Clear"/>
    <s v="Off Peak"/>
    <s v="Low"/>
    <s v="Medium"/>
  </r>
  <r>
    <n v="505"/>
    <d v="2011-01-23T00:00:00"/>
    <n v="1"/>
    <n v="0"/>
    <n v="1"/>
    <n v="2"/>
    <b v="0"/>
    <n v="0"/>
    <n v="1"/>
    <n v="0.02"/>
    <n v="6.0600000000000001E-2"/>
    <n v="0.62"/>
    <n v="0.1343"/>
    <n v="3"/>
    <n v="15"/>
    <n v="18"/>
    <b v="1"/>
    <x v="0"/>
    <s v="Sunday"/>
    <s v="Weekend"/>
    <s v="Spring"/>
    <s v="Clear"/>
    <s v="Off Peak"/>
    <s v="Low"/>
    <s v="Medium"/>
  </r>
  <r>
    <n v="506"/>
    <d v="2011-01-23T00:00:00"/>
    <n v="1"/>
    <n v="0"/>
    <n v="1"/>
    <n v="3"/>
    <b v="0"/>
    <n v="0"/>
    <n v="1"/>
    <n v="0.02"/>
    <n v="6.0600000000000001E-2"/>
    <n v="0.62"/>
    <n v="0.1343"/>
    <n v="1"/>
    <n v="4"/>
    <n v="5"/>
    <b v="1"/>
    <x v="0"/>
    <s v="Sunday"/>
    <s v="Weekend"/>
    <s v="Spring"/>
    <s v="Clear"/>
    <s v="Off Peak"/>
    <s v="Low"/>
    <s v="Medium"/>
  </r>
  <r>
    <n v="507"/>
    <d v="2011-01-23T00:00:00"/>
    <n v="1"/>
    <n v="0"/>
    <n v="1"/>
    <n v="5"/>
    <b v="0"/>
    <n v="0"/>
    <n v="2"/>
    <n v="0.04"/>
    <n v="7.5800000000000006E-2"/>
    <n v="0.56999999999999995"/>
    <n v="0.1045"/>
    <n v="0"/>
    <n v="3"/>
    <n v="3"/>
    <b v="1"/>
    <x v="0"/>
    <s v="Sunday"/>
    <s v="Weekend"/>
    <s v="Spring"/>
    <s v="Mist"/>
    <s v="Off Peak"/>
    <s v="Low"/>
    <s v="Medium"/>
  </r>
  <r>
    <n v="508"/>
    <d v="2011-01-23T00:00:00"/>
    <n v="1"/>
    <n v="0"/>
    <n v="1"/>
    <n v="6"/>
    <b v="0"/>
    <n v="0"/>
    <n v="2"/>
    <n v="0.04"/>
    <n v="7.5800000000000006E-2"/>
    <n v="0.56999999999999995"/>
    <n v="0.1045"/>
    <n v="0"/>
    <n v="1"/>
    <n v="1"/>
    <b v="1"/>
    <x v="0"/>
    <s v="Sunday"/>
    <s v="Weekend"/>
    <s v="Spring"/>
    <s v="Mist"/>
    <s v="Off Peak"/>
    <s v="Low"/>
    <s v="Medium"/>
  </r>
  <r>
    <n v="509"/>
    <d v="2011-01-23T00:00:00"/>
    <n v="1"/>
    <n v="0"/>
    <n v="1"/>
    <n v="7"/>
    <b v="0"/>
    <n v="0"/>
    <n v="1"/>
    <n v="0.08"/>
    <n v="0.1061"/>
    <n v="0.57999999999999996"/>
    <n v="0.16420000000000001"/>
    <n v="1"/>
    <n v="1"/>
    <n v="2"/>
    <b v="1"/>
    <x v="0"/>
    <s v="Sunday"/>
    <s v="Weekend"/>
    <s v="Spring"/>
    <s v="Clear"/>
    <s v="Morning Peak"/>
    <s v="Low"/>
    <s v="Medium"/>
  </r>
  <r>
    <n v="510"/>
    <d v="2011-01-23T00:00:00"/>
    <n v="1"/>
    <n v="0"/>
    <n v="1"/>
    <n v="8"/>
    <b v="0"/>
    <n v="0"/>
    <n v="1"/>
    <n v="0.06"/>
    <n v="7.5800000000000006E-2"/>
    <n v="0.62"/>
    <n v="0.16420000000000001"/>
    <n v="2"/>
    <n v="17"/>
    <n v="19"/>
    <b v="1"/>
    <x v="0"/>
    <s v="Sunday"/>
    <s v="Weekend"/>
    <s v="Spring"/>
    <s v="Clear"/>
    <s v="Morning Peak"/>
    <s v="Low"/>
    <s v="Medium"/>
  </r>
  <r>
    <n v="511"/>
    <d v="2011-01-23T00:00:00"/>
    <n v="1"/>
    <n v="0"/>
    <n v="1"/>
    <n v="9"/>
    <b v="0"/>
    <n v="0"/>
    <n v="1"/>
    <n v="0.1"/>
    <n v="7.5800000000000006E-2"/>
    <n v="0.54"/>
    <n v="0.35820000000000002"/>
    <n v="3"/>
    <n v="25"/>
    <n v="28"/>
    <b v="1"/>
    <x v="0"/>
    <s v="Sunday"/>
    <s v="Weekend"/>
    <s v="Spring"/>
    <s v="Clear"/>
    <s v="Morning Peak"/>
    <s v="Low"/>
    <s v="Medium"/>
  </r>
  <r>
    <n v="512"/>
    <d v="2011-01-23T00:00:00"/>
    <n v="1"/>
    <n v="0"/>
    <n v="1"/>
    <n v="10"/>
    <b v="0"/>
    <n v="0"/>
    <n v="1"/>
    <n v="0.14000000000000001"/>
    <n v="0.1061"/>
    <n v="0.46"/>
    <n v="0.3881"/>
    <n v="7"/>
    <n v="51"/>
    <n v="58"/>
    <b v="1"/>
    <x v="0"/>
    <s v="Sunday"/>
    <s v="Weekend"/>
    <s v="Spring"/>
    <s v="Clear"/>
    <s v="Off Peak"/>
    <s v="Low"/>
    <s v="Medium"/>
  </r>
  <r>
    <n v="513"/>
    <d v="2011-01-23T00:00:00"/>
    <n v="1"/>
    <n v="0"/>
    <n v="1"/>
    <n v="11"/>
    <b v="0"/>
    <n v="0"/>
    <n v="1"/>
    <n v="0.14000000000000001"/>
    <n v="0.13639999999999999"/>
    <n v="0.43"/>
    <n v="0.22389999999999999"/>
    <n v="22"/>
    <n v="77"/>
    <n v="99"/>
    <b v="1"/>
    <x v="0"/>
    <s v="Sunday"/>
    <s v="Weekend"/>
    <s v="Spring"/>
    <s v="Clear"/>
    <s v="Off Peak"/>
    <s v="Low"/>
    <s v="Medium"/>
  </r>
  <r>
    <n v="514"/>
    <d v="2011-01-23T00:00:00"/>
    <n v="1"/>
    <n v="0"/>
    <n v="1"/>
    <n v="12"/>
    <b v="0"/>
    <n v="0"/>
    <n v="1"/>
    <n v="0.16"/>
    <n v="0.1212"/>
    <n v="0.37"/>
    <n v="0.4627"/>
    <n v="24"/>
    <n v="92"/>
    <n v="116"/>
    <b v="1"/>
    <x v="0"/>
    <s v="Sunday"/>
    <s v="Weekend"/>
    <s v="Spring"/>
    <s v="Clear"/>
    <s v="Off Peak"/>
    <s v="Low"/>
    <s v="Low"/>
  </r>
  <r>
    <n v="515"/>
    <d v="2011-01-23T00:00:00"/>
    <n v="1"/>
    <n v="0"/>
    <n v="1"/>
    <n v="13"/>
    <b v="0"/>
    <n v="0"/>
    <n v="1"/>
    <n v="0.14000000000000001"/>
    <n v="0.1061"/>
    <n v="0.33"/>
    <n v="0.3881"/>
    <n v="12"/>
    <n v="75"/>
    <n v="87"/>
    <b v="1"/>
    <x v="0"/>
    <s v="Sunday"/>
    <s v="Weekend"/>
    <s v="Spring"/>
    <s v="Clear"/>
    <s v="Off Peak"/>
    <s v="Low"/>
    <s v="Low"/>
  </r>
  <r>
    <n v="516"/>
    <d v="2011-01-23T00:00:00"/>
    <n v="1"/>
    <n v="0"/>
    <n v="1"/>
    <n v="14"/>
    <b v="0"/>
    <n v="0"/>
    <n v="1"/>
    <n v="0.16"/>
    <n v="0.13639999999999999"/>
    <n v="0.28000000000000003"/>
    <n v="0.35820000000000002"/>
    <n v="17"/>
    <n v="93"/>
    <n v="110"/>
    <b v="1"/>
    <x v="0"/>
    <s v="Sunday"/>
    <s v="Weekend"/>
    <s v="Spring"/>
    <s v="Clear"/>
    <s v="Off Peak"/>
    <s v="Low"/>
    <s v="Low"/>
  </r>
  <r>
    <n v="517"/>
    <d v="2011-01-23T00:00:00"/>
    <n v="1"/>
    <n v="0"/>
    <n v="1"/>
    <n v="15"/>
    <b v="0"/>
    <n v="0"/>
    <n v="1"/>
    <n v="0.16"/>
    <n v="0.13639999999999999"/>
    <n v="0.28000000000000003"/>
    <n v="0.35820000000000002"/>
    <n v="13"/>
    <n v="64"/>
    <n v="77"/>
    <b v="1"/>
    <x v="0"/>
    <s v="Sunday"/>
    <s v="Weekend"/>
    <s v="Spring"/>
    <s v="Clear"/>
    <s v="Off Peak"/>
    <s v="Low"/>
    <s v="Low"/>
  </r>
  <r>
    <n v="518"/>
    <d v="2011-01-23T00:00:00"/>
    <n v="1"/>
    <n v="0"/>
    <n v="1"/>
    <n v="16"/>
    <b v="0"/>
    <n v="0"/>
    <n v="1"/>
    <n v="0.16"/>
    <n v="0.13639999999999999"/>
    <n v="0.26"/>
    <n v="0.32840000000000003"/>
    <n v="9"/>
    <n v="56"/>
    <n v="65"/>
    <b v="1"/>
    <x v="0"/>
    <s v="Sunday"/>
    <s v="Weekend"/>
    <s v="Spring"/>
    <s v="Clear"/>
    <s v="Off Peak"/>
    <s v="Low"/>
    <s v="Low"/>
  </r>
  <r>
    <n v="519"/>
    <d v="2011-01-23T00:00:00"/>
    <n v="1"/>
    <n v="0"/>
    <n v="1"/>
    <n v="17"/>
    <b v="0"/>
    <n v="0"/>
    <n v="1"/>
    <n v="0.14000000000000001"/>
    <n v="0.1061"/>
    <n v="0.26"/>
    <n v="0.3881"/>
    <n v="5"/>
    <n v="50"/>
    <n v="55"/>
    <b v="1"/>
    <x v="0"/>
    <s v="Sunday"/>
    <s v="Weekend"/>
    <s v="Spring"/>
    <s v="Clear"/>
    <s v="Evening Peak"/>
    <s v="Low"/>
    <s v="Low"/>
  </r>
  <r>
    <n v="520"/>
    <d v="2011-01-23T00:00:00"/>
    <n v="1"/>
    <n v="0"/>
    <n v="1"/>
    <n v="18"/>
    <b v="0"/>
    <n v="0"/>
    <n v="1"/>
    <n v="0.12"/>
    <n v="0.1212"/>
    <n v="0.3"/>
    <n v="0.25369999999999998"/>
    <n v="5"/>
    <n v="44"/>
    <n v="49"/>
    <b v="1"/>
    <x v="0"/>
    <s v="Sunday"/>
    <s v="Weekend"/>
    <s v="Spring"/>
    <s v="Clear"/>
    <s v="Evening Peak"/>
    <s v="Low"/>
    <s v="Low"/>
  </r>
  <r>
    <n v="521"/>
    <d v="2011-01-23T00:00:00"/>
    <n v="1"/>
    <n v="0"/>
    <n v="1"/>
    <n v="19"/>
    <b v="0"/>
    <n v="0"/>
    <n v="1"/>
    <n v="0.12"/>
    <n v="0.1212"/>
    <n v="0.3"/>
    <n v="0.28360000000000002"/>
    <n v="5"/>
    <n v="45"/>
    <n v="50"/>
    <b v="1"/>
    <x v="0"/>
    <s v="Sunday"/>
    <s v="Weekend"/>
    <s v="Spring"/>
    <s v="Clear"/>
    <s v="Evening Peak"/>
    <s v="Low"/>
    <s v="Low"/>
  </r>
  <r>
    <n v="522"/>
    <d v="2011-01-23T00:00:00"/>
    <n v="1"/>
    <n v="0"/>
    <n v="1"/>
    <n v="20"/>
    <b v="0"/>
    <n v="0"/>
    <n v="1"/>
    <n v="0.1"/>
    <n v="0.1061"/>
    <n v="0.36"/>
    <n v="0.25369999999999998"/>
    <n v="4"/>
    <n v="31"/>
    <n v="35"/>
    <b v="1"/>
    <x v="0"/>
    <s v="Sunday"/>
    <s v="Weekend"/>
    <s v="Spring"/>
    <s v="Clear"/>
    <s v="Evening Peak"/>
    <s v="Low"/>
    <s v="Low"/>
  </r>
  <r>
    <n v="523"/>
    <d v="2011-01-23T00:00:00"/>
    <n v="1"/>
    <n v="0"/>
    <n v="1"/>
    <n v="21"/>
    <b v="0"/>
    <n v="0"/>
    <n v="1"/>
    <n v="0.1"/>
    <n v="0.1061"/>
    <n v="0.36"/>
    <n v="0.19400000000000001"/>
    <n v="5"/>
    <n v="20"/>
    <n v="25"/>
    <b v="1"/>
    <x v="0"/>
    <s v="Sunday"/>
    <s v="Weekend"/>
    <s v="Spring"/>
    <s v="Clear"/>
    <s v="Off Peak"/>
    <s v="Low"/>
    <s v="Low"/>
  </r>
  <r>
    <n v="524"/>
    <d v="2011-01-23T00:00:00"/>
    <n v="1"/>
    <n v="0"/>
    <n v="1"/>
    <n v="22"/>
    <b v="0"/>
    <n v="0"/>
    <n v="1"/>
    <n v="0.08"/>
    <n v="9.0899999999999995E-2"/>
    <n v="0.38"/>
    <n v="0.19400000000000001"/>
    <n v="5"/>
    <n v="23"/>
    <n v="28"/>
    <b v="1"/>
    <x v="0"/>
    <s v="Sunday"/>
    <s v="Weekend"/>
    <s v="Spring"/>
    <s v="Clear"/>
    <s v="Off Peak"/>
    <s v="Low"/>
    <s v="Low"/>
  </r>
  <r>
    <n v="525"/>
    <d v="2011-01-23T00:00:00"/>
    <n v="1"/>
    <n v="0"/>
    <n v="1"/>
    <n v="23"/>
    <b v="0"/>
    <n v="0"/>
    <n v="1"/>
    <n v="0.06"/>
    <n v="6.0600000000000001E-2"/>
    <n v="0.41"/>
    <n v="0.22389999999999999"/>
    <n v="4"/>
    <n v="17"/>
    <n v="21"/>
    <b v="1"/>
    <x v="0"/>
    <s v="Sunday"/>
    <s v="Weekend"/>
    <s v="Spring"/>
    <s v="Clear"/>
    <s v="Off Peak"/>
    <s v="Low"/>
    <s v="Medium"/>
  </r>
  <r>
    <n v="526"/>
    <d v="2011-01-24T00:00:00"/>
    <n v="1"/>
    <n v="0"/>
    <n v="1"/>
    <n v="0"/>
    <b v="0"/>
    <n v="1"/>
    <n v="1"/>
    <n v="0.06"/>
    <n v="6.0600000000000001E-2"/>
    <n v="0.41"/>
    <n v="0.19400000000000001"/>
    <n v="0"/>
    <n v="7"/>
    <n v="7"/>
    <b v="1"/>
    <x v="0"/>
    <s v="Monday"/>
    <s v="Weekday"/>
    <s v="Spring"/>
    <s v="Clear"/>
    <s v="Off Peak"/>
    <s v="Low"/>
    <s v="Medium"/>
  </r>
  <r>
    <n v="527"/>
    <d v="2011-01-24T00:00:00"/>
    <n v="1"/>
    <n v="0"/>
    <n v="1"/>
    <n v="1"/>
    <b v="0"/>
    <n v="1"/>
    <n v="1"/>
    <n v="0.04"/>
    <n v="4.5499999999999999E-2"/>
    <n v="0.45"/>
    <n v="0.19400000000000001"/>
    <n v="0"/>
    <n v="1"/>
    <n v="1"/>
    <b v="1"/>
    <x v="0"/>
    <s v="Monday"/>
    <s v="Weekday"/>
    <s v="Spring"/>
    <s v="Clear"/>
    <s v="Off Peak"/>
    <s v="Low"/>
    <s v="Medium"/>
  </r>
  <r>
    <n v="528"/>
    <d v="2011-01-24T00:00:00"/>
    <n v="1"/>
    <n v="0"/>
    <n v="1"/>
    <n v="3"/>
    <b v="0"/>
    <n v="1"/>
    <n v="1"/>
    <n v="0.04"/>
    <n v="3.0300000000000001E-2"/>
    <n v="0.45"/>
    <n v="0.25369999999999998"/>
    <n v="0"/>
    <n v="1"/>
    <n v="1"/>
    <b v="1"/>
    <x v="0"/>
    <s v="Monday"/>
    <s v="Weekday"/>
    <s v="Spring"/>
    <s v="Clear"/>
    <s v="Off Peak"/>
    <s v="Low"/>
    <s v="Medium"/>
  </r>
  <r>
    <n v="529"/>
    <d v="2011-01-24T00:00:00"/>
    <n v="1"/>
    <n v="0"/>
    <n v="1"/>
    <n v="4"/>
    <b v="0"/>
    <n v="1"/>
    <n v="1"/>
    <n v="0.02"/>
    <n v="6.0600000000000001E-2"/>
    <n v="0.48"/>
    <n v="0.1343"/>
    <n v="0"/>
    <n v="1"/>
    <n v="1"/>
    <b v="1"/>
    <x v="0"/>
    <s v="Monday"/>
    <s v="Weekday"/>
    <s v="Spring"/>
    <s v="Clear"/>
    <s v="Off Peak"/>
    <s v="Low"/>
    <s v="Medium"/>
  </r>
  <r>
    <n v="530"/>
    <d v="2011-01-24T00:00:00"/>
    <n v="1"/>
    <n v="0"/>
    <n v="1"/>
    <n v="5"/>
    <b v="0"/>
    <n v="1"/>
    <n v="1"/>
    <n v="0.02"/>
    <n v="6.0600000000000001E-2"/>
    <n v="0.48"/>
    <n v="0.1343"/>
    <n v="0"/>
    <n v="5"/>
    <n v="5"/>
    <b v="1"/>
    <x v="0"/>
    <s v="Monday"/>
    <s v="Weekday"/>
    <s v="Spring"/>
    <s v="Clear"/>
    <s v="Off Peak"/>
    <s v="Low"/>
    <s v="Medium"/>
  </r>
  <r>
    <n v="531"/>
    <d v="2011-01-24T00:00:00"/>
    <n v="1"/>
    <n v="0"/>
    <n v="1"/>
    <n v="6"/>
    <b v="0"/>
    <n v="1"/>
    <n v="1"/>
    <n v="0.02"/>
    <n v="7.5800000000000006E-2"/>
    <n v="0.48"/>
    <n v="8.9599999999999999E-2"/>
    <n v="0"/>
    <n v="15"/>
    <n v="15"/>
    <b v="1"/>
    <x v="0"/>
    <s v="Monday"/>
    <s v="Weekday"/>
    <s v="Spring"/>
    <s v="Clear"/>
    <s v="Off Peak"/>
    <s v="Low"/>
    <s v="Medium"/>
  </r>
  <r>
    <n v="532"/>
    <d v="2011-01-24T00:00:00"/>
    <n v="1"/>
    <n v="0"/>
    <n v="1"/>
    <n v="7"/>
    <b v="0"/>
    <n v="1"/>
    <n v="1"/>
    <n v="0.02"/>
    <n v="0.1212"/>
    <n v="0.48"/>
    <n v="0"/>
    <n v="5"/>
    <n v="79"/>
    <n v="84"/>
    <b v="1"/>
    <x v="0"/>
    <s v="Monday"/>
    <s v="Weekday"/>
    <s v="Spring"/>
    <s v="Clear"/>
    <s v="Morning Peak"/>
    <s v="Low"/>
    <s v="Medium"/>
  </r>
  <r>
    <n v="533"/>
    <d v="2011-01-24T00:00:00"/>
    <n v="1"/>
    <n v="0"/>
    <n v="1"/>
    <n v="8"/>
    <b v="0"/>
    <n v="1"/>
    <n v="1"/>
    <n v="0.04"/>
    <n v="0.13639999999999999"/>
    <n v="0.49"/>
    <n v="0"/>
    <n v="6"/>
    <n v="171"/>
    <n v="177"/>
    <b v="1"/>
    <x v="0"/>
    <s v="Monday"/>
    <s v="Weekday"/>
    <s v="Spring"/>
    <s v="Clear"/>
    <s v="Morning Peak"/>
    <s v="Low"/>
    <s v="Medium"/>
  </r>
  <r>
    <n v="534"/>
    <d v="2011-01-24T00:00:00"/>
    <n v="1"/>
    <n v="0"/>
    <n v="1"/>
    <n v="9"/>
    <b v="0"/>
    <n v="1"/>
    <n v="1"/>
    <n v="0.06"/>
    <n v="0.1515"/>
    <n v="0.41"/>
    <n v="0"/>
    <n v="4"/>
    <n v="98"/>
    <n v="102"/>
    <b v="1"/>
    <x v="0"/>
    <s v="Monday"/>
    <s v="Weekday"/>
    <s v="Spring"/>
    <s v="Clear"/>
    <s v="Morning Peak"/>
    <s v="Low"/>
    <s v="Medium"/>
  </r>
  <r>
    <n v="535"/>
    <d v="2011-01-24T00:00:00"/>
    <n v="1"/>
    <n v="0"/>
    <n v="1"/>
    <n v="10"/>
    <b v="0"/>
    <n v="1"/>
    <n v="1"/>
    <n v="0.1"/>
    <n v="0.13639999999999999"/>
    <n v="0.42"/>
    <n v="0"/>
    <n v="6"/>
    <n v="34"/>
    <n v="40"/>
    <b v="1"/>
    <x v="0"/>
    <s v="Monday"/>
    <s v="Weekday"/>
    <s v="Spring"/>
    <s v="Clear"/>
    <s v="Off Peak"/>
    <s v="Low"/>
    <s v="Medium"/>
  </r>
  <r>
    <n v="536"/>
    <d v="2011-01-24T00:00:00"/>
    <n v="1"/>
    <n v="0"/>
    <n v="1"/>
    <n v="11"/>
    <b v="0"/>
    <n v="1"/>
    <n v="1"/>
    <n v="0.1"/>
    <n v="0.1212"/>
    <n v="0.46"/>
    <n v="0.1343"/>
    <n v="3"/>
    <n v="43"/>
    <n v="46"/>
    <b v="1"/>
    <x v="0"/>
    <s v="Monday"/>
    <s v="Weekday"/>
    <s v="Spring"/>
    <s v="Clear"/>
    <s v="Off Peak"/>
    <s v="Low"/>
    <s v="Medium"/>
  </r>
  <r>
    <n v="537"/>
    <d v="2011-01-24T00:00:00"/>
    <n v="1"/>
    <n v="0"/>
    <n v="1"/>
    <n v="12"/>
    <b v="0"/>
    <n v="1"/>
    <n v="2"/>
    <n v="0.12"/>
    <n v="0.13639999999999999"/>
    <n v="0.42"/>
    <n v="0.19400000000000001"/>
    <n v="11"/>
    <n v="52"/>
    <n v="63"/>
    <b v="1"/>
    <x v="0"/>
    <s v="Monday"/>
    <s v="Weekday"/>
    <s v="Spring"/>
    <s v="Mist"/>
    <s v="Off Peak"/>
    <s v="Low"/>
    <s v="Medium"/>
  </r>
  <r>
    <n v="538"/>
    <d v="2011-01-24T00:00:00"/>
    <n v="1"/>
    <n v="0"/>
    <n v="1"/>
    <n v="13"/>
    <b v="0"/>
    <n v="1"/>
    <n v="2"/>
    <n v="0.14000000000000001"/>
    <n v="0.13639999999999999"/>
    <n v="0.43"/>
    <n v="0.22389999999999999"/>
    <n v="6"/>
    <n v="54"/>
    <n v="60"/>
    <b v="1"/>
    <x v="0"/>
    <s v="Monday"/>
    <s v="Weekday"/>
    <s v="Spring"/>
    <s v="Mist"/>
    <s v="Off Peak"/>
    <s v="Low"/>
    <s v="Medium"/>
  </r>
  <r>
    <n v="539"/>
    <d v="2011-01-24T00:00:00"/>
    <n v="1"/>
    <n v="0"/>
    <n v="1"/>
    <n v="14"/>
    <b v="0"/>
    <n v="1"/>
    <n v="2"/>
    <n v="0.14000000000000001"/>
    <n v="0.13639999999999999"/>
    <n v="0.46"/>
    <n v="0.22389999999999999"/>
    <n v="2"/>
    <n v="43"/>
    <n v="45"/>
    <b v="1"/>
    <x v="0"/>
    <s v="Monday"/>
    <s v="Weekday"/>
    <s v="Spring"/>
    <s v="Mist"/>
    <s v="Off Peak"/>
    <s v="Low"/>
    <s v="Medium"/>
  </r>
  <r>
    <n v="540"/>
    <d v="2011-01-24T00:00:00"/>
    <n v="1"/>
    <n v="0"/>
    <n v="1"/>
    <n v="15"/>
    <b v="0"/>
    <n v="1"/>
    <n v="1"/>
    <n v="0.16"/>
    <n v="0.16669999999999999"/>
    <n v="0.4"/>
    <n v="0.16420000000000001"/>
    <n v="7"/>
    <n v="50"/>
    <n v="57"/>
    <b v="1"/>
    <x v="0"/>
    <s v="Monday"/>
    <s v="Weekday"/>
    <s v="Spring"/>
    <s v="Clear"/>
    <s v="Off Peak"/>
    <s v="Low"/>
    <s v="Medium"/>
  </r>
  <r>
    <n v="541"/>
    <d v="2011-01-24T00:00:00"/>
    <n v="1"/>
    <n v="0"/>
    <n v="1"/>
    <n v="16"/>
    <b v="0"/>
    <n v="1"/>
    <n v="1"/>
    <n v="0.16"/>
    <n v="0.1515"/>
    <n v="0.47"/>
    <n v="0.25369999999999998"/>
    <n v="4"/>
    <n v="66"/>
    <n v="70"/>
    <b v="1"/>
    <x v="0"/>
    <s v="Monday"/>
    <s v="Weekday"/>
    <s v="Spring"/>
    <s v="Clear"/>
    <s v="Off Peak"/>
    <s v="Low"/>
    <s v="Medium"/>
  </r>
  <r>
    <n v="542"/>
    <d v="2011-01-24T00:00:00"/>
    <n v="1"/>
    <n v="0"/>
    <n v="1"/>
    <n v="17"/>
    <b v="0"/>
    <n v="1"/>
    <n v="1"/>
    <n v="0.14000000000000001"/>
    <n v="0.1212"/>
    <n v="0.5"/>
    <n v="0.25369999999999998"/>
    <n v="6"/>
    <n v="178"/>
    <n v="184"/>
    <b v="1"/>
    <x v="0"/>
    <s v="Monday"/>
    <s v="Weekday"/>
    <s v="Spring"/>
    <s v="Clear"/>
    <s v="Evening Peak"/>
    <s v="Low"/>
    <s v="Medium"/>
  </r>
  <r>
    <n v="543"/>
    <d v="2011-01-24T00:00:00"/>
    <n v="1"/>
    <n v="0"/>
    <n v="1"/>
    <n v="18"/>
    <b v="0"/>
    <n v="1"/>
    <n v="1"/>
    <n v="0.14000000000000001"/>
    <n v="0.13639999999999999"/>
    <n v="0.59"/>
    <n v="0.19400000000000001"/>
    <n v="8"/>
    <n v="145"/>
    <n v="153"/>
    <b v="1"/>
    <x v="0"/>
    <s v="Monday"/>
    <s v="Weekday"/>
    <s v="Spring"/>
    <s v="Clear"/>
    <s v="Evening Peak"/>
    <s v="Low"/>
    <s v="Medium"/>
  </r>
  <r>
    <n v="544"/>
    <d v="2011-01-24T00:00:00"/>
    <n v="1"/>
    <n v="0"/>
    <n v="1"/>
    <n v="19"/>
    <b v="0"/>
    <n v="1"/>
    <n v="1"/>
    <n v="0.14000000000000001"/>
    <n v="0.1515"/>
    <n v="0.54"/>
    <n v="0.16420000000000001"/>
    <n v="5"/>
    <n v="101"/>
    <n v="106"/>
    <b v="1"/>
    <x v="0"/>
    <s v="Monday"/>
    <s v="Weekday"/>
    <s v="Spring"/>
    <s v="Clear"/>
    <s v="Evening Peak"/>
    <s v="Low"/>
    <s v="Medium"/>
  </r>
  <r>
    <n v="545"/>
    <d v="2011-01-24T00:00:00"/>
    <n v="1"/>
    <n v="0"/>
    <n v="1"/>
    <n v="20"/>
    <b v="0"/>
    <n v="1"/>
    <n v="1"/>
    <n v="0.14000000000000001"/>
    <n v="0.13639999999999999"/>
    <n v="0.59"/>
    <n v="0.19400000000000001"/>
    <n v="1"/>
    <n v="80"/>
    <n v="81"/>
    <b v="1"/>
    <x v="0"/>
    <s v="Monday"/>
    <s v="Weekday"/>
    <s v="Spring"/>
    <s v="Clear"/>
    <s v="Evening Peak"/>
    <s v="Low"/>
    <s v="Medium"/>
  </r>
  <r>
    <n v="546"/>
    <d v="2011-01-24T00:00:00"/>
    <n v="1"/>
    <n v="0"/>
    <n v="1"/>
    <n v="21"/>
    <b v="0"/>
    <n v="1"/>
    <n v="1"/>
    <n v="0.14000000000000001"/>
    <n v="0.1515"/>
    <n v="0.63"/>
    <n v="0.16420000000000001"/>
    <n v="6"/>
    <n v="53"/>
    <n v="59"/>
    <b v="1"/>
    <x v="0"/>
    <s v="Monday"/>
    <s v="Weekday"/>
    <s v="Spring"/>
    <s v="Clear"/>
    <s v="Off Peak"/>
    <s v="Low"/>
    <s v="Medium"/>
  </r>
  <r>
    <n v="547"/>
    <d v="2011-01-24T00:00:00"/>
    <n v="1"/>
    <n v="0"/>
    <n v="1"/>
    <n v="22"/>
    <b v="0"/>
    <n v="1"/>
    <n v="2"/>
    <n v="0.14000000000000001"/>
    <n v="0.13639999999999999"/>
    <n v="0.63"/>
    <n v="0.22389999999999999"/>
    <n v="3"/>
    <n v="32"/>
    <n v="35"/>
    <b v="1"/>
    <x v="0"/>
    <s v="Monday"/>
    <s v="Weekday"/>
    <s v="Spring"/>
    <s v="Mist"/>
    <s v="Off Peak"/>
    <s v="Low"/>
    <s v="Medium"/>
  </r>
  <r>
    <n v="548"/>
    <d v="2011-01-24T00:00:00"/>
    <n v="1"/>
    <n v="0"/>
    <n v="1"/>
    <n v="23"/>
    <b v="0"/>
    <n v="1"/>
    <n v="2"/>
    <n v="0.16"/>
    <n v="0.1515"/>
    <n v="0.64"/>
    <n v="0.25369999999999998"/>
    <n v="3"/>
    <n v="21"/>
    <n v="24"/>
    <b v="1"/>
    <x v="0"/>
    <s v="Monday"/>
    <s v="Weekday"/>
    <s v="Spring"/>
    <s v="Mist"/>
    <s v="Off Peak"/>
    <s v="Low"/>
    <s v="Medium"/>
  </r>
  <r>
    <n v="549"/>
    <d v="2011-01-25T00:00:00"/>
    <n v="1"/>
    <n v="0"/>
    <n v="1"/>
    <n v="0"/>
    <b v="0"/>
    <n v="2"/>
    <n v="2"/>
    <n v="0.16"/>
    <n v="0.13639999999999999"/>
    <n v="0.69"/>
    <n v="0.28360000000000002"/>
    <n v="3"/>
    <n v="6"/>
    <n v="9"/>
    <b v="1"/>
    <x v="0"/>
    <s v="Tuesday"/>
    <s v="Weekday"/>
    <s v="Spring"/>
    <s v="Mist"/>
    <s v="Off Peak"/>
    <s v="Low"/>
    <s v="Medium"/>
  </r>
  <r>
    <n v="550"/>
    <d v="2011-01-25T00:00:00"/>
    <n v="1"/>
    <n v="0"/>
    <n v="1"/>
    <n v="1"/>
    <b v="0"/>
    <n v="2"/>
    <n v="2"/>
    <n v="0.16"/>
    <n v="0.16669999999999999"/>
    <n v="0.69"/>
    <n v="0.16420000000000001"/>
    <n v="0"/>
    <n v="5"/>
    <n v="5"/>
    <b v="1"/>
    <x v="0"/>
    <s v="Tuesday"/>
    <s v="Weekday"/>
    <s v="Spring"/>
    <s v="Mist"/>
    <s v="Off Peak"/>
    <s v="Low"/>
    <s v="Medium"/>
  </r>
  <r>
    <n v="551"/>
    <d v="2011-01-25T00:00:00"/>
    <n v="1"/>
    <n v="0"/>
    <n v="1"/>
    <n v="2"/>
    <b v="0"/>
    <n v="2"/>
    <n v="1"/>
    <n v="0.16"/>
    <n v="0.1515"/>
    <n v="0.69"/>
    <n v="0.22389999999999999"/>
    <n v="0"/>
    <n v="2"/>
    <n v="2"/>
    <b v="1"/>
    <x v="0"/>
    <s v="Tuesday"/>
    <s v="Weekday"/>
    <s v="Spring"/>
    <s v="Clear"/>
    <s v="Off Peak"/>
    <s v="Low"/>
    <s v="Medium"/>
  </r>
  <r>
    <n v="552"/>
    <d v="2011-01-25T00:00:00"/>
    <n v="1"/>
    <n v="0"/>
    <n v="1"/>
    <n v="4"/>
    <b v="0"/>
    <n v="2"/>
    <n v="1"/>
    <n v="0.14000000000000001"/>
    <n v="0.16669999999999999"/>
    <n v="0.74"/>
    <n v="0.1045"/>
    <n v="0"/>
    <n v="1"/>
    <n v="1"/>
    <b v="1"/>
    <x v="0"/>
    <s v="Tuesday"/>
    <s v="Weekday"/>
    <s v="Spring"/>
    <s v="Clear"/>
    <s v="Off Peak"/>
    <s v="Low"/>
    <s v="High"/>
  </r>
  <r>
    <n v="553"/>
    <d v="2011-01-25T00:00:00"/>
    <n v="1"/>
    <n v="0"/>
    <n v="1"/>
    <n v="5"/>
    <b v="0"/>
    <n v="2"/>
    <n v="1"/>
    <n v="0.14000000000000001"/>
    <n v="0.13639999999999999"/>
    <n v="0.74"/>
    <n v="0.22389999999999999"/>
    <n v="0"/>
    <n v="9"/>
    <n v="9"/>
    <b v="1"/>
    <x v="0"/>
    <s v="Tuesday"/>
    <s v="Weekday"/>
    <s v="Spring"/>
    <s v="Clear"/>
    <s v="Off Peak"/>
    <s v="Low"/>
    <s v="High"/>
  </r>
  <r>
    <n v="554"/>
    <d v="2011-01-25T00:00:00"/>
    <n v="1"/>
    <n v="0"/>
    <n v="1"/>
    <n v="6"/>
    <b v="0"/>
    <n v="2"/>
    <n v="1"/>
    <n v="0.16"/>
    <n v="0.18179999999999999"/>
    <n v="0.74"/>
    <n v="0.1045"/>
    <n v="1"/>
    <n v="35"/>
    <n v="36"/>
    <b v="1"/>
    <x v="0"/>
    <s v="Tuesday"/>
    <s v="Weekday"/>
    <s v="Spring"/>
    <s v="Clear"/>
    <s v="Off Peak"/>
    <s v="Low"/>
    <s v="High"/>
  </r>
  <r>
    <n v="555"/>
    <d v="2011-01-25T00:00:00"/>
    <n v="1"/>
    <n v="0"/>
    <n v="1"/>
    <n v="7"/>
    <b v="0"/>
    <n v="2"/>
    <n v="1"/>
    <n v="0.16"/>
    <n v="0.1515"/>
    <n v="0.74"/>
    <n v="0.22389999999999999"/>
    <n v="5"/>
    <n v="103"/>
    <n v="108"/>
    <b v="1"/>
    <x v="0"/>
    <s v="Tuesday"/>
    <s v="Weekday"/>
    <s v="Spring"/>
    <s v="Clear"/>
    <s v="Morning Peak"/>
    <s v="Low"/>
    <s v="High"/>
  </r>
  <r>
    <n v="556"/>
    <d v="2011-01-25T00:00:00"/>
    <n v="1"/>
    <n v="0"/>
    <n v="1"/>
    <n v="8"/>
    <b v="0"/>
    <n v="2"/>
    <n v="2"/>
    <n v="0.16"/>
    <n v="0.18179999999999999"/>
    <n v="0.74"/>
    <n v="0.1343"/>
    <n v="5"/>
    <n v="233"/>
    <n v="238"/>
    <b v="1"/>
    <x v="0"/>
    <s v="Tuesday"/>
    <s v="Weekday"/>
    <s v="Spring"/>
    <s v="Mist"/>
    <s v="Morning Peak"/>
    <s v="Low"/>
    <s v="High"/>
  </r>
  <r>
    <n v="557"/>
    <d v="2011-01-25T00:00:00"/>
    <n v="1"/>
    <n v="0"/>
    <n v="1"/>
    <n v="9"/>
    <b v="0"/>
    <n v="2"/>
    <n v="2"/>
    <n v="0.2"/>
    <n v="0.2273"/>
    <n v="0.64"/>
    <n v="8.9599999999999999E-2"/>
    <n v="10"/>
    <n v="134"/>
    <n v="144"/>
    <b v="1"/>
    <x v="0"/>
    <s v="Tuesday"/>
    <s v="Weekday"/>
    <s v="Spring"/>
    <s v="Mist"/>
    <s v="Morning Peak"/>
    <s v="Low"/>
    <s v="Medium"/>
  </r>
  <r>
    <n v="558"/>
    <d v="2011-01-25T00:00:00"/>
    <n v="1"/>
    <n v="0"/>
    <n v="1"/>
    <n v="10"/>
    <b v="0"/>
    <n v="2"/>
    <n v="2"/>
    <n v="0.22"/>
    <n v="0.2424"/>
    <n v="0.6"/>
    <n v="0.1045"/>
    <n v="6"/>
    <n v="49"/>
    <n v="55"/>
    <b v="1"/>
    <x v="0"/>
    <s v="Tuesday"/>
    <s v="Weekday"/>
    <s v="Spring"/>
    <s v="Mist"/>
    <s v="Off Peak"/>
    <s v="Low"/>
    <s v="Medium"/>
  </r>
  <r>
    <n v="559"/>
    <d v="2011-01-25T00:00:00"/>
    <n v="1"/>
    <n v="0"/>
    <n v="1"/>
    <n v="11"/>
    <b v="0"/>
    <n v="2"/>
    <n v="2"/>
    <n v="0.24"/>
    <n v="0.2424"/>
    <n v="0.6"/>
    <n v="0.1343"/>
    <n v="6"/>
    <n v="55"/>
    <n v="61"/>
    <b v="1"/>
    <x v="0"/>
    <s v="Tuesday"/>
    <s v="Weekday"/>
    <s v="Spring"/>
    <s v="Mist"/>
    <s v="Off Peak"/>
    <s v="Low"/>
    <s v="Medium"/>
  </r>
  <r>
    <n v="560"/>
    <d v="2011-01-25T00:00:00"/>
    <n v="1"/>
    <n v="0"/>
    <n v="1"/>
    <n v="12"/>
    <b v="0"/>
    <n v="2"/>
    <n v="2"/>
    <n v="0.26"/>
    <n v="0.28789999999999999"/>
    <n v="0.56000000000000005"/>
    <n v="8.9599999999999999E-2"/>
    <n v="21"/>
    <n v="85"/>
    <n v="106"/>
    <b v="1"/>
    <x v="0"/>
    <s v="Tuesday"/>
    <s v="Weekday"/>
    <s v="Spring"/>
    <s v="Mist"/>
    <s v="Off Peak"/>
    <s v="Low"/>
    <s v="Medium"/>
  </r>
  <r>
    <n v="561"/>
    <d v="2011-01-25T00:00:00"/>
    <n v="1"/>
    <n v="0"/>
    <n v="1"/>
    <n v="13"/>
    <b v="0"/>
    <n v="2"/>
    <n v="2"/>
    <n v="0.26"/>
    <n v="0.2727"/>
    <n v="0.56000000000000005"/>
    <n v="0.1343"/>
    <n v="21"/>
    <n v="72"/>
    <n v="93"/>
    <b v="1"/>
    <x v="0"/>
    <s v="Tuesday"/>
    <s v="Weekday"/>
    <s v="Spring"/>
    <s v="Mist"/>
    <s v="Off Peak"/>
    <s v="Low"/>
    <s v="Medium"/>
  </r>
  <r>
    <n v="562"/>
    <d v="2011-01-25T00:00:00"/>
    <n v="1"/>
    <n v="0"/>
    <n v="1"/>
    <n v="14"/>
    <b v="0"/>
    <n v="2"/>
    <n v="2"/>
    <n v="0.3"/>
    <n v="0.33329999999999999"/>
    <n v="0.45"/>
    <n v="0"/>
    <n v="11"/>
    <n v="57"/>
    <n v="68"/>
    <b v="1"/>
    <x v="0"/>
    <s v="Tuesday"/>
    <s v="Weekday"/>
    <s v="Spring"/>
    <s v="Mist"/>
    <s v="Off Peak"/>
    <s v="Medium"/>
    <s v="Medium"/>
  </r>
  <r>
    <n v="563"/>
    <d v="2011-01-25T00:00:00"/>
    <n v="1"/>
    <n v="0"/>
    <n v="1"/>
    <n v="15"/>
    <b v="0"/>
    <n v="2"/>
    <n v="2"/>
    <n v="0.32"/>
    <n v="0.34849999999999998"/>
    <n v="0.42"/>
    <n v="0"/>
    <n v="21"/>
    <n v="63"/>
    <n v="84"/>
    <b v="1"/>
    <x v="0"/>
    <s v="Tuesday"/>
    <s v="Weekday"/>
    <s v="Spring"/>
    <s v="Mist"/>
    <s v="Off Peak"/>
    <s v="Medium"/>
    <s v="Medium"/>
  </r>
  <r>
    <n v="564"/>
    <d v="2011-01-25T00:00:00"/>
    <n v="1"/>
    <n v="0"/>
    <n v="1"/>
    <n v="16"/>
    <b v="0"/>
    <n v="2"/>
    <n v="2"/>
    <n v="0.32"/>
    <n v="0.34849999999999998"/>
    <n v="0.42"/>
    <n v="0"/>
    <n v="14"/>
    <n v="102"/>
    <n v="116"/>
    <b v="1"/>
    <x v="0"/>
    <s v="Tuesday"/>
    <s v="Weekday"/>
    <s v="Spring"/>
    <s v="Mist"/>
    <s v="Off Peak"/>
    <s v="Medium"/>
    <s v="Medium"/>
  </r>
  <r>
    <n v="565"/>
    <d v="2011-01-25T00:00:00"/>
    <n v="1"/>
    <n v="0"/>
    <n v="1"/>
    <n v="17"/>
    <b v="0"/>
    <n v="2"/>
    <n v="1"/>
    <n v="0.3"/>
    <n v="0.33329999999999999"/>
    <n v="0.45"/>
    <n v="0"/>
    <n v="14"/>
    <n v="208"/>
    <n v="222"/>
    <b v="1"/>
    <x v="0"/>
    <s v="Tuesday"/>
    <s v="Weekday"/>
    <s v="Spring"/>
    <s v="Clear"/>
    <s v="Evening Peak"/>
    <s v="Medium"/>
    <s v="Medium"/>
  </r>
  <r>
    <n v="566"/>
    <d v="2011-01-25T00:00:00"/>
    <n v="1"/>
    <n v="0"/>
    <n v="1"/>
    <n v="18"/>
    <b v="0"/>
    <n v="2"/>
    <n v="2"/>
    <n v="0.3"/>
    <n v="0.31819999999999998"/>
    <n v="0.49"/>
    <n v="8.9599999999999999E-2"/>
    <n v="7"/>
    <n v="218"/>
    <n v="225"/>
    <b v="1"/>
    <x v="0"/>
    <s v="Tuesday"/>
    <s v="Weekday"/>
    <s v="Spring"/>
    <s v="Mist"/>
    <s v="Evening Peak"/>
    <s v="Medium"/>
    <s v="Medium"/>
  </r>
  <r>
    <n v="567"/>
    <d v="2011-01-25T00:00:00"/>
    <n v="1"/>
    <n v="0"/>
    <n v="1"/>
    <n v="19"/>
    <b v="0"/>
    <n v="2"/>
    <n v="2"/>
    <n v="0.26"/>
    <n v="0.2576"/>
    <n v="0.65"/>
    <n v="0.16420000000000001"/>
    <n v="13"/>
    <n v="133"/>
    <n v="146"/>
    <b v="1"/>
    <x v="0"/>
    <s v="Tuesday"/>
    <s v="Weekday"/>
    <s v="Spring"/>
    <s v="Mist"/>
    <s v="Evening Peak"/>
    <s v="Low"/>
    <s v="Medium"/>
  </r>
  <r>
    <n v="568"/>
    <d v="2011-01-25T00:00:00"/>
    <n v="1"/>
    <n v="0"/>
    <n v="1"/>
    <n v="20"/>
    <b v="0"/>
    <n v="2"/>
    <n v="1"/>
    <n v="0.24"/>
    <n v="0.2273"/>
    <n v="0.65"/>
    <n v="0.19400000000000001"/>
    <n v="16"/>
    <n v="103"/>
    <n v="119"/>
    <b v="1"/>
    <x v="0"/>
    <s v="Tuesday"/>
    <s v="Weekday"/>
    <s v="Spring"/>
    <s v="Clear"/>
    <s v="Evening Peak"/>
    <s v="Low"/>
    <s v="Medium"/>
  </r>
  <r>
    <n v="569"/>
    <d v="2011-01-25T00:00:00"/>
    <n v="1"/>
    <n v="0"/>
    <n v="1"/>
    <n v="21"/>
    <b v="0"/>
    <n v="2"/>
    <n v="1"/>
    <n v="0.24"/>
    <n v="0.2273"/>
    <n v="0.65"/>
    <n v="0.19400000000000001"/>
    <n v="5"/>
    <n v="40"/>
    <n v="45"/>
    <b v="1"/>
    <x v="0"/>
    <s v="Tuesday"/>
    <s v="Weekday"/>
    <s v="Spring"/>
    <s v="Clear"/>
    <s v="Off Peak"/>
    <s v="Low"/>
    <s v="Medium"/>
  </r>
  <r>
    <n v="570"/>
    <d v="2011-01-25T00:00:00"/>
    <n v="1"/>
    <n v="0"/>
    <n v="1"/>
    <n v="22"/>
    <b v="0"/>
    <n v="2"/>
    <n v="1"/>
    <n v="0.22"/>
    <n v="0.2273"/>
    <n v="0.64"/>
    <n v="0.16420000000000001"/>
    <n v="4"/>
    <n v="49"/>
    <n v="53"/>
    <b v="1"/>
    <x v="0"/>
    <s v="Tuesday"/>
    <s v="Weekday"/>
    <s v="Spring"/>
    <s v="Clear"/>
    <s v="Off Peak"/>
    <s v="Low"/>
    <s v="Medium"/>
  </r>
  <r>
    <n v="571"/>
    <d v="2011-01-25T00:00:00"/>
    <n v="1"/>
    <n v="0"/>
    <n v="1"/>
    <n v="23"/>
    <b v="0"/>
    <n v="2"/>
    <n v="2"/>
    <n v="0.22"/>
    <n v="0.2273"/>
    <n v="0.64"/>
    <n v="0.16420000000000001"/>
    <n v="3"/>
    <n v="37"/>
    <n v="40"/>
    <b v="1"/>
    <x v="0"/>
    <s v="Tuesday"/>
    <s v="Weekday"/>
    <s v="Spring"/>
    <s v="Mist"/>
    <s v="Off Peak"/>
    <s v="Low"/>
    <s v="Medium"/>
  </r>
  <r>
    <n v="572"/>
    <d v="2011-01-26T00:00:00"/>
    <n v="1"/>
    <n v="0"/>
    <n v="1"/>
    <n v="0"/>
    <b v="0"/>
    <n v="3"/>
    <n v="2"/>
    <n v="0.22"/>
    <n v="0.2273"/>
    <n v="0.69"/>
    <n v="0.1343"/>
    <n v="3"/>
    <n v="14"/>
    <n v="17"/>
    <b v="1"/>
    <x v="0"/>
    <s v="Wednesday"/>
    <s v="Weekday"/>
    <s v="Spring"/>
    <s v="Mist"/>
    <s v="Off Peak"/>
    <s v="Low"/>
    <s v="Medium"/>
  </r>
  <r>
    <n v="573"/>
    <d v="2011-01-26T00:00:00"/>
    <n v="1"/>
    <n v="0"/>
    <n v="1"/>
    <n v="1"/>
    <b v="0"/>
    <n v="3"/>
    <n v="2"/>
    <n v="0.24"/>
    <n v="0.2424"/>
    <n v="0.65"/>
    <n v="0.1343"/>
    <n v="0"/>
    <n v="5"/>
    <n v="5"/>
    <b v="1"/>
    <x v="0"/>
    <s v="Wednesday"/>
    <s v="Weekday"/>
    <s v="Spring"/>
    <s v="Mist"/>
    <s v="Off Peak"/>
    <s v="Low"/>
    <s v="Medium"/>
  </r>
  <r>
    <n v="574"/>
    <d v="2011-01-26T00:00:00"/>
    <n v="1"/>
    <n v="0"/>
    <n v="1"/>
    <n v="2"/>
    <b v="0"/>
    <n v="3"/>
    <n v="3"/>
    <n v="0.22"/>
    <n v="0.2273"/>
    <n v="0.69"/>
    <n v="0.19400000000000001"/>
    <n v="3"/>
    <n v="7"/>
    <n v="10"/>
    <b v="1"/>
    <x v="0"/>
    <s v="Wednesday"/>
    <s v="Weekday"/>
    <s v="Spring"/>
    <s v="Light Rain"/>
    <s v="Off Peak"/>
    <s v="Low"/>
    <s v="Medium"/>
  </r>
  <r>
    <n v="575"/>
    <d v="2011-01-26T00:00:00"/>
    <n v="1"/>
    <n v="0"/>
    <n v="1"/>
    <n v="5"/>
    <b v="0"/>
    <n v="3"/>
    <n v="3"/>
    <n v="0.2"/>
    <n v="0.18179999999999999"/>
    <n v="0.86"/>
    <n v="0.28360000000000002"/>
    <n v="0"/>
    <n v="1"/>
    <n v="1"/>
    <b v="1"/>
    <x v="0"/>
    <s v="Wednesday"/>
    <s v="Weekday"/>
    <s v="Spring"/>
    <s v="Light Rain"/>
    <s v="Off Peak"/>
    <s v="Low"/>
    <s v="High"/>
  </r>
  <r>
    <n v="576"/>
    <d v="2011-01-26T00:00:00"/>
    <n v="1"/>
    <n v="0"/>
    <n v="1"/>
    <n v="6"/>
    <b v="0"/>
    <n v="3"/>
    <n v="3"/>
    <n v="0.2"/>
    <n v="0.18179999999999999"/>
    <n v="0.86"/>
    <n v="0.28360000000000002"/>
    <n v="0"/>
    <n v="8"/>
    <n v="8"/>
    <b v="1"/>
    <x v="0"/>
    <s v="Wednesday"/>
    <s v="Weekday"/>
    <s v="Spring"/>
    <s v="Light Rain"/>
    <s v="Off Peak"/>
    <s v="Low"/>
    <s v="High"/>
  </r>
  <r>
    <n v="577"/>
    <d v="2011-01-26T00:00:00"/>
    <n v="1"/>
    <n v="0"/>
    <n v="1"/>
    <n v="7"/>
    <b v="0"/>
    <n v="3"/>
    <n v="3"/>
    <n v="0.22"/>
    <n v="0.21210000000000001"/>
    <n v="0.87"/>
    <n v="0.29849999999999999"/>
    <n v="1"/>
    <n v="29"/>
    <n v="30"/>
    <b v="1"/>
    <x v="0"/>
    <s v="Wednesday"/>
    <s v="Weekday"/>
    <s v="Spring"/>
    <s v="Light Rain"/>
    <s v="Morning Peak"/>
    <s v="Low"/>
    <s v="High"/>
  </r>
  <r>
    <n v="578"/>
    <d v="2011-01-26T00:00:00"/>
    <n v="1"/>
    <n v="0"/>
    <n v="1"/>
    <n v="8"/>
    <b v="0"/>
    <n v="3"/>
    <n v="3"/>
    <n v="0.22"/>
    <n v="0.21210000000000001"/>
    <n v="0.87"/>
    <n v="0.29849999999999999"/>
    <n v="3"/>
    <n v="69"/>
    <n v="72"/>
    <b v="1"/>
    <x v="0"/>
    <s v="Wednesday"/>
    <s v="Weekday"/>
    <s v="Spring"/>
    <s v="Light Rain"/>
    <s v="Morning Peak"/>
    <s v="Low"/>
    <s v="High"/>
  </r>
  <r>
    <n v="579"/>
    <d v="2011-01-26T00:00:00"/>
    <n v="1"/>
    <n v="0"/>
    <n v="1"/>
    <n v="9"/>
    <b v="0"/>
    <n v="3"/>
    <n v="3"/>
    <n v="0.22"/>
    <n v="0.21210000000000001"/>
    <n v="0.87"/>
    <n v="0.29849999999999999"/>
    <n v="3"/>
    <n v="55"/>
    <n v="58"/>
    <b v="1"/>
    <x v="0"/>
    <s v="Wednesday"/>
    <s v="Weekday"/>
    <s v="Spring"/>
    <s v="Light Rain"/>
    <s v="Morning Peak"/>
    <s v="Low"/>
    <s v="High"/>
  </r>
  <r>
    <n v="580"/>
    <d v="2011-01-26T00:00:00"/>
    <n v="1"/>
    <n v="0"/>
    <n v="1"/>
    <n v="10"/>
    <b v="0"/>
    <n v="3"/>
    <n v="3"/>
    <n v="0.22"/>
    <n v="0.21210000000000001"/>
    <n v="0.93"/>
    <n v="0.28360000000000002"/>
    <n v="2"/>
    <n v="26"/>
    <n v="28"/>
    <b v="1"/>
    <x v="0"/>
    <s v="Wednesday"/>
    <s v="Weekday"/>
    <s v="Spring"/>
    <s v="Light Rain"/>
    <s v="Off Peak"/>
    <s v="Low"/>
    <s v="High"/>
  </r>
  <r>
    <n v="581"/>
    <d v="2011-01-26T00:00:00"/>
    <n v="1"/>
    <n v="0"/>
    <n v="1"/>
    <n v="11"/>
    <b v="0"/>
    <n v="3"/>
    <n v="3"/>
    <n v="0.22"/>
    <n v="0.19700000000000001"/>
    <n v="0.93"/>
    <n v="0.32840000000000003"/>
    <n v="6"/>
    <n v="35"/>
    <n v="41"/>
    <b v="1"/>
    <x v="0"/>
    <s v="Wednesday"/>
    <s v="Weekday"/>
    <s v="Spring"/>
    <s v="Light Rain"/>
    <s v="Off Peak"/>
    <s v="Low"/>
    <s v="High"/>
  </r>
  <r>
    <n v="582"/>
    <d v="2011-01-26T00:00:00"/>
    <n v="1"/>
    <n v="0"/>
    <n v="1"/>
    <n v="12"/>
    <b v="0"/>
    <n v="3"/>
    <n v="3"/>
    <n v="0.22"/>
    <n v="0.19700000000000001"/>
    <n v="0.93"/>
    <n v="0.32840000000000003"/>
    <n v="7"/>
    <n v="41"/>
    <n v="48"/>
    <b v="1"/>
    <x v="0"/>
    <s v="Wednesday"/>
    <s v="Weekday"/>
    <s v="Spring"/>
    <s v="Light Rain"/>
    <s v="Off Peak"/>
    <s v="Low"/>
    <s v="High"/>
  </r>
  <r>
    <n v="583"/>
    <d v="2011-01-26T00:00:00"/>
    <n v="1"/>
    <n v="0"/>
    <n v="1"/>
    <n v="13"/>
    <b v="0"/>
    <n v="3"/>
    <n v="3"/>
    <n v="0.22"/>
    <n v="0.19700000000000001"/>
    <n v="0.93"/>
    <n v="0.32840000000000003"/>
    <n v="4"/>
    <n v="43"/>
    <n v="47"/>
    <b v="1"/>
    <x v="0"/>
    <s v="Wednesday"/>
    <s v="Weekday"/>
    <s v="Spring"/>
    <s v="Light Rain"/>
    <s v="Off Peak"/>
    <s v="Low"/>
    <s v="High"/>
  </r>
  <r>
    <n v="584"/>
    <d v="2011-01-26T00:00:00"/>
    <n v="1"/>
    <n v="0"/>
    <n v="1"/>
    <n v="14"/>
    <b v="0"/>
    <n v="3"/>
    <n v="3"/>
    <n v="0.22"/>
    <n v="0.19700000000000001"/>
    <n v="0.93"/>
    <n v="0.35820000000000002"/>
    <n v="0"/>
    <n v="36"/>
    <n v="36"/>
    <b v="1"/>
    <x v="0"/>
    <s v="Wednesday"/>
    <s v="Weekday"/>
    <s v="Spring"/>
    <s v="Light Rain"/>
    <s v="Off Peak"/>
    <s v="Low"/>
    <s v="High"/>
  </r>
  <r>
    <n v="585"/>
    <d v="2011-01-26T00:00:00"/>
    <n v="1"/>
    <n v="0"/>
    <n v="1"/>
    <n v="15"/>
    <b v="0"/>
    <n v="3"/>
    <n v="3"/>
    <n v="0.22"/>
    <n v="0.18179999999999999"/>
    <n v="0.93"/>
    <n v="0.4627"/>
    <n v="1"/>
    <n v="42"/>
    <n v="43"/>
    <b v="1"/>
    <x v="0"/>
    <s v="Wednesday"/>
    <s v="Weekday"/>
    <s v="Spring"/>
    <s v="Light Rain"/>
    <s v="Off Peak"/>
    <s v="Low"/>
    <s v="High"/>
  </r>
  <r>
    <n v="586"/>
    <d v="2011-01-26T00:00:00"/>
    <n v="1"/>
    <n v="0"/>
    <n v="1"/>
    <n v="16"/>
    <b v="0"/>
    <n v="3"/>
    <n v="4"/>
    <n v="0.22"/>
    <n v="0.19700000000000001"/>
    <n v="0.93"/>
    <n v="0.32840000000000003"/>
    <n v="1"/>
    <n v="35"/>
    <n v="36"/>
    <b v="1"/>
    <x v="0"/>
    <s v="Wednesday"/>
    <s v="Weekday"/>
    <s v="Spring"/>
    <s v="Heavy Rain"/>
    <s v="Off Peak"/>
    <s v="Low"/>
    <s v="High"/>
  </r>
  <r>
    <n v="587"/>
    <d v="2011-01-26T00:00:00"/>
    <n v="1"/>
    <n v="0"/>
    <n v="1"/>
    <n v="17"/>
    <b v="0"/>
    <n v="3"/>
    <n v="3"/>
    <n v="0.2"/>
    <n v="0.18179999999999999"/>
    <n v="0.93"/>
    <n v="0.35820000000000002"/>
    <n v="0"/>
    <n v="26"/>
    <n v="26"/>
    <b v="1"/>
    <x v="0"/>
    <s v="Wednesday"/>
    <s v="Weekday"/>
    <s v="Spring"/>
    <s v="Light Rain"/>
    <s v="Evening Peak"/>
    <s v="Low"/>
    <s v="High"/>
  </r>
  <r>
    <n v="588"/>
    <d v="2011-01-27T00:00:00"/>
    <n v="1"/>
    <n v="0"/>
    <n v="1"/>
    <n v="16"/>
    <b v="0"/>
    <n v="4"/>
    <n v="1"/>
    <n v="0.22"/>
    <n v="0.2273"/>
    <n v="0.55000000000000004"/>
    <n v="0.19400000000000001"/>
    <n v="1"/>
    <n v="23"/>
    <n v="24"/>
    <b v="1"/>
    <x v="0"/>
    <s v="Thursday"/>
    <s v="Weekday"/>
    <s v="Spring"/>
    <s v="Clear"/>
    <s v="Off Peak"/>
    <s v="Low"/>
    <s v="Medium"/>
  </r>
  <r>
    <n v="589"/>
    <d v="2011-01-27T00:00:00"/>
    <n v="1"/>
    <n v="0"/>
    <n v="1"/>
    <n v="17"/>
    <b v="0"/>
    <n v="4"/>
    <n v="1"/>
    <n v="0.22"/>
    <n v="0.2424"/>
    <n v="0.55000000000000004"/>
    <n v="0.1045"/>
    <n v="2"/>
    <n v="82"/>
    <n v="84"/>
    <b v="1"/>
    <x v="0"/>
    <s v="Thursday"/>
    <s v="Weekday"/>
    <s v="Spring"/>
    <s v="Clear"/>
    <s v="Evening Peak"/>
    <s v="Low"/>
    <s v="Medium"/>
  </r>
  <r>
    <n v="590"/>
    <d v="2011-01-27T00:00:00"/>
    <n v="1"/>
    <n v="0"/>
    <n v="1"/>
    <n v="18"/>
    <b v="0"/>
    <n v="4"/>
    <n v="1"/>
    <n v="0.2"/>
    <n v="0.2273"/>
    <n v="0.69"/>
    <n v="8.9599999999999999E-2"/>
    <n v="3"/>
    <n v="101"/>
    <n v="104"/>
    <b v="1"/>
    <x v="0"/>
    <s v="Thursday"/>
    <s v="Weekday"/>
    <s v="Spring"/>
    <s v="Clear"/>
    <s v="Evening Peak"/>
    <s v="Low"/>
    <s v="Medium"/>
  </r>
  <r>
    <n v="591"/>
    <d v="2011-01-27T00:00:00"/>
    <n v="1"/>
    <n v="0"/>
    <n v="1"/>
    <n v="19"/>
    <b v="0"/>
    <n v="4"/>
    <n v="1"/>
    <n v="0.2"/>
    <n v="0.2273"/>
    <n v="0.69"/>
    <n v="8.9599999999999999E-2"/>
    <n v="3"/>
    <n v="76"/>
    <n v="79"/>
    <b v="1"/>
    <x v="0"/>
    <s v="Thursday"/>
    <s v="Weekday"/>
    <s v="Spring"/>
    <s v="Clear"/>
    <s v="Evening Peak"/>
    <s v="Low"/>
    <s v="Medium"/>
  </r>
  <r>
    <n v="592"/>
    <d v="2011-01-27T00:00:00"/>
    <n v="1"/>
    <n v="0"/>
    <n v="1"/>
    <n v="20"/>
    <b v="0"/>
    <n v="4"/>
    <n v="1"/>
    <n v="0.18"/>
    <n v="0.21210000000000001"/>
    <n v="0.74"/>
    <n v="8.9599999999999999E-2"/>
    <n v="4"/>
    <n v="55"/>
    <n v="59"/>
    <b v="1"/>
    <x v="0"/>
    <s v="Thursday"/>
    <s v="Weekday"/>
    <s v="Spring"/>
    <s v="Clear"/>
    <s v="Evening Peak"/>
    <s v="Low"/>
    <s v="High"/>
  </r>
  <r>
    <n v="593"/>
    <d v="2011-01-27T00:00:00"/>
    <n v="1"/>
    <n v="0"/>
    <n v="1"/>
    <n v="21"/>
    <b v="0"/>
    <n v="4"/>
    <n v="1"/>
    <n v="0.18"/>
    <n v="0.21210000000000001"/>
    <n v="0.74"/>
    <n v="8.9599999999999999E-2"/>
    <n v="2"/>
    <n v="36"/>
    <n v="38"/>
    <b v="1"/>
    <x v="0"/>
    <s v="Thursday"/>
    <s v="Weekday"/>
    <s v="Spring"/>
    <s v="Clear"/>
    <s v="Off Peak"/>
    <s v="Low"/>
    <s v="High"/>
  </r>
  <r>
    <n v="594"/>
    <d v="2011-01-27T00:00:00"/>
    <n v="1"/>
    <n v="0"/>
    <n v="1"/>
    <n v="22"/>
    <b v="0"/>
    <n v="4"/>
    <n v="1"/>
    <n v="0.18"/>
    <n v="0.21210000000000001"/>
    <n v="0.74"/>
    <n v="8.9599999999999999E-2"/>
    <n v="0"/>
    <n v="27"/>
    <n v="27"/>
    <b v="1"/>
    <x v="0"/>
    <s v="Thursday"/>
    <s v="Weekday"/>
    <s v="Spring"/>
    <s v="Clear"/>
    <s v="Off Peak"/>
    <s v="Low"/>
    <s v="High"/>
  </r>
  <r>
    <n v="595"/>
    <d v="2011-01-27T00:00:00"/>
    <n v="1"/>
    <n v="0"/>
    <n v="1"/>
    <n v="23"/>
    <b v="0"/>
    <n v="4"/>
    <n v="1"/>
    <n v="0.18"/>
    <n v="0.19700000000000001"/>
    <n v="0.8"/>
    <n v="0.16420000000000001"/>
    <n v="0"/>
    <n v="16"/>
    <n v="16"/>
    <b v="1"/>
    <x v="0"/>
    <s v="Thursday"/>
    <s v="Weekday"/>
    <s v="Spring"/>
    <s v="Clear"/>
    <s v="Off Peak"/>
    <s v="Low"/>
    <s v="High"/>
  </r>
  <r>
    <n v="596"/>
    <d v="2011-01-28T00:00:00"/>
    <n v="1"/>
    <n v="0"/>
    <n v="1"/>
    <n v="0"/>
    <b v="0"/>
    <n v="5"/>
    <n v="2"/>
    <n v="0.2"/>
    <n v="0.21210000000000001"/>
    <n v="0.75"/>
    <n v="0.1343"/>
    <n v="0"/>
    <n v="9"/>
    <n v="9"/>
    <b v="1"/>
    <x v="0"/>
    <s v="Friday"/>
    <s v="Weekday"/>
    <s v="Spring"/>
    <s v="Mist"/>
    <s v="Off Peak"/>
    <s v="Low"/>
    <s v="High"/>
  </r>
  <r>
    <n v="597"/>
    <d v="2011-01-28T00:00:00"/>
    <n v="1"/>
    <n v="0"/>
    <n v="1"/>
    <n v="1"/>
    <b v="0"/>
    <n v="5"/>
    <n v="2"/>
    <n v="0.2"/>
    <n v="0.21210000000000001"/>
    <n v="0.75"/>
    <n v="0.1343"/>
    <n v="1"/>
    <n v="2"/>
    <n v="3"/>
    <b v="1"/>
    <x v="0"/>
    <s v="Friday"/>
    <s v="Weekday"/>
    <s v="Spring"/>
    <s v="Mist"/>
    <s v="Off Peak"/>
    <s v="Low"/>
    <s v="High"/>
  </r>
  <r>
    <n v="598"/>
    <d v="2011-01-28T00:00:00"/>
    <n v="1"/>
    <n v="0"/>
    <n v="1"/>
    <n v="2"/>
    <b v="0"/>
    <n v="5"/>
    <n v="2"/>
    <n v="0.2"/>
    <n v="0.21210000000000001"/>
    <n v="0.75"/>
    <n v="0.16420000000000001"/>
    <n v="0"/>
    <n v="2"/>
    <n v="2"/>
    <b v="1"/>
    <x v="0"/>
    <s v="Friday"/>
    <s v="Weekday"/>
    <s v="Spring"/>
    <s v="Mist"/>
    <s v="Off Peak"/>
    <s v="Low"/>
    <s v="High"/>
  </r>
  <r>
    <n v="599"/>
    <d v="2011-01-28T00:00:00"/>
    <n v="1"/>
    <n v="0"/>
    <n v="1"/>
    <n v="3"/>
    <b v="0"/>
    <n v="5"/>
    <n v="2"/>
    <n v="0.2"/>
    <n v="0.2273"/>
    <n v="0.75"/>
    <n v="0.1045"/>
    <n v="1"/>
    <n v="0"/>
    <n v="1"/>
    <b v="1"/>
    <x v="0"/>
    <s v="Friday"/>
    <s v="Weekday"/>
    <s v="Spring"/>
    <s v="Mist"/>
    <s v="Off Peak"/>
    <s v="Low"/>
    <s v="High"/>
  </r>
  <r>
    <n v="600"/>
    <d v="2011-01-28T00:00:00"/>
    <n v="1"/>
    <n v="0"/>
    <n v="1"/>
    <n v="5"/>
    <b v="0"/>
    <n v="5"/>
    <n v="2"/>
    <n v="0.18"/>
    <n v="0.21210000000000001"/>
    <n v="0.8"/>
    <n v="0.1045"/>
    <n v="0"/>
    <n v="4"/>
    <n v="4"/>
    <b v="1"/>
    <x v="0"/>
    <s v="Friday"/>
    <s v="Weekday"/>
    <s v="Spring"/>
    <s v="Mist"/>
    <s v="Off Peak"/>
    <s v="Low"/>
    <s v="High"/>
  </r>
  <r>
    <n v="601"/>
    <d v="2011-01-28T00:00:00"/>
    <n v="1"/>
    <n v="0"/>
    <n v="1"/>
    <n v="6"/>
    <b v="0"/>
    <n v="5"/>
    <n v="2"/>
    <n v="0.18"/>
    <n v="0.19700000000000001"/>
    <n v="0.8"/>
    <n v="0.1343"/>
    <n v="0"/>
    <n v="16"/>
    <n v="16"/>
    <b v="1"/>
    <x v="0"/>
    <s v="Friday"/>
    <s v="Weekday"/>
    <s v="Spring"/>
    <s v="Mist"/>
    <s v="Off Peak"/>
    <s v="Low"/>
    <s v="High"/>
  </r>
  <r>
    <n v="602"/>
    <d v="2011-01-28T00:00:00"/>
    <n v="1"/>
    <n v="0"/>
    <n v="1"/>
    <n v="7"/>
    <b v="0"/>
    <n v="5"/>
    <n v="2"/>
    <n v="0.16"/>
    <n v="0.19700000000000001"/>
    <n v="0.86"/>
    <n v="8.9599999999999999E-2"/>
    <n v="2"/>
    <n v="58"/>
    <n v="60"/>
    <b v="1"/>
    <x v="0"/>
    <s v="Friday"/>
    <s v="Weekday"/>
    <s v="Spring"/>
    <s v="Mist"/>
    <s v="Morning Peak"/>
    <s v="Low"/>
    <s v="High"/>
  </r>
  <r>
    <n v="603"/>
    <d v="2011-01-28T00:00:00"/>
    <n v="1"/>
    <n v="0"/>
    <n v="1"/>
    <n v="8"/>
    <b v="0"/>
    <n v="5"/>
    <n v="2"/>
    <n v="0.16"/>
    <n v="0.19700000000000001"/>
    <n v="0.86"/>
    <n v="8.9599999999999999E-2"/>
    <n v="2"/>
    <n v="155"/>
    <n v="157"/>
    <b v="1"/>
    <x v="0"/>
    <s v="Friday"/>
    <s v="Weekday"/>
    <s v="Spring"/>
    <s v="Mist"/>
    <s v="Morning Peak"/>
    <s v="Low"/>
    <s v="High"/>
  </r>
  <r>
    <n v="604"/>
    <d v="2011-01-28T00:00:00"/>
    <n v="1"/>
    <n v="0"/>
    <n v="1"/>
    <n v="9"/>
    <b v="0"/>
    <n v="5"/>
    <n v="3"/>
    <n v="0.18"/>
    <n v="0.21210000000000001"/>
    <n v="0.86"/>
    <n v="8.9599999999999999E-2"/>
    <n v="6"/>
    <n v="95"/>
    <n v="101"/>
    <b v="1"/>
    <x v="0"/>
    <s v="Friday"/>
    <s v="Weekday"/>
    <s v="Spring"/>
    <s v="Light Rain"/>
    <s v="Morning Peak"/>
    <s v="Low"/>
    <s v="High"/>
  </r>
  <r>
    <n v="605"/>
    <d v="2011-01-28T00:00:00"/>
    <n v="1"/>
    <n v="0"/>
    <n v="1"/>
    <n v="10"/>
    <b v="0"/>
    <n v="5"/>
    <n v="3"/>
    <n v="0.18"/>
    <n v="0.21210000000000001"/>
    <n v="0.86"/>
    <n v="0.1045"/>
    <n v="0"/>
    <n v="49"/>
    <n v="49"/>
    <b v="1"/>
    <x v="0"/>
    <s v="Friday"/>
    <s v="Weekday"/>
    <s v="Spring"/>
    <s v="Light Rain"/>
    <s v="Off Peak"/>
    <s v="Low"/>
    <s v="High"/>
  </r>
  <r>
    <n v="606"/>
    <d v="2011-01-28T00:00:00"/>
    <n v="1"/>
    <n v="0"/>
    <n v="1"/>
    <n v="11"/>
    <b v="0"/>
    <n v="5"/>
    <n v="3"/>
    <n v="0.18"/>
    <n v="0.21210000000000001"/>
    <n v="0.93"/>
    <n v="0.1045"/>
    <n v="0"/>
    <n v="30"/>
    <n v="30"/>
    <b v="1"/>
    <x v="0"/>
    <s v="Friday"/>
    <s v="Weekday"/>
    <s v="Spring"/>
    <s v="Light Rain"/>
    <s v="Off Peak"/>
    <s v="Low"/>
    <s v="High"/>
  </r>
  <r>
    <n v="607"/>
    <d v="2011-01-28T00:00:00"/>
    <n v="1"/>
    <n v="0"/>
    <n v="1"/>
    <n v="12"/>
    <b v="0"/>
    <n v="5"/>
    <n v="3"/>
    <n v="0.18"/>
    <n v="0.21210000000000001"/>
    <n v="0.93"/>
    <n v="0.1045"/>
    <n v="1"/>
    <n v="28"/>
    <n v="29"/>
    <b v="1"/>
    <x v="0"/>
    <s v="Friday"/>
    <s v="Weekday"/>
    <s v="Spring"/>
    <s v="Light Rain"/>
    <s v="Off Peak"/>
    <s v="Low"/>
    <s v="High"/>
  </r>
  <r>
    <n v="608"/>
    <d v="2011-01-28T00:00:00"/>
    <n v="1"/>
    <n v="0"/>
    <n v="1"/>
    <n v="13"/>
    <b v="0"/>
    <n v="5"/>
    <n v="3"/>
    <n v="0.18"/>
    <n v="0.21210000000000001"/>
    <n v="0.93"/>
    <n v="0.1045"/>
    <n v="0"/>
    <n v="31"/>
    <n v="31"/>
    <b v="1"/>
    <x v="0"/>
    <s v="Friday"/>
    <s v="Weekday"/>
    <s v="Spring"/>
    <s v="Light Rain"/>
    <s v="Off Peak"/>
    <s v="Low"/>
    <s v="High"/>
  </r>
  <r>
    <n v="609"/>
    <d v="2011-01-28T00:00:00"/>
    <n v="1"/>
    <n v="0"/>
    <n v="1"/>
    <n v="14"/>
    <b v="0"/>
    <n v="5"/>
    <n v="3"/>
    <n v="0.22"/>
    <n v="0.2727"/>
    <n v="0.8"/>
    <n v="0"/>
    <n v="2"/>
    <n v="36"/>
    <n v="38"/>
    <b v="1"/>
    <x v="0"/>
    <s v="Friday"/>
    <s v="Weekday"/>
    <s v="Spring"/>
    <s v="Light Rain"/>
    <s v="Off Peak"/>
    <s v="Low"/>
    <s v="High"/>
  </r>
  <r>
    <n v="610"/>
    <d v="2011-01-28T00:00:00"/>
    <n v="1"/>
    <n v="0"/>
    <n v="1"/>
    <n v="15"/>
    <b v="0"/>
    <n v="5"/>
    <n v="2"/>
    <n v="0.2"/>
    <n v="0.2576"/>
    <n v="0.86"/>
    <n v="0"/>
    <n v="1"/>
    <n v="40"/>
    <n v="41"/>
    <b v="1"/>
    <x v="0"/>
    <s v="Friday"/>
    <s v="Weekday"/>
    <s v="Spring"/>
    <s v="Mist"/>
    <s v="Off Peak"/>
    <s v="Low"/>
    <s v="Hig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10">
  <r>
    <n v="1"/>
    <d v="2011-01-01T00:00:00"/>
    <n v="1"/>
    <n v="0"/>
    <n v="1"/>
    <x v="0"/>
    <b v="0"/>
    <n v="6"/>
    <n v="1"/>
    <n v="0.24"/>
    <n v="0.28789999999999999"/>
    <n v="0.81"/>
    <n v="0"/>
    <n v="3"/>
    <n v="13"/>
    <n v="16"/>
    <b v="1"/>
    <s v="January"/>
    <s v="Saturday"/>
    <s v="Weekend"/>
    <s v="Spring"/>
    <x v="0"/>
    <s v="Off Peak"/>
    <s v="Low"/>
    <s v="High"/>
  </r>
  <r>
    <n v="2"/>
    <d v="2011-01-01T00:00:00"/>
    <n v="1"/>
    <n v="0"/>
    <n v="1"/>
    <x v="1"/>
    <b v="0"/>
    <n v="6"/>
    <n v="1"/>
    <n v="0.22"/>
    <n v="0.2727"/>
    <n v="0.8"/>
    <n v="0"/>
    <n v="8"/>
    <n v="32"/>
    <n v="40"/>
    <b v="1"/>
    <s v="January"/>
    <s v="Saturday"/>
    <s v="Weekend"/>
    <s v="Spring"/>
    <x v="0"/>
    <s v="Off Peak"/>
    <s v="Low"/>
    <s v="High"/>
  </r>
  <r>
    <n v="3"/>
    <d v="2011-01-01T00:00:00"/>
    <n v="1"/>
    <n v="0"/>
    <n v="1"/>
    <x v="2"/>
    <b v="0"/>
    <n v="6"/>
    <n v="1"/>
    <n v="0.22"/>
    <n v="0.2727"/>
    <n v="0.8"/>
    <n v="0"/>
    <n v="5"/>
    <n v="27"/>
    <n v="32"/>
    <b v="1"/>
    <s v="January"/>
    <s v="Saturday"/>
    <s v="Weekend"/>
    <s v="Spring"/>
    <x v="0"/>
    <s v="Off Peak"/>
    <s v="Low"/>
    <s v="High"/>
  </r>
  <r>
    <n v="4"/>
    <d v="2011-01-01T00:00:00"/>
    <n v="1"/>
    <n v="0"/>
    <n v="1"/>
    <x v="3"/>
    <b v="0"/>
    <n v="6"/>
    <n v="1"/>
    <n v="0.24"/>
    <n v="0.28789999999999999"/>
    <n v="0.75"/>
    <n v="0"/>
    <n v="3"/>
    <n v="10"/>
    <n v="13"/>
    <b v="1"/>
    <s v="January"/>
    <s v="Saturday"/>
    <s v="Weekend"/>
    <s v="Spring"/>
    <x v="0"/>
    <s v="Off Peak"/>
    <s v="Low"/>
    <s v="High"/>
  </r>
  <r>
    <n v="5"/>
    <d v="2011-01-01T00:00:00"/>
    <n v="1"/>
    <n v="0"/>
    <n v="1"/>
    <x v="4"/>
    <b v="0"/>
    <n v="6"/>
    <n v="1"/>
    <n v="0.24"/>
    <n v="0.28789999999999999"/>
    <n v="0.75"/>
    <n v="0"/>
    <n v="0"/>
    <n v="1"/>
    <n v="1"/>
    <b v="1"/>
    <s v="January"/>
    <s v="Saturday"/>
    <s v="Weekend"/>
    <s v="Spring"/>
    <x v="0"/>
    <s v="Off Peak"/>
    <s v="Low"/>
    <s v="High"/>
  </r>
  <r>
    <n v="6"/>
    <d v="2011-01-01T00:00:00"/>
    <n v="1"/>
    <n v="0"/>
    <n v="1"/>
    <x v="5"/>
    <b v="0"/>
    <n v="6"/>
    <n v="2"/>
    <n v="0.24"/>
    <n v="0.2576"/>
    <n v="0.75"/>
    <n v="8.9599999999999999E-2"/>
    <n v="0"/>
    <n v="1"/>
    <n v="1"/>
    <b v="1"/>
    <s v="January"/>
    <s v="Saturday"/>
    <s v="Weekend"/>
    <s v="Spring"/>
    <x v="1"/>
    <s v="Off Peak"/>
    <s v="Low"/>
    <s v="High"/>
  </r>
  <r>
    <n v="7"/>
    <d v="2011-01-01T00:00:00"/>
    <n v="1"/>
    <n v="0"/>
    <n v="1"/>
    <x v="6"/>
    <b v="0"/>
    <n v="6"/>
    <n v="1"/>
    <n v="0.22"/>
    <n v="0.2727"/>
    <n v="0.8"/>
    <n v="0"/>
    <n v="2"/>
    <n v="0"/>
    <n v="2"/>
    <b v="1"/>
    <s v="January"/>
    <s v="Saturday"/>
    <s v="Weekend"/>
    <s v="Spring"/>
    <x v="0"/>
    <s v="Off Peak"/>
    <s v="Low"/>
    <s v="High"/>
  </r>
  <r>
    <n v="8"/>
    <d v="2011-01-01T00:00:00"/>
    <n v="1"/>
    <n v="0"/>
    <n v="1"/>
    <x v="7"/>
    <b v="0"/>
    <n v="6"/>
    <n v="1"/>
    <n v="0.2"/>
    <n v="0.2576"/>
    <n v="0.86"/>
    <n v="0"/>
    <n v="1"/>
    <n v="2"/>
    <n v="3"/>
    <b v="1"/>
    <s v="January"/>
    <s v="Saturday"/>
    <s v="Weekend"/>
    <s v="Spring"/>
    <x v="0"/>
    <s v="Morning Peak"/>
    <s v="Low"/>
    <s v="High"/>
  </r>
  <r>
    <n v="9"/>
    <d v="2011-01-01T00:00:00"/>
    <n v="1"/>
    <n v="0"/>
    <n v="1"/>
    <x v="8"/>
    <b v="0"/>
    <n v="6"/>
    <n v="1"/>
    <n v="0.24"/>
    <n v="0"/>
    <n v="0.75"/>
    <n v="0"/>
    <n v="1"/>
    <n v="7"/>
    <n v="8"/>
    <b v="1"/>
    <s v="January"/>
    <s v="Saturday"/>
    <s v="Weekend"/>
    <s v="Spring"/>
    <x v="0"/>
    <s v="Morning Peak"/>
    <s v="Low"/>
    <s v="High"/>
  </r>
  <r>
    <n v="10"/>
    <d v="2011-01-01T00:00:00"/>
    <n v="1"/>
    <n v="0"/>
    <n v="1"/>
    <x v="9"/>
    <b v="0"/>
    <n v="6"/>
    <n v="1"/>
    <n v="0.32"/>
    <n v="0.34849999999999998"/>
    <n v="0.76"/>
    <n v="0"/>
    <n v="8"/>
    <n v="6"/>
    <n v="14"/>
    <b v="1"/>
    <s v="January"/>
    <s v="Saturday"/>
    <s v="Weekend"/>
    <s v="Spring"/>
    <x v="0"/>
    <s v="Morning Peak"/>
    <s v="Medium"/>
    <s v="High"/>
  </r>
  <r>
    <n v="11"/>
    <d v="2011-01-01T00:00:00"/>
    <n v="1"/>
    <n v="0"/>
    <n v="1"/>
    <x v="10"/>
    <b v="0"/>
    <n v="6"/>
    <n v="1"/>
    <n v="0.38"/>
    <n v="0.39389999999999997"/>
    <n v="0.76"/>
    <n v="0.25369999999999998"/>
    <n v="12"/>
    <n v="24"/>
    <n v="36"/>
    <b v="1"/>
    <s v="January"/>
    <s v="Saturday"/>
    <s v="Weekend"/>
    <s v="Spring"/>
    <x v="0"/>
    <s v="Off Peak"/>
    <s v="Medium"/>
    <s v="High"/>
  </r>
  <r>
    <n v="12"/>
    <d v="2011-01-01T00:00:00"/>
    <n v="1"/>
    <n v="0"/>
    <n v="1"/>
    <x v="11"/>
    <b v="0"/>
    <n v="6"/>
    <n v="1"/>
    <n v="0.36"/>
    <n v="0.33329999999999999"/>
    <n v="0.81"/>
    <n v="0.28360000000000002"/>
    <n v="26"/>
    <n v="30"/>
    <n v="56"/>
    <b v="1"/>
    <s v="January"/>
    <s v="Saturday"/>
    <s v="Weekend"/>
    <s v="Spring"/>
    <x v="0"/>
    <s v="Off Peak"/>
    <s v="Medium"/>
    <s v="High"/>
  </r>
  <r>
    <n v="13"/>
    <d v="2011-01-01T00:00:00"/>
    <n v="1"/>
    <n v="0"/>
    <n v="1"/>
    <x v="12"/>
    <b v="0"/>
    <n v="6"/>
    <n v="1"/>
    <n v="0.42"/>
    <n v="0.42420000000000002"/>
    <n v="0.77"/>
    <n v="0.28360000000000002"/>
    <n v="29"/>
    <n v="55"/>
    <n v="84"/>
    <b v="1"/>
    <s v="January"/>
    <s v="Saturday"/>
    <s v="Weekend"/>
    <s v="Spring"/>
    <x v="0"/>
    <s v="Off Peak"/>
    <s v="Medium"/>
    <s v="High"/>
  </r>
  <r>
    <n v="14"/>
    <d v="2011-01-01T00:00:00"/>
    <n v="1"/>
    <n v="0"/>
    <n v="1"/>
    <x v="13"/>
    <b v="0"/>
    <n v="6"/>
    <n v="2"/>
    <n v="0.46"/>
    <n v="0.45450000000000002"/>
    <n v="0.72"/>
    <n v="0.29849999999999999"/>
    <n v="47"/>
    <n v="47"/>
    <n v="94"/>
    <b v="1"/>
    <s v="January"/>
    <s v="Saturday"/>
    <s v="Weekend"/>
    <s v="Spring"/>
    <x v="1"/>
    <s v="Off Peak"/>
    <s v="Medium"/>
    <s v="High"/>
  </r>
  <r>
    <n v="15"/>
    <d v="2011-01-01T00:00:00"/>
    <n v="1"/>
    <n v="0"/>
    <n v="1"/>
    <x v="14"/>
    <b v="0"/>
    <n v="6"/>
    <n v="2"/>
    <n v="0.46"/>
    <n v="0.45450000000000002"/>
    <n v="0.72"/>
    <n v="0.28360000000000002"/>
    <n v="35"/>
    <n v="71"/>
    <n v="106"/>
    <b v="1"/>
    <s v="January"/>
    <s v="Saturday"/>
    <s v="Weekend"/>
    <s v="Spring"/>
    <x v="1"/>
    <s v="Off Peak"/>
    <s v="Medium"/>
    <s v="High"/>
  </r>
  <r>
    <n v="16"/>
    <d v="2011-01-01T00:00:00"/>
    <n v="1"/>
    <n v="0"/>
    <n v="1"/>
    <x v="15"/>
    <b v="0"/>
    <n v="6"/>
    <n v="2"/>
    <n v="0.44"/>
    <n v="0.43940000000000001"/>
    <n v="0.77"/>
    <n v="0.29849999999999999"/>
    <n v="40"/>
    <n v="70"/>
    <n v="110"/>
    <b v="1"/>
    <s v="January"/>
    <s v="Saturday"/>
    <s v="Weekend"/>
    <s v="Spring"/>
    <x v="1"/>
    <s v="Off Peak"/>
    <s v="Medium"/>
    <s v="High"/>
  </r>
  <r>
    <n v="17"/>
    <d v="2011-01-01T00:00:00"/>
    <n v="1"/>
    <n v="0"/>
    <n v="1"/>
    <x v="16"/>
    <b v="0"/>
    <n v="6"/>
    <n v="2"/>
    <n v="0.42"/>
    <n v="0.42420000000000002"/>
    <n v="0.82"/>
    <n v="0.29849999999999999"/>
    <n v="41"/>
    <n v="52"/>
    <n v="93"/>
    <b v="1"/>
    <s v="January"/>
    <s v="Saturday"/>
    <s v="Weekend"/>
    <s v="Spring"/>
    <x v="1"/>
    <s v="Off Peak"/>
    <s v="Medium"/>
    <s v="High"/>
  </r>
  <r>
    <n v="18"/>
    <d v="2011-01-01T00:00:00"/>
    <n v="1"/>
    <n v="0"/>
    <n v="1"/>
    <x v="17"/>
    <b v="0"/>
    <n v="6"/>
    <n v="2"/>
    <n v="0.44"/>
    <n v="0"/>
    <n v="0.82"/>
    <n v="0.28360000000000002"/>
    <n v="15"/>
    <n v="52"/>
    <n v="67"/>
    <b v="1"/>
    <s v="January"/>
    <s v="Saturday"/>
    <s v="Weekend"/>
    <s v="Spring"/>
    <x v="1"/>
    <s v="Evening Peak"/>
    <s v="Medium"/>
    <s v="High"/>
  </r>
  <r>
    <n v="19"/>
    <d v="2011-01-01T00:00:00"/>
    <n v="1"/>
    <n v="0"/>
    <n v="1"/>
    <x v="18"/>
    <b v="0"/>
    <n v="6"/>
    <n v="3"/>
    <n v="0.42"/>
    <n v="0.42420000000000002"/>
    <n v="0.88"/>
    <n v="0.25369999999999998"/>
    <n v="9"/>
    <n v="26"/>
    <n v="35"/>
    <b v="1"/>
    <s v="January"/>
    <s v="Saturday"/>
    <s v="Weekend"/>
    <s v="Spring"/>
    <x v="2"/>
    <s v="Evening Peak"/>
    <s v="Medium"/>
    <s v="High"/>
  </r>
  <r>
    <n v="20"/>
    <d v="2011-01-01T00:00:00"/>
    <n v="1"/>
    <n v="0"/>
    <n v="1"/>
    <x v="19"/>
    <b v="0"/>
    <n v="6"/>
    <n v="3"/>
    <n v="0.42"/>
    <n v="0.42420000000000002"/>
    <n v="0.88"/>
    <n v="0.25369999999999998"/>
    <n v="6"/>
    <n v="31"/>
    <n v="37"/>
    <b v="1"/>
    <s v="January"/>
    <s v="Saturday"/>
    <s v="Weekend"/>
    <s v="Spring"/>
    <x v="2"/>
    <s v="Evening Peak"/>
    <s v="Medium"/>
    <s v="High"/>
  </r>
  <r>
    <n v="21"/>
    <d v="2011-01-01T00:00:00"/>
    <n v="1"/>
    <n v="0"/>
    <n v="1"/>
    <x v="20"/>
    <b v="0"/>
    <n v="6"/>
    <n v="2"/>
    <n v="0.4"/>
    <n v="0.40910000000000002"/>
    <n v="0.87"/>
    <n v="0.25369999999999998"/>
    <n v="11"/>
    <n v="25"/>
    <n v="36"/>
    <b v="1"/>
    <s v="January"/>
    <s v="Saturday"/>
    <s v="Weekend"/>
    <s v="Spring"/>
    <x v="1"/>
    <s v="Evening Peak"/>
    <s v="Medium"/>
    <s v="High"/>
  </r>
  <r>
    <n v="22"/>
    <d v="2011-01-01T00:00:00"/>
    <n v="1"/>
    <n v="0"/>
    <n v="1"/>
    <x v="21"/>
    <b v="0"/>
    <n v="6"/>
    <n v="2"/>
    <n v="0.4"/>
    <n v="0.40910000000000002"/>
    <n v="0.87"/>
    <n v="0.19400000000000001"/>
    <n v="3"/>
    <n v="31"/>
    <n v="34"/>
    <b v="1"/>
    <s v="January"/>
    <s v="Saturday"/>
    <s v="Weekend"/>
    <s v="Spring"/>
    <x v="1"/>
    <s v="Off Peak"/>
    <s v="Medium"/>
    <s v="High"/>
  </r>
  <r>
    <n v="23"/>
    <d v="2011-01-01T00:00:00"/>
    <n v="1"/>
    <n v="0"/>
    <n v="1"/>
    <x v="22"/>
    <b v="0"/>
    <n v="6"/>
    <n v="2"/>
    <n v="0.4"/>
    <n v="0.40910000000000002"/>
    <n v="0.94"/>
    <n v="0.22389999999999999"/>
    <n v="11"/>
    <n v="17"/>
    <n v="28"/>
    <b v="1"/>
    <s v="January"/>
    <s v="Saturday"/>
    <s v="Weekend"/>
    <s v="Spring"/>
    <x v="1"/>
    <s v="Off Peak"/>
    <s v="Medium"/>
    <s v="High"/>
  </r>
  <r>
    <n v="24"/>
    <d v="2011-01-01T00:00:00"/>
    <n v="1"/>
    <n v="0"/>
    <n v="1"/>
    <x v="23"/>
    <b v="0"/>
    <n v="6"/>
    <n v="2"/>
    <n v="0.46"/>
    <n v="0"/>
    <n v="0.88"/>
    <n v="0.29849999999999999"/>
    <n v="15"/>
    <n v="24"/>
    <n v="39"/>
    <b v="1"/>
    <s v="January"/>
    <s v="Saturday"/>
    <s v="Weekend"/>
    <s v="Spring"/>
    <x v="1"/>
    <s v="Off Peak"/>
    <s v="Medium"/>
    <s v="High"/>
  </r>
  <r>
    <n v="25"/>
    <d v="2011-01-02T00:00:00"/>
    <n v="1"/>
    <n v="0"/>
    <n v="1"/>
    <x v="0"/>
    <b v="0"/>
    <n v="0"/>
    <n v="2"/>
    <n v="0.46"/>
    <n v="0.45450000000000002"/>
    <n v="0.88"/>
    <n v="0.29849999999999999"/>
    <n v="4"/>
    <n v="13"/>
    <n v="17"/>
    <b v="1"/>
    <s v="January"/>
    <s v="Sunday"/>
    <s v="Weekend"/>
    <s v="Spring"/>
    <x v="1"/>
    <s v="Off Peak"/>
    <s v="Medium"/>
    <s v="High"/>
  </r>
  <r>
    <n v="26"/>
    <d v="2011-01-02T00:00:00"/>
    <n v="1"/>
    <n v="0"/>
    <n v="1"/>
    <x v="1"/>
    <b v="0"/>
    <n v="0"/>
    <n v="2"/>
    <n v="0.44"/>
    <n v="0.43940000000000001"/>
    <n v="0.94"/>
    <n v="0.25369999999999998"/>
    <n v="1"/>
    <n v="16"/>
    <n v="17"/>
    <b v="1"/>
    <s v="January"/>
    <s v="Sunday"/>
    <s v="Weekend"/>
    <s v="Spring"/>
    <x v="1"/>
    <s v="Off Peak"/>
    <s v="Medium"/>
    <s v="High"/>
  </r>
  <r>
    <n v="27"/>
    <d v="2011-01-02T00:00:00"/>
    <n v="1"/>
    <n v="0"/>
    <n v="1"/>
    <x v="2"/>
    <b v="0"/>
    <n v="0"/>
    <n v="2"/>
    <n v="0.42"/>
    <n v="0.42420000000000002"/>
    <n v="1"/>
    <n v="0.28360000000000002"/>
    <n v="1"/>
    <n v="8"/>
    <n v="9"/>
    <b v="1"/>
    <s v="January"/>
    <s v="Sunday"/>
    <s v="Weekend"/>
    <s v="Spring"/>
    <x v="1"/>
    <s v="Off Peak"/>
    <s v="Medium"/>
    <s v="High"/>
  </r>
  <r>
    <n v="28"/>
    <d v="2011-01-02T00:00:00"/>
    <n v="1"/>
    <n v="0"/>
    <n v="1"/>
    <x v="3"/>
    <b v="0"/>
    <n v="0"/>
    <n v="2"/>
    <n v="0.46"/>
    <n v="0.45450000000000002"/>
    <n v="0.94"/>
    <n v="0.19400000000000001"/>
    <n v="2"/>
    <n v="4"/>
    <n v="6"/>
    <b v="1"/>
    <s v="January"/>
    <s v="Sunday"/>
    <s v="Weekend"/>
    <s v="Spring"/>
    <x v="1"/>
    <s v="Off Peak"/>
    <s v="Medium"/>
    <s v="High"/>
  </r>
  <r>
    <n v="29"/>
    <d v="2011-01-02T00:00:00"/>
    <n v="1"/>
    <n v="0"/>
    <n v="1"/>
    <x v="4"/>
    <b v="0"/>
    <n v="0"/>
    <n v="2"/>
    <n v="0.46"/>
    <n v="0"/>
    <n v="0.94"/>
    <n v="0.19400000000000001"/>
    <n v="2"/>
    <n v="1"/>
    <n v="3"/>
    <b v="1"/>
    <s v="January"/>
    <s v="Sunday"/>
    <s v="Weekend"/>
    <s v="Spring"/>
    <x v="1"/>
    <s v="Off Peak"/>
    <s v="Medium"/>
    <s v="High"/>
  </r>
  <r>
    <n v="30"/>
    <d v="2011-01-02T00:00:00"/>
    <n v="1"/>
    <n v="0"/>
    <n v="1"/>
    <x v="6"/>
    <b v="0"/>
    <n v="0"/>
    <n v="3"/>
    <n v="0.42"/>
    <n v="0.42420000000000002"/>
    <n v="0.77"/>
    <n v="0.29849999999999999"/>
    <n v="0"/>
    <n v="2"/>
    <n v="2"/>
    <b v="1"/>
    <s v="January"/>
    <s v="Sunday"/>
    <s v="Weekend"/>
    <s v="Spring"/>
    <x v="2"/>
    <s v="Off Peak"/>
    <s v="Medium"/>
    <s v="High"/>
  </r>
  <r>
    <n v="31"/>
    <d v="2011-01-02T00:00:00"/>
    <n v="1"/>
    <n v="0"/>
    <n v="1"/>
    <x v="7"/>
    <b v="0"/>
    <n v="0"/>
    <n v="2"/>
    <n v="0.4"/>
    <n v="0.40910000000000002"/>
    <n v="0.76"/>
    <n v="0.19400000000000001"/>
    <n v="0"/>
    <n v="1"/>
    <n v="1"/>
    <b v="1"/>
    <s v="January"/>
    <s v="Sunday"/>
    <s v="Weekend"/>
    <s v="Spring"/>
    <x v="1"/>
    <s v="Morning Peak"/>
    <s v="Medium"/>
    <s v="High"/>
  </r>
  <r>
    <n v="32"/>
    <d v="2011-01-02T00:00:00"/>
    <n v="1"/>
    <n v="0"/>
    <n v="1"/>
    <x v="8"/>
    <b v="0"/>
    <n v="0"/>
    <n v="3"/>
    <n v="0.4"/>
    <n v="0.40910000000000002"/>
    <n v="0.71"/>
    <n v="0.22389999999999999"/>
    <n v="0"/>
    <n v="8"/>
    <n v="8"/>
    <b v="1"/>
    <s v="January"/>
    <s v="Sunday"/>
    <s v="Weekend"/>
    <s v="Spring"/>
    <x v="2"/>
    <s v="Morning Peak"/>
    <s v="Medium"/>
    <s v="High"/>
  </r>
  <r>
    <n v="33"/>
    <d v="2011-01-02T00:00:00"/>
    <n v="1"/>
    <n v="0"/>
    <n v="1"/>
    <x v="9"/>
    <b v="0"/>
    <n v="0"/>
    <n v="2"/>
    <n v="0.38"/>
    <n v="0"/>
    <n v="0.76"/>
    <n v="0.22389999999999999"/>
    <n v="1"/>
    <n v="19"/>
    <n v="20"/>
    <b v="1"/>
    <s v="January"/>
    <s v="Sunday"/>
    <s v="Weekend"/>
    <s v="Spring"/>
    <x v="1"/>
    <s v="Morning Peak"/>
    <s v="Medium"/>
    <s v="High"/>
  </r>
  <r>
    <n v="34"/>
    <d v="2011-01-02T00:00:00"/>
    <n v="1"/>
    <n v="0"/>
    <n v="1"/>
    <x v="10"/>
    <b v="0"/>
    <n v="0"/>
    <n v="2"/>
    <n v="0.36"/>
    <n v="0.34849999999999998"/>
    <n v="0.81"/>
    <n v="0.22389999999999999"/>
    <n v="7"/>
    <n v="46"/>
    <n v="53"/>
    <b v="1"/>
    <s v="January"/>
    <s v="Sunday"/>
    <s v="Weekend"/>
    <s v="Spring"/>
    <x v="1"/>
    <s v="Off Peak"/>
    <s v="Medium"/>
    <s v="High"/>
  </r>
  <r>
    <n v="35"/>
    <d v="2011-01-02T00:00:00"/>
    <n v="1"/>
    <n v="0"/>
    <n v="1"/>
    <x v="11"/>
    <b v="0"/>
    <n v="0"/>
    <n v="2"/>
    <n v="0.36"/>
    <n v="0.33329999999999999"/>
    <n v="0.71"/>
    <n v="0.25369999999999998"/>
    <n v="16"/>
    <n v="54"/>
    <n v="70"/>
    <b v="1"/>
    <s v="January"/>
    <s v="Sunday"/>
    <s v="Weekend"/>
    <s v="Spring"/>
    <x v="1"/>
    <s v="Off Peak"/>
    <s v="Medium"/>
    <s v="High"/>
  </r>
  <r>
    <n v="36"/>
    <d v="2011-01-02T00:00:00"/>
    <n v="1"/>
    <n v="0"/>
    <n v="1"/>
    <x v="12"/>
    <b v="0"/>
    <n v="0"/>
    <n v="2"/>
    <n v="0.36"/>
    <n v="0.33329999999999999"/>
    <n v="0.66"/>
    <n v="0.29849999999999999"/>
    <n v="20"/>
    <n v="73"/>
    <n v="93"/>
    <b v="1"/>
    <s v="January"/>
    <s v="Sunday"/>
    <s v="Weekend"/>
    <s v="Spring"/>
    <x v="1"/>
    <s v="Off Peak"/>
    <s v="Medium"/>
    <s v="Medium"/>
  </r>
  <r>
    <n v="37"/>
    <d v="2011-01-02T00:00:00"/>
    <n v="1"/>
    <n v="0"/>
    <n v="1"/>
    <x v="13"/>
    <b v="0"/>
    <n v="0"/>
    <n v="2"/>
    <n v="0.36"/>
    <n v="0.34849999999999998"/>
    <n v="0.66"/>
    <n v="0.1343"/>
    <n v="11"/>
    <n v="64"/>
    <n v="75"/>
    <b v="1"/>
    <s v="January"/>
    <s v="Sunday"/>
    <s v="Weekend"/>
    <s v="Spring"/>
    <x v="1"/>
    <s v="Off Peak"/>
    <s v="Medium"/>
    <s v="Medium"/>
  </r>
  <r>
    <n v="38"/>
    <d v="2011-01-02T00:00:00"/>
    <n v="1"/>
    <n v="0"/>
    <n v="1"/>
    <x v="14"/>
    <b v="0"/>
    <n v="0"/>
    <n v="3"/>
    <n v="0.36"/>
    <n v="0"/>
    <n v="0.76"/>
    <n v="0.19400000000000001"/>
    <n v="4"/>
    <n v="55"/>
    <n v="59"/>
    <b v="1"/>
    <s v="January"/>
    <s v="Sunday"/>
    <s v="Weekend"/>
    <s v="Spring"/>
    <x v="2"/>
    <s v="Off Peak"/>
    <s v="Medium"/>
    <s v="High"/>
  </r>
  <r>
    <n v="39"/>
    <d v="2011-01-02T00:00:00"/>
    <n v="1"/>
    <n v="0"/>
    <n v="1"/>
    <x v="15"/>
    <b v="0"/>
    <n v="0"/>
    <n v="3"/>
    <n v="0.34"/>
    <n v="0.33329999999999999"/>
    <n v="0.81"/>
    <n v="0.16420000000000001"/>
    <n v="19"/>
    <n v="55"/>
    <n v="74"/>
    <b v="1"/>
    <s v="January"/>
    <s v="Sunday"/>
    <s v="Weekend"/>
    <s v="Spring"/>
    <x v="2"/>
    <s v="Off Peak"/>
    <s v="Medium"/>
    <s v="High"/>
  </r>
  <r>
    <n v="40"/>
    <d v="2011-01-02T00:00:00"/>
    <n v="1"/>
    <n v="0"/>
    <n v="1"/>
    <x v="16"/>
    <b v="0"/>
    <n v="0"/>
    <n v="3"/>
    <n v="0.34"/>
    <n v="0.33329999999999999"/>
    <n v="0.71"/>
    <n v="0.16420000000000001"/>
    <n v="9"/>
    <n v="67"/>
    <n v="76"/>
    <b v="1"/>
    <s v="January"/>
    <s v="Sunday"/>
    <s v="Weekend"/>
    <s v="Spring"/>
    <x v="2"/>
    <s v="Off Peak"/>
    <s v="Medium"/>
    <s v="High"/>
  </r>
  <r>
    <n v="41"/>
    <d v="2011-01-02T00:00:00"/>
    <n v="1"/>
    <n v="0"/>
    <n v="1"/>
    <x v="17"/>
    <b v="0"/>
    <n v="0"/>
    <n v="1"/>
    <n v="0.34"/>
    <n v="0.33329999999999999"/>
    <n v="0.56999999999999995"/>
    <n v="0.19400000000000001"/>
    <n v="7"/>
    <n v="58"/>
    <n v="65"/>
    <b v="1"/>
    <s v="January"/>
    <s v="Sunday"/>
    <s v="Weekend"/>
    <s v="Spring"/>
    <x v="0"/>
    <s v="Evening Peak"/>
    <s v="Medium"/>
    <s v="Medium"/>
  </r>
  <r>
    <n v="42"/>
    <d v="2011-01-02T00:00:00"/>
    <n v="1"/>
    <n v="0"/>
    <n v="1"/>
    <x v="18"/>
    <b v="0"/>
    <n v="0"/>
    <n v="2"/>
    <n v="0.36"/>
    <n v="0.33329999999999999"/>
    <n v="0.46"/>
    <n v="0.32840000000000003"/>
    <n v="10"/>
    <n v="43"/>
    <n v="53"/>
    <b v="1"/>
    <s v="January"/>
    <s v="Sunday"/>
    <s v="Weekend"/>
    <s v="Spring"/>
    <x v="1"/>
    <s v="Evening Peak"/>
    <s v="Medium"/>
    <s v="Medium"/>
  </r>
  <r>
    <n v="43"/>
    <d v="2011-01-02T00:00:00"/>
    <n v="1"/>
    <n v="0"/>
    <n v="1"/>
    <x v="19"/>
    <b v="0"/>
    <n v="0"/>
    <n v="1"/>
    <n v="0.32"/>
    <n v="0.28789999999999999"/>
    <n v="0.42"/>
    <n v="0.44779999999999998"/>
    <n v="1"/>
    <n v="29"/>
    <n v="30"/>
    <b v="1"/>
    <s v="January"/>
    <s v="Sunday"/>
    <s v="Weekend"/>
    <s v="Spring"/>
    <x v="0"/>
    <s v="Evening Peak"/>
    <s v="Medium"/>
    <s v="Medium"/>
  </r>
  <r>
    <n v="44"/>
    <d v="2011-01-02T00:00:00"/>
    <n v="1"/>
    <n v="0"/>
    <n v="1"/>
    <x v="20"/>
    <b v="0"/>
    <n v="0"/>
    <n v="1"/>
    <n v="0.3"/>
    <n v="0"/>
    <n v="0.39"/>
    <n v="0.35820000000000002"/>
    <n v="5"/>
    <n v="17"/>
    <n v="22"/>
    <b v="1"/>
    <s v="January"/>
    <s v="Sunday"/>
    <s v="Weekend"/>
    <s v="Spring"/>
    <x v="0"/>
    <s v="Evening Peak"/>
    <s v="Medium"/>
    <s v="Low"/>
  </r>
  <r>
    <n v="45"/>
    <d v="2011-01-02T00:00:00"/>
    <n v="1"/>
    <n v="0"/>
    <n v="1"/>
    <x v="21"/>
    <b v="0"/>
    <n v="0"/>
    <n v="1"/>
    <n v="0.26"/>
    <n v="0.2273"/>
    <n v="0.44"/>
    <n v="0.32840000000000003"/>
    <n v="11"/>
    <n v="20"/>
    <n v="31"/>
    <b v="1"/>
    <s v="January"/>
    <s v="Sunday"/>
    <s v="Weekend"/>
    <s v="Spring"/>
    <x v="0"/>
    <s v="Off Peak"/>
    <s v="Low"/>
    <s v="Medium"/>
  </r>
  <r>
    <n v="46"/>
    <d v="2011-01-02T00:00:00"/>
    <n v="1"/>
    <n v="0"/>
    <n v="1"/>
    <x v="22"/>
    <b v="0"/>
    <n v="0"/>
    <n v="1"/>
    <n v="0.24"/>
    <n v="0.21210000000000001"/>
    <n v="0.44"/>
    <n v="0.29849999999999999"/>
    <n v="0"/>
    <n v="9"/>
    <n v="9"/>
    <b v="1"/>
    <s v="January"/>
    <s v="Sunday"/>
    <s v="Weekend"/>
    <s v="Spring"/>
    <x v="0"/>
    <s v="Off Peak"/>
    <s v="Low"/>
    <s v="Medium"/>
  </r>
  <r>
    <n v="47"/>
    <d v="2011-01-02T00:00:00"/>
    <n v="1"/>
    <n v="0"/>
    <n v="1"/>
    <x v="23"/>
    <b v="0"/>
    <n v="0"/>
    <n v="1"/>
    <n v="0.22"/>
    <n v="0.2273"/>
    <n v="0.47"/>
    <n v="0.16420000000000001"/>
    <n v="0"/>
    <n v="8"/>
    <n v="8"/>
    <b v="1"/>
    <s v="January"/>
    <s v="Sunday"/>
    <s v="Weekend"/>
    <s v="Spring"/>
    <x v="0"/>
    <s v="Off Peak"/>
    <s v="Low"/>
    <s v="Medium"/>
  </r>
  <r>
    <n v="48"/>
    <d v="2011-01-03T00:00:00"/>
    <n v="1"/>
    <n v="0"/>
    <n v="1"/>
    <x v="0"/>
    <b v="0"/>
    <n v="1"/>
    <n v="1"/>
    <n v="0.22"/>
    <n v="0.19700000000000001"/>
    <n v="0.44"/>
    <n v="0.35820000000000002"/>
    <n v="0"/>
    <n v="5"/>
    <n v="5"/>
    <b v="1"/>
    <s v="January"/>
    <s v="Monday"/>
    <s v="Weekday"/>
    <s v="Spring"/>
    <x v="0"/>
    <s v="Off Peak"/>
    <s v="Low"/>
    <s v="Medium"/>
  </r>
  <r>
    <n v="49"/>
    <d v="2011-01-03T00:00:00"/>
    <n v="1"/>
    <n v="0"/>
    <n v="1"/>
    <x v="1"/>
    <b v="0"/>
    <n v="1"/>
    <n v="1"/>
    <n v="0.2"/>
    <n v="0"/>
    <n v="0.44"/>
    <n v="0.41789999999999999"/>
    <n v="0"/>
    <n v="2"/>
    <n v="2"/>
    <b v="1"/>
    <s v="January"/>
    <s v="Monday"/>
    <s v="Weekday"/>
    <s v="Spring"/>
    <x v="0"/>
    <s v="Off Peak"/>
    <s v="Low"/>
    <s v="Medium"/>
  </r>
  <r>
    <n v="50"/>
    <d v="2011-01-03T00:00:00"/>
    <n v="1"/>
    <n v="0"/>
    <n v="1"/>
    <x v="4"/>
    <b v="0"/>
    <n v="1"/>
    <n v="1"/>
    <n v="0.16"/>
    <n v="0.13639999999999999"/>
    <n v="0.47"/>
    <n v="0.3881"/>
    <n v="0"/>
    <n v="1"/>
    <n v="1"/>
    <b v="1"/>
    <s v="January"/>
    <s v="Monday"/>
    <s v="Weekday"/>
    <s v="Spring"/>
    <x v="0"/>
    <s v="Off Peak"/>
    <s v="Low"/>
    <s v="Medium"/>
  </r>
  <r>
    <n v="51"/>
    <d v="2011-01-03T00:00:00"/>
    <n v="1"/>
    <n v="0"/>
    <n v="1"/>
    <x v="5"/>
    <b v="0"/>
    <n v="1"/>
    <n v="1"/>
    <n v="0.16"/>
    <n v="0.13639999999999999"/>
    <n v="0.47"/>
    <n v="0.28360000000000002"/>
    <n v="0"/>
    <n v="3"/>
    <n v="3"/>
    <b v="1"/>
    <s v="January"/>
    <s v="Monday"/>
    <s v="Weekday"/>
    <s v="Spring"/>
    <x v="0"/>
    <s v="Off Peak"/>
    <s v="Low"/>
    <s v="Medium"/>
  </r>
  <r>
    <n v="52"/>
    <d v="2011-01-03T00:00:00"/>
    <n v="1"/>
    <n v="0"/>
    <n v="1"/>
    <x v="6"/>
    <b v="0"/>
    <n v="1"/>
    <n v="1"/>
    <n v="0.14000000000000001"/>
    <n v="0.1061"/>
    <n v="0.5"/>
    <n v="0.3881"/>
    <n v="0"/>
    <n v="30"/>
    <n v="30"/>
    <b v="1"/>
    <s v="January"/>
    <s v="Monday"/>
    <s v="Weekday"/>
    <s v="Spring"/>
    <x v="0"/>
    <s v="Off Peak"/>
    <s v="Low"/>
    <s v="Medium"/>
  </r>
  <r>
    <n v="53"/>
    <d v="2011-01-03T00:00:00"/>
    <n v="1"/>
    <n v="0"/>
    <n v="1"/>
    <x v="7"/>
    <b v="0"/>
    <n v="1"/>
    <n v="1"/>
    <n v="0.14000000000000001"/>
    <n v="0.13639999999999999"/>
    <n v="0.5"/>
    <n v="0.19400000000000001"/>
    <n v="1"/>
    <n v="63"/>
    <n v="64"/>
    <b v="1"/>
    <s v="January"/>
    <s v="Monday"/>
    <s v="Weekday"/>
    <s v="Spring"/>
    <x v="0"/>
    <s v="Morning Peak"/>
    <s v="Low"/>
    <s v="Medium"/>
  </r>
  <r>
    <n v="54"/>
    <d v="2011-01-03T00:00:00"/>
    <n v="1"/>
    <n v="0"/>
    <n v="1"/>
    <x v="8"/>
    <b v="0"/>
    <n v="1"/>
    <n v="1"/>
    <n v="0.14000000000000001"/>
    <n v="0.1212"/>
    <n v="0.5"/>
    <n v="0.28360000000000002"/>
    <n v="1"/>
    <n v="153"/>
    <n v="154"/>
    <b v="1"/>
    <s v="January"/>
    <s v="Monday"/>
    <s v="Weekday"/>
    <s v="Spring"/>
    <x v="0"/>
    <s v="Morning Peak"/>
    <s v="Low"/>
    <s v="Medium"/>
  </r>
  <r>
    <n v="55"/>
    <d v="2011-01-03T00:00:00"/>
    <n v="1"/>
    <n v="0"/>
    <n v="1"/>
    <x v="9"/>
    <b v="0"/>
    <n v="1"/>
    <n v="1"/>
    <n v="0.16"/>
    <n v="0.13639999999999999"/>
    <n v="0.43"/>
    <n v="0.3881"/>
    <n v="7"/>
    <n v="81"/>
    <n v="88"/>
    <b v="1"/>
    <s v="January"/>
    <s v="Monday"/>
    <s v="Weekday"/>
    <s v="Spring"/>
    <x v="0"/>
    <s v="Morning Peak"/>
    <s v="Low"/>
    <s v="Medium"/>
  </r>
  <r>
    <n v="56"/>
    <d v="2011-01-03T00:00:00"/>
    <n v="1"/>
    <n v="0"/>
    <n v="1"/>
    <x v="10"/>
    <b v="0"/>
    <n v="1"/>
    <n v="1"/>
    <n v="0.18"/>
    <n v="0.16669999999999999"/>
    <n v="0.43"/>
    <n v="0.25369999999999998"/>
    <n v="11"/>
    <n v="33"/>
    <n v="44"/>
    <b v="1"/>
    <s v="January"/>
    <s v="Monday"/>
    <s v="Weekday"/>
    <s v="Spring"/>
    <x v="0"/>
    <s v="Off Peak"/>
    <s v="Low"/>
    <s v="Medium"/>
  </r>
  <r>
    <n v="57"/>
    <d v="2011-01-03T00:00:00"/>
    <n v="1"/>
    <n v="0"/>
    <n v="1"/>
    <x v="11"/>
    <b v="0"/>
    <n v="1"/>
    <n v="1"/>
    <n v="0.2"/>
    <n v="0.18179999999999999"/>
    <n v="0.4"/>
    <n v="0.32840000000000003"/>
    <n v="10"/>
    <n v="41"/>
    <n v="51"/>
    <b v="1"/>
    <s v="January"/>
    <s v="Monday"/>
    <s v="Weekday"/>
    <s v="Spring"/>
    <x v="0"/>
    <s v="Off Peak"/>
    <s v="Low"/>
    <s v="Medium"/>
  </r>
  <r>
    <n v="58"/>
    <d v="2011-01-03T00:00:00"/>
    <n v="1"/>
    <n v="0"/>
    <n v="1"/>
    <x v="12"/>
    <b v="0"/>
    <n v="1"/>
    <n v="1"/>
    <n v="0.22"/>
    <n v="0.21210000000000001"/>
    <n v="0.35"/>
    <n v="0.29849999999999999"/>
    <n v="13"/>
    <n v="48"/>
    <n v="61"/>
    <b v="1"/>
    <s v="January"/>
    <s v="Monday"/>
    <s v="Weekday"/>
    <s v="Spring"/>
    <x v="0"/>
    <s v="Off Peak"/>
    <s v="Low"/>
    <s v="Low"/>
  </r>
  <r>
    <n v="59"/>
    <d v="2011-01-03T00:00:00"/>
    <n v="1"/>
    <n v="0"/>
    <n v="1"/>
    <x v="13"/>
    <b v="0"/>
    <n v="1"/>
    <n v="1"/>
    <n v="0.24"/>
    <n v="0"/>
    <n v="0.35"/>
    <n v="0.28360000000000002"/>
    <n v="8"/>
    <n v="53"/>
    <n v="61"/>
    <b v="1"/>
    <s v="January"/>
    <s v="Monday"/>
    <s v="Weekday"/>
    <s v="Spring"/>
    <x v="0"/>
    <s v="Off Peak"/>
    <s v="Low"/>
    <s v="Low"/>
  </r>
  <r>
    <n v="60"/>
    <d v="2011-01-03T00:00:00"/>
    <n v="1"/>
    <n v="0"/>
    <n v="1"/>
    <x v="14"/>
    <b v="0"/>
    <n v="1"/>
    <n v="1"/>
    <n v="0.26"/>
    <n v="0.2424"/>
    <n v="0.3"/>
    <n v="0.28360000000000002"/>
    <n v="11"/>
    <n v="66"/>
    <n v="77"/>
    <b v="1"/>
    <s v="January"/>
    <s v="Monday"/>
    <s v="Weekday"/>
    <s v="Spring"/>
    <x v="0"/>
    <s v="Off Peak"/>
    <s v="Low"/>
    <s v="Low"/>
  </r>
  <r>
    <n v="61"/>
    <d v="2011-01-03T00:00:00"/>
    <n v="1"/>
    <n v="0"/>
    <n v="1"/>
    <x v="15"/>
    <b v="0"/>
    <n v="1"/>
    <n v="1"/>
    <n v="0.26"/>
    <n v="0.2424"/>
    <n v="0.3"/>
    <n v="0.25369999999999998"/>
    <n v="14"/>
    <n v="58"/>
    <n v="72"/>
    <b v="1"/>
    <s v="January"/>
    <s v="Monday"/>
    <s v="Weekday"/>
    <s v="Spring"/>
    <x v="0"/>
    <s v="Off Peak"/>
    <s v="Low"/>
    <s v="Low"/>
  </r>
  <r>
    <n v="62"/>
    <d v="2011-01-03T00:00:00"/>
    <n v="1"/>
    <n v="0"/>
    <n v="1"/>
    <x v="16"/>
    <b v="0"/>
    <n v="1"/>
    <n v="1"/>
    <n v="0.26"/>
    <n v="0.2424"/>
    <n v="0.3"/>
    <n v="0.25369999999999998"/>
    <n v="9"/>
    <n v="67"/>
    <n v="76"/>
    <b v="1"/>
    <s v="January"/>
    <s v="Monday"/>
    <s v="Weekday"/>
    <s v="Spring"/>
    <x v="0"/>
    <s v="Off Peak"/>
    <s v="Low"/>
    <s v="Low"/>
  </r>
  <r>
    <n v="63"/>
    <d v="2011-01-03T00:00:00"/>
    <n v="1"/>
    <n v="0"/>
    <n v="1"/>
    <x v="17"/>
    <b v="0"/>
    <n v="1"/>
    <n v="1"/>
    <n v="0.24"/>
    <n v="0.2273"/>
    <n v="0.3"/>
    <n v="0.22389999999999999"/>
    <n v="11"/>
    <n v="146"/>
    <n v="157"/>
    <b v="1"/>
    <s v="January"/>
    <s v="Monday"/>
    <s v="Weekday"/>
    <s v="Spring"/>
    <x v="0"/>
    <s v="Evening Peak"/>
    <s v="Low"/>
    <s v="Low"/>
  </r>
  <r>
    <n v="64"/>
    <d v="2011-01-03T00:00:00"/>
    <n v="1"/>
    <n v="0"/>
    <n v="1"/>
    <x v="18"/>
    <b v="0"/>
    <n v="1"/>
    <n v="1"/>
    <n v="0.24"/>
    <n v="0.2576"/>
    <n v="0.32"/>
    <n v="0.1045"/>
    <n v="9"/>
    <n v="148"/>
    <n v="157"/>
    <b v="1"/>
    <s v="January"/>
    <s v="Monday"/>
    <s v="Weekday"/>
    <s v="Spring"/>
    <x v="0"/>
    <s v="Evening Peak"/>
    <s v="Low"/>
    <s v="Low"/>
  </r>
  <r>
    <n v="65"/>
    <d v="2011-01-03T00:00:00"/>
    <n v="1"/>
    <n v="0"/>
    <n v="1"/>
    <x v="19"/>
    <b v="0"/>
    <n v="1"/>
    <n v="1"/>
    <n v="0.2"/>
    <n v="0.2576"/>
    <n v="0.47"/>
    <n v="0"/>
    <n v="8"/>
    <n v="102"/>
    <n v="110"/>
    <b v="1"/>
    <s v="January"/>
    <s v="Monday"/>
    <s v="Weekday"/>
    <s v="Spring"/>
    <x v="0"/>
    <s v="Evening Peak"/>
    <s v="Low"/>
    <s v="Medium"/>
  </r>
  <r>
    <n v="66"/>
    <d v="2011-01-03T00:00:00"/>
    <n v="1"/>
    <n v="0"/>
    <n v="1"/>
    <x v="20"/>
    <b v="0"/>
    <n v="1"/>
    <n v="1"/>
    <n v="0.2"/>
    <n v="0"/>
    <n v="0.47"/>
    <n v="0.1045"/>
    <n v="3"/>
    <n v="49"/>
    <n v="52"/>
    <b v="1"/>
    <s v="January"/>
    <s v="Monday"/>
    <s v="Weekday"/>
    <s v="Spring"/>
    <x v="0"/>
    <s v="Evening Peak"/>
    <s v="Low"/>
    <s v="Medium"/>
  </r>
  <r>
    <n v="67"/>
    <d v="2011-01-03T00:00:00"/>
    <n v="1"/>
    <n v="0"/>
    <n v="1"/>
    <x v="21"/>
    <b v="0"/>
    <n v="1"/>
    <n v="1"/>
    <n v="0.18"/>
    <n v="0.19700000000000001"/>
    <n v="0.64"/>
    <n v="0.1343"/>
    <n v="3"/>
    <n v="49"/>
    <n v="52"/>
    <b v="1"/>
    <s v="January"/>
    <s v="Monday"/>
    <s v="Weekday"/>
    <s v="Spring"/>
    <x v="0"/>
    <s v="Off Peak"/>
    <s v="Low"/>
    <s v="Medium"/>
  </r>
  <r>
    <n v="68"/>
    <d v="2011-01-03T00:00:00"/>
    <n v="1"/>
    <n v="0"/>
    <n v="1"/>
    <x v="22"/>
    <b v="0"/>
    <n v="1"/>
    <n v="1"/>
    <n v="0.14000000000000001"/>
    <n v="0.1515"/>
    <n v="0.69"/>
    <n v="0.1343"/>
    <n v="0"/>
    <n v="20"/>
    <n v="20"/>
    <b v="1"/>
    <s v="January"/>
    <s v="Monday"/>
    <s v="Weekday"/>
    <s v="Spring"/>
    <x v="0"/>
    <s v="Off Peak"/>
    <s v="Low"/>
    <s v="Medium"/>
  </r>
  <r>
    <n v="69"/>
    <d v="2011-01-03T00:00:00"/>
    <n v="1"/>
    <n v="0"/>
    <n v="1"/>
    <x v="23"/>
    <b v="0"/>
    <n v="1"/>
    <n v="1"/>
    <n v="0.18"/>
    <n v="0.21210000000000001"/>
    <n v="0.55000000000000004"/>
    <n v="0.1045"/>
    <n v="1"/>
    <n v="11"/>
    <n v="12"/>
    <b v="1"/>
    <s v="January"/>
    <s v="Monday"/>
    <s v="Weekday"/>
    <s v="Spring"/>
    <x v="0"/>
    <s v="Off Peak"/>
    <s v="Low"/>
    <s v="Medium"/>
  </r>
  <r>
    <n v="70"/>
    <d v="2011-01-04T00:00:00"/>
    <n v="1"/>
    <n v="0"/>
    <n v="1"/>
    <x v="0"/>
    <b v="0"/>
    <n v="2"/>
    <n v="1"/>
    <n v="0.16"/>
    <n v="0"/>
    <n v="0.55000000000000004"/>
    <n v="0.1045"/>
    <n v="0"/>
    <n v="5"/>
    <n v="5"/>
    <b v="1"/>
    <s v="January"/>
    <s v="Tuesday"/>
    <s v="Weekday"/>
    <s v="Spring"/>
    <x v="0"/>
    <s v="Off Peak"/>
    <s v="Low"/>
    <s v="Medium"/>
  </r>
  <r>
    <n v="71"/>
    <d v="2011-01-04T00:00:00"/>
    <n v="1"/>
    <n v="0"/>
    <n v="1"/>
    <x v="1"/>
    <b v="0"/>
    <n v="2"/>
    <n v="1"/>
    <n v="0.16"/>
    <n v="0.18179999999999999"/>
    <n v="0.59"/>
    <n v="0.1045"/>
    <n v="0"/>
    <n v="2"/>
    <n v="2"/>
    <b v="1"/>
    <s v="January"/>
    <s v="Tuesday"/>
    <s v="Weekday"/>
    <s v="Spring"/>
    <x v="0"/>
    <s v="Off Peak"/>
    <s v="Low"/>
    <s v="Medium"/>
  </r>
  <r>
    <n v="72"/>
    <d v="2011-01-04T00:00:00"/>
    <n v="1"/>
    <n v="0"/>
    <n v="1"/>
    <x v="2"/>
    <b v="0"/>
    <n v="2"/>
    <n v="1"/>
    <n v="0.14000000000000001"/>
    <n v="0.1515"/>
    <n v="0.63"/>
    <n v="0.1343"/>
    <n v="0"/>
    <n v="1"/>
    <n v="1"/>
    <b v="1"/>
    <s v="January"/>
    <s v="Tuesday"/>
    <s v="Weekday"/>
    <s v="Spring"/>
    <x v="0"/>
    <s v="Off Peak"/>
    <s v="Low"/>
    <s v="Medium"/>
  </r>
  <r>
    <n v="73"/>
    <d v="2011-01-04T00:00:00"/>
    <n v="1"/>
    <n v="0"/>
    <n v="1"/>
    <x v="4"/>
    <b v="0"/>
    <n v="2"/>
    <n v="1"/>
    <n v="0.14000000000000001"/>
    <n v="0.18179999999999999"/>
    <n v="0.63"/>
    <n v="8.9599999999999999E-2"/>
    <n v="0"/>
    <n v="2"/>
    <n v="2"/>
    <b v="1"/>
    <s v="January"/>
    <s v="Tuesday"/>
    <s v="Weekday"/>
    <s v="Spring"/>
    <x v="0"/>
    <s v="Off Peak"/>
    <s v="Low"/>
    <s v="Medium"/>
  </r>
  <r>
    <n v="74"/>
    <d v="2011-01-04T00:00:00"/>
    <n v="1"/>
    <n v="0"/>
    <n v="1"/>
    <x v="5"/>
    <b v="0"/>
    <n v="2"/>
    <n v="1"/>
    <n v="0.12"/>
    <n v="0.1515"/>
    <n v="0.68"/>
    <n v="0.1045"/>
    <n v="0"/>
    <n v="4"/>
    <n v="4"/>
    <b v="1"/>
    <s v="January"/>
    <s v="Tuesday"/>
    <s v="Weekday"/>
    <s v="Spring"/>
    <x v="0"/>
    <s v="Off Peak"/>
    <s v="Low"/>
    <s v="Medium"/>
  </r>
  <r>
    <n v="75"/>
    <d v="2011-01-04T00:00:00"/>
    <n v="1"/>
    <n v="0"/>
    <n v="1"/>
    <x v="6"/>
    <b v="0"/>
    <n v="2"/>
    <n v="1"/>
    <n v="0.12"/>
    <n v="0.1515"/>
    <n v="0.74"/>
    <n v="0.1045"/>
    <n v="0"/>
    <n v="36"/>
    <n v="36"/>
    <b v="1"/>
    <s v="January"/>
    <s v="Tuesday"/>
    <s v="Weekday"/>
    <s v="Spring"/>
    <x v="0"/>
    <s v="Off Peak"/>
    <s v="Low"/>
    <s v="High"/>
  </r>
  <r>
    <n v="76"/>
    <d v="2011-01-04T00:00:00"/>
    <n v="1"/>
    <n v="0"/>
    <n v="1"/>
    <x v="7"/>
    <b v="0"/>
    <n v="2"/>
    <n v="1"/>
    <n v="0.12"/>
    <n v="0.1515"/>
    <n v="0.74"/>
    <n v="0.1343"/>
    <n v="2"/>
    <n v="92"/>
    <n v="94"/>
    <b v="1"/>
    <s v="January"/>
    <s v="Tuesday"/>
    <s v="Weekday"/>
    <s v="Spring"/>
    <x v="0"/>
    <s v="Morning Peak"/>
    <s v="Low"/>
    <s v="High"/>
  </r>
  <r>
    <n v="77"/>
    <d v="2011-01-04T00:00:00"/>
    <n v="1"/>
    <n v="0"/>
    <n v="1"/>
    <x v="8"/>
    <b v="0"/>
    <n v="2"/>
    <n v="1"/>
    <n v="0.14000000000000001"/>
    <n v="0.1515"/>
    <n v="0.69"/>
    <n v="0.16420000000000001"/>
    <n v="2"/>
    <n v="177"/>
    <n v="179"/>
    <b v="1"/>
    <s v="January"/>
    <s v="Tuesday"/>
    <s v="Weekday"/>
    <s v="Spring"/>
    <x v="0"/>
    <s v="Morning Peak"/>
    <s v="Low"/>
    <s v="Medium"/>
  </r>
  <r>
    <n v="78"/>
    <d v="2011-01-04T00:00:00"/>
    <n v="1"/>
    <n v="0"/>
    <n v="1"/>
    <x v="9"/>
    <b v="0"/>
    <n v="2"/>
    <n v="1"/>
    <n v="0.16"/>
    <n v="0.1515"/>
    <n v="0.64"/>
    <n v="0.22389999999999999"/>
    <n v="2"/>
    <n v="98"/>
    <n v="100"/>
    <b v="1"/>
    <s v="January"/>
    <s v="Tuesday"/>
    <s v="Weekday"/>
    <s v="Spring"/>
    <x v="0"/>
    <s v="Morning Peak"/>
    <s v="Low"/>
    <s v="Medium"/>
  </r>
  <r>
    <n v="79"/>
    <d v="2011-01-04T00:00:00"/>
    <n v="1"/>
    <n v="0"/>
    <n v="1"/>
    <x v="10"/>
    <b v="0"/>
    <n v="2"/>
    <n v="2"/>
    <n v="0.16"/>
    <n v="0.13639999999999999"/>
    <n v="0.69"/>
    <n v="0.32840000000000003"/>
    <n v="5"/>
    <n v="37"/>
    <n v="42"/>
    <b v="1"/>
    <s v="January"/>
    <s v="Tuesday"/>
    <s v="Weekday"/>
    <s v="Spring"/>
    <x v="1"/>
    <s v="Off Peak"/>
    <s v="Low"/>
    <s v="Medium"/>
  </r>
  <r>
    <n v="80"/>
    <d v="2011-01-04T00:00:00"/>
    <n v="1"/>
    <n v="0"/>
    <n v="1"/>
    <x v="11"/>
    <b v="0"/>
    <n v="2"/>
    <n v="1"/>
    <n v="0.22"/>
    <n v="0.21210000000000001"/>
    <n v="0.51"/>
    <n v="0.29849999999999999"/>
    <n v="7"/>
    <n v="50"/>
    <n v="57"/>
    <b v="1"/>
    <s v="January"/>
    <s v="Tuesday"/>
    <s v="Weekday"/>
    <s v="Spring"/>
    <x v="0"/>
    <s v="Off Peak"/>
    <s v="Low"/>
    <s v="Medium"/>
  </r>
  <r>
    <n v="81"/>
    <d v="2011-01-04T00:00:00"/>
    <n v="1"/>
    <n v="0"/>
    <n v="1"/>
    <x v="12"/>
    <b v="0"/>
    <n v="2"/>
    <n v="1"/>
    <n v="0.22"/>
    <n v="0.2273"/>
    <n v="0.51"/>
    <n v="0.16420000000000001"/>
    <n v="12"/>
    <n v="66"/>
    <n v="78"/>
    <b v="1"/>
    <s v="January"/>
    <s v="Tuesday"/>
    <s v="Weekday"/>
    <s v="Spring"/>
    <x v="0"/>
    <s v="Off Peak"/>
    <s v="Low"/>
    <s v="Medium"/>
  </r>
  <r>
    <n v="82"/>
    <d v="2011-01-04T00:00:00"/>
    <n v="1"/>
    <n v="0"/>
    <n v="1"/>
    <x v="13"/>
    <b v="0"/>
    <n v="2"/>
    <n v="1"/>
    <n v="0.24"/>
    <n v="0.2273"/>
    <n v="0.56000000000000005"/>
    <n v="0.19400000000000001"/>
    <n v="18"/>
    <n v="79"/>
    <n v="97"/>
    <b v="1"/>
    <s v="January"/>
    <s v="Tuesday"/>
    <s v="Weekday"/>
    <s v="Spring"/>
    <x v="0"/>
    <s v="Off Peak"/>
    <s v="Low"/>
    <s v="Medium"/>
  </r>
  <r>
    <n v="83"/>
    <d v="2011-01-04T00:00:00"/>
    <n v="1"/>
    <n v="0"/>
    <n v="1"/>
    <x v="14"/>
    <b v="0"/>
    <n v="2"/>
    <n v="1"/>
    <n v="0.26"/>
    <n v="0.2576"/>
    <n v="0.52"/>
    <n v="0.22389999999999999"/>
    <n v="9"/>
    <n v="54"/>
    <n v="63"/>
    <b v="1"/>
    <s v="January"/>
    <s v="Tuesday"/>
    <s v="Weekday"/>
    <s v="Spring"/>
    <x v="0"/>
    <s v="Off Peak"/>
    <s v="Low"/>
    <s v="Medium"/>
  </r>
  <r>
    <n v="84"/>
    <d v="2011-01-04T00:00:00"/>
    <n v="1"/>
    <n v="0"/>
    <n v="1"/>
    <x v="15"/>
    <b v="0"/>
    <n v="2"/>
    <n v="1"/>
    <n v="0.28000000000000003"/>
    <n v="0.2727"/>
    <n v="0.52"/>
    <n v="0.25369999999999998"/>
    <n v="17"/>
    <n v="48"/>
    <n v="65"/>
    <b v="1"/>
    <s v="January"/>
    <s v="Tuesday"/>
    <s v="Weekday"/>
    <s v="Spring"/>
    <x v="0"/>
    <s v="Off Peak"/>
    <s v="Low"/>
    <s v="Medium"/>
  </r>
  <r>
    <n v="85"/>
    <d v="2011-01-04T00:00:00"/>
    <n v="1"/>
    <n v="0"/>
    <n v="1"/>
    <x v="16"/>
    <b v="0"/>
    <n v="2"/>
    <n v="1"/>
    <n v="0.3"/>
    <n v="0.28789999999999999"/>
    <n v="0.49"/>
    <n v="0.25369999999999998"/>
    <n v="15"/>
    <n v="68"/>
    <n v="83"/>
    <b v="1"/>
    <s v="January"/>
    <s v="Tuesday"/>
    <s v="Weekday"/>
    <s v="Spring"/>
    <x v="0"/>
    <s v="Off Peak"/>
    <s v="Medium"/>
    <s v="Medium"/>
  </r>
  <r>
    <n v="86"/>
    <d v="2011-01-04T00:00:00"/>
    <n v="1"/>
    <n v="0"/>
    <n v="1"/>
    <x v="17"/>
    <b v="0"/>
    <n v="2"/>
    <n v="1"/>
    <n v="0.28000000000000003"/>
    <n v="0.2727"/>
    <n v="0.48"/>
    <n v="0.22389999999999999"/>
    <n v="10"/>
    <n v="202"/>
    <n v="212"/>
    <b v="1"/>
    <s v="January"/>
    <s v="Tuesday"/>
    <s v="Weekday"/>
    <s v="Spring"/>
    <x v="0"/>
    <s v="Evening Peak"/>
    <s v="Low"/>
    <s v="Medium"/>
  </r>
  <r>
    <n v="87"/>
    <d v="2011-01-04T00:00:00"/>
    <n v="1"/>
    <n v="0"/>
    <n v="1"/>
    <x v="18"/>
    <b v="0"/>
    <n v="2"/>
    <n v="1"/>
    <n v="0.26"/>
    <n v="0.2576"/>
    <n v="0.48"/>
    <n v="0.19400000000000001"/>
    <n v="3"/>
    <n v="179"/>
    <n v="182"/>
    <b v="1"/>
    <s v="January"/>
    <s v="Tuesday"/>
    <s v="Weekday"/>
    <s v="Spring"/>
    <x v="0"/>
    <s v="Evening Peak"/>
    <s v="Low"/>
    <s v="Medium"/>
  </r>
  <r>
    <n v="88"/>
    <d v="2011-01-04T00:00:00"/>
    <n v="1"/>
    <n v="0"/>
    <n v="1"/>
    <x v="19"/>
    <b v="0"/>
    <n v="2"/>
    <n v="1"/>
    <n v="0.24"/>
    <n v="0.2576"/>
    <n v="0.48"/>
    <n v="0.1045"/>
    <n v="2"/>
    <n v="110"/>
    <n v="112"/>
    <b v="1"/>
    <s v="January"/>
    <s v="Tuesday"/>
    <s v="Weekday"/>
    <s v="Spring"/>
    <x v="0"/>
    <s v="Evening Peak"/>
    <s v="Low"/>
    <s v="Medium"/>
  </r>
  <r>
    <n v="89"/>
    <d v="2011-01-04T00:00:00"/>
    <n v="1"/>
    <n v="0"/>
    <n v="1"/>
    <x v="20"/>
    <b v="0"/>
    <n v="2"/>
    <n v="1"/>
    <n v="0.24"/>
    <n v="0.2576"/>
    <n v="0.48"/>
    <n v="0.1045"/>
    <n v="1"/>
    <n v="53"/>
    <n v="54"/>
    <b v="1"/>
    <s v="January"/>
    <s v="Tuesday"/>
    <s v="Weekday"/>
    <s v="Spring"/>
    <x v="0"/>
    <s v="Evening Peak"/>
    <s v="Low"/>
    <s v="Medium"/>
  </r>
  <r>
    <n v="90"/>
    <d v="2011-01-04T00:00:00"/>
    <n v="1"/>
    <n v="0"/>
    <n v="1"/>
    <x v="21"/>
    <b v="0"/>
    <n v="2"/>
    <n v="1"/>
    <n v="0.22"/>
    <n v="0.2727"/>
    <n v="0.64"/>
    <n v="0"/>
    <n v="0"/>
    <n v="48"/>
    <n v="48"/>
    <b v="1"/>
    <s v="January"/>
    <s v="Tuesday"/>
    <s v="Weekday"/>
    <s v="Spring"/>
    <x v="0"/>
    <s v="Off Peak"/>
    <s v="Low"/>
    <s v="Medium"/>
  </r>
  <r>
    <n v="91"/>
    <d v="2011-01-04T00:00:00"/>
    <n v="1"/>
    <n v="0"/>
    <n v="1"/>
    <x v="22"/>
    <b v="0"/>
    <n v="2"/>
    <n v="1"/>
    <n v="0.22"/>
    <n v="0.2576"/>
    <n v="0.64"/>
    <n v="8.9599999999999999E-2"/>
    <n v="1"/>
    <n v="34"/>
    <n v="35"/>
    <b v="1"/>
    <s v="January"/>
    <s v="Tuesday"/>
    <s v="Weekday"/>
    <s v="Spring"/>
    <x v="0"/>
    <s v="Off Peak"/>
    <s v="Low"/>
    <s v="Medium"/>
  </r>
  <r>
    <n v="92"/>
    <d v="2011-01-04T00:00:00"/>
    <n v="1"/>
    <n v="0"/>
    <n v="1"/>
    <x v="23"/>
    <b v="0"/>
    <n v="2"/>
    <n v="1"/>
    <n v="0.2"/>
    <n v="0.2273"/>
    <n v="0.69"/>
    <n v="8.9599999999999999E-2"/>
    <n v="2"/>
    <n v="9"/>
    <n v="11"/>
    <b v="1"/>
    <s v="January"/>
    <s v="Tuesday"/>
    <s v="Weekday"/>
    <s v="Spring"/>
    <x v="0"/>
    <s v="Off Peak"/>
    <s v="Low"/>
    <s v="Medium"/>
  </r>
  <r>
    <n v="93"/>
    <d v="2011-01-05T00:00:00"/>
    <n v="1"/>
    <n v="0"/>
    <n v="1"/>
    <x v="0"/>
    <b v="0"/>
    <n v="3"/>
    <n v="1"/>
    <n v="0.2"/>
    <n v="0.2576"/>
    <n v="0.64"/>
    <n v="0"/>
    <n v="0"/>
    <n v="6"/>
    <n v="6"/>
    <b v="1"/>
    <s v="January"/>
    <s v="Wednesday"/>
    <s v="Weekday"/>
    <s v="Spring"/>
    <x v="0"/>
    <s v="Off Peak"/>
    <s v="Low"/>
    <s v="Medium"/>
  </r>
  <r>
    <n v="94"/>
    <d v="2011-01-05T00:00:00"/>
    <n v="1"/>
    <n v="0"/>
    <n v="1"/>
    <x v="1"/>
    <b v="0"/>
    <n v="3"/>
    <n v="1"/>
    <n v="0.16"/>
    <n v="0.19700000000000001"/>
    <n v="0.74"/>
    <n v="8.9599999999999999E-2"/>
    <n v="0"/>
    <n v="6"/>
    <n v="6"/>
    <b v="1"/>
    <s v="January"/>
    <s v="Wednesday"/>
    <s v="Weekday"/>
    <s v="Spring"/>
    <x v="0"/>
    <s v="Off Peak"/>
    <s v="Low"/>
    <s v="High"/>
  </r>
  <r>
    <n v="95"/>
    <d v="2011-01-05T00:00:00"/>
    <n v="1"/>
    <n v="0"/>
    <n v="1"/>
    <x v="2"/>
    <b v="0"/>
    <n v="3"/>
    <n v="1"/>
    <n v="0.16"/>
    <n v="0.19700000000000001"/>
    <n v="0.74"/>
    <n v="8.9599999999999999E-2"/>
    <n v="0"/>
    <n v="2"/>
    <n v="2"/>
    <b v="1"/>
    <s v="January"/>
    <s v="Wednesday"/>
    <s v="Weekday"/>
    <s v="Spring"/>
    <x v="0"/>
    <s v="Off Peak"/>
    <s v="Low"/>
    <s v="High"/>
  </r>
  <r>
    <n v="96"/>
    <d v="2011-01-05T00:00:00"/>
    <n v="1"/>
    <n v="0"/>
    <n v="1"/>
    <x v="4"/>
    <b v="0"/>
    <n v="3"/>
    <n v="1"/>
    <n v="0.24"/>
    <n v="0.2273"/>
    <n v="0.48"/>
    <n v="0.22389999999999999"/>
    <n v="0"/>
    <n v="2"/>
    <n v="2"/>
    <b v="1"/>
    <s v="January"/>
    <s v="Wednesday"/>
    <s v="Weekday"/>
    <s v="Spring"/>
    <x v="0"/>
    <s v="Off Peak"/>
    <s v="Low"/>
    <s v="Medium"/>
  </r>
  <r>
    <n v="97"/>
    <d v="2011-01-05T00:00:00"/>
    <n v="1"/>
    <n v="0"/>
    <n v="1"/>
    <x v="5"/>
    <b v="0"/>
    <n v="3"/>
    <n v="1"/>
    <n v="0.22"/>
    <n v="0.2273"/>
    <n v="0.47"/>
    <n v="0.16420000000000001"/>
    <n v="0"/>
    <n v="3"/>
    <n v="3"/>
    <b v="1"/>
    <s v="January"/>
    <s v="Wednesday"/>
    <s v="Weekday"/>
    <s v="Spring"/>
    <x v="0"/>
    <s v="Off Peak"/>
    <s v="Low"/>
    <s v="Medium"/>
  </r>
  <r>
    <n v="98"/>
    <d v="2011-01-05T00:00:00"/>
    <n v="1"/>
    <n v="0"/>
    <n v="1"/>
    <x v="6"/>
    <b v="0"/>
    <n v="3"/>
    <n v="1"/>
    <n v="0.2"/>
    <n v="0.19700000000000001"/>
    <n v="0.47"/>
    <n v="0.22389999999999999"/>
    <n v="0"/>
    <n v="33"/>
    <n v="33"/>
    <b v="1"/>
    <s v="January"/>
    <s v="Wednesday"/>
    <s v="Weekday"/>
    <s v="Spring"/>
    <x v="0"/>
    <s v="Off Peak"/>
    <s v="Low"/>
    <s v="Medium"/>
  </r>
  <r>
    <n v="99"/>
    <d v="2011-01-05T00:00:00"/>
    <n v="1"/>
    <n v="0"/>
    <n v="1"/>
    <x v="7"/>
    <b v="0"/>
    <n v="3"/>
    <n v="1"/>
    <n v="0.18"/>
    <n v="0.18179999999999999"/>
    <n v="0.43"/>
    <n v="0.19400000000000001"/>
    <n v="1"/>
    <n v="87"/>
    <n v="88"/>
    <b v="1"/>
    <s v="January"/>
    <s v="Wednesday"/>
    <s v="Weekday"/>
    <s v="Spring"/>
    <x v="0"/>
    <s v="Morning Peak"/>
    <s v="Low"/>
    <s v="Medium"/>
  </r>
  <r>
    <n v="100"/>
    <d v="2011-01-05T00:00:00"/>
    <n v="1"/>
    <n v="0"/>
    <n v="1"/>
    <x v="8"/>
    <b v="0"/>
    <n v="3"/>
    <n v="1"/>
    <n v="0.2"/>
    <n v="0.18179999999999999"/>
    <n v="0.4"/>
    <n v="0.29849999999999999"/>
    <n v="3"/>
    <n v="192"/>
    <n v="195"/>
    <b v="1"/>
    <s v="January"/>
    <s v="Wednesday"/>
    <s v="Weekday"/>
    <s v="Spring"/>
    <x v="0"/>
    <s v="Morning Peak"/>
    <s v="Low"/>
    <s v="Medium"/>
  </r>
  <r>
    <n v="101"/>
    <d v="2011-01-05T00:00:00"/>
    <n v="1"/>
    <n v="0"/>
    <n v="1"/>
    <x v="9"/>
    <b v="0"/>
    <n v="3"/>
    <n v="1"/>
    <n v="0.22"/>
    <n v="0.19700000000000001"/>
    <n v="0.37"/>
    <n v="0.32840000000000003"/>
    <n v="6"/>
    <n v="109"/>
    <n v="115"/>
    <b v="1"/>
    <s v="January"/>
    <s v="Wednesday"/>
    <s v="Weekday"/>
    <s v="Spring"/>
    <x v="0"/>
    <s v="Morning Peak"/>
    <s v="Low"/>
    <s v="Low"/>
  </r>
  <r>
    <n v="102"/>
    <d v="2011-01-05T00:00:00"/>
    <n v="1"/>
    <n v="0"/>
    <n v="1"/>
    <x v="10"/>
    <b v="0"/>
    <n v="3"/>
    <n v="1"/>
    <n v="0.22"/>
    <n v="0.19700000000000001"/>
    <n v="0.37"/>
    <n v="0.32840000000000003"/>
    <n v="4"/>
    <n v="53"/>
    <n v="57"/>
    <b v="1"/>
    <s v="January"/>
    <s v="Wednesday"/>
    <s v="Weekday"/>
    <s v="Spring"/>
    <x v="0"/>
    <s v="Off Peak"/>
    <s v="Low"/>
    <s v="Low"/>
  </r>
  <r>
    <n v="103"/>
    <d v="2011-01-05T00:00:00"/>
    <n v="1"/>
    <n v="0"/>
    <n v="1"/>
    <x v="11"/>
    <b v="0"/>
    <n v="3"/>
    <n v="1"/>
    <n v="0.26"/>
    <n v="0.2273"/>
    <n v="0.33"/>
    <n v="0.32840000000000003"/>
    <n v="12"/>
    <n v="34"/>
    <n v="46"/>
    <b v="1"/>
    <s v="January"/>
    <s v="Wednesday"/>
    <s v="Weekday"/>
    <s v="Spring"/>
    <x v="0"/>
    <s v="Off Peak"/>
    <s v="Low"/>
    <s v="Low"/>
  </r>
  <r>
    <n v="104"/>
    <d v="2011-01-05T00:00:00"/>
    <n v="1"/>
    <n v="0"/>
    <n v="1"/>
    <x v="12"/>
    <b v="0"/>
    <n v="3"/>
    <n v="1"/>
    <n v="0.26"/>
    <n v="0.2273"/>
    <n v="0.33"/>
    <n v="0.32840000000000003"/>
    <n v="5"/>
    <n v="74"/>
    <n v="79"/>
    <b v="1"/>
    <s v="January"/>
    <s v="Wednesday"/>
    <s v="Weekday"/>
    <s v="Spring"/>
    <x v="0"/>
    <s v="Off Peak"/>
    <s v="Low"/>
    <s v="Low"/>
  </r>
  <r>
    <n v="105"/>
    <d v="2011-01-05T00:00:00"/>
    <n v="1"/>
    <n v="0"/>
    <n v="1"/>
    <x v="13"/>
    <b v="0"/>
    <n v="3"/>
    <n v="1"/>
    <n v="0.28000000000000003"/>
    <n v="0.2576"/>
    <n v="0.3"/>
    <n v="0.29849999999999999"/>
    <n v="6"/>
    <n v="65"/>
    <n v="71"/>
    <b v="1"/>
    <s v="January"/>
    <s v="Wednesday"/>
    <s v="Weekday"/>
    <s v="Spring"/>
    <x v="0"/>
    <s v="Off Peak"/>
    <s v="Low"/>
    <s v="Low"/>
  </r>
  <r>
    <n v="106"/>
    <d v="2011-01-05T00:00:00"/>
    <n v="1"/>
    <n v="0"/>
    <n v="1"/>
    <x v="14"/>
    <b v="0"/>
    <n v="3"/>
    <n v="1"/>
    <n v="0.3"/>
    <n v="0.28789999999999999"/>
    <n v="0.28000000000000003"/>
    <n v="0.19400000000000001"/>
    <n v="10"/>
    <n v="52"/>
    <n v="62"/>
    <b v="1"/>
    <s v="January"/>
    <s v="Wednesday"/>
    <s v="Weekday"/>
    <s v="Spring"/>
    <x v="0"/>
    <s v="Off Peak"/>
    <s v="Medium"/>
    <s v="Low"/>
  </r>
  <r>
    <n v="107"/>
    <d v="2011-01-05T00:00:00"/>
    <n v="1"/>
    <n v="0"/>
    <n v="1"/>
    <x v="15"/>
    <b v="0"/>
    <n v="3"/>
    <n v="1"/>
    <n v="0.3"/>
    <n v="0.28789999999999999"/>
    <n v="0.28000000000000003"/>
    <n v="0.19400000000000001"/>
    <n v="7"/>
    <n v="55"/>
    <n v="62"/>
    <b v="1"/>
    <s v="January"/>
    <s v="Wednesday"/>
    <s v="Weekday"/>
    <s v="Spring"/>
    <x v="0"/>
    <s v="Off Peak"/>
    <s v="Medium"/>
    <s v="Low"/>
  </r>
  <r>
    <n v="108"/>
    <d v="2011-01-05T00:00:00"/>
    <n v="1"/>
    <n v="0"/>
    <n v="1"/>
    <x v="16"/>
    <b v="0"/>
    <n v="3"/>
    <n v="1"/>
    <n v="0.3"/>
    <n v="0.31819999999999998"/>
    <n v="0.28000000000000003"/>
    <n v="8.9599999999999999E-2"/>
    <n v="4"/>
    <n v="85"/>
    <n v="89"/>
    <b v="1"/>
    <s v="January"/>
    <s v="Wednesday"/>
    <s v="Weekday"/>
    <s v="Spring"/>
    <x v="0"/>
    <s v="Off Peak"/>
    <s v="Medium"/>
    <s v="Low"/>
  </r>
  <r>
    <n v="109"/>
    <d v="2011-01-05T00:00:00"/>
    <n v="1"/>
    <n v="0"/>
    <n v="1"/>
    <x v="17"/>
    <b v="0"/>
    <n v="3"/>
    <n v="1"/>
    <n v="0.24"/>
    <n v="0.2273"/>
    <n v="0.38"/>
    <n v="0.19400000000000001"/>
    <n v="4"/>
    <n v="186"/>
    <n v="190"/>
    <b v="1"/>
    <s v="January"/>
    <s v="Wednesday"/>
    <s v="Weekday"/>
    <s v="Spring"/>
    <x v="0"/>
    <s v="Evening Peak"/>
    <s v="Low"/>
    <s v="Low"/>
  </r>
  <r>
    <n v="110"/>
    <d v="2011-01-05T00:00:00"/>
    <n v="1"/>
    <n v="0"/>
    <n v="1"/>
    <x v="18"/>
    <b v="0"/>
    <n v="3"/>
    <n v="1"/>
    <n v="0.24"/>
    <n v="0.2424"/>
    <n v="0.38"/>
    <n v="0.1343"/>
    <n v="3"/>
    <n v="166"/>
    <n v="169"/>
    <b v="1"/>
    <s v="January"/>
    <s v="Wednesday"/>
    <s v="Weekday"/>
    <s v="Spring"/>
    <x v="0"/>
    <s v="Evening Peak"/>
    <s v="Low"/>
    <s v="Low"/>
  </r>
  <r>
    <n v="111"/>
    <d v="2011-01-05T00:00:00"/>
    <n v="1"/>
    <n v="0"/>
    <n v="1"/>
    <x v="19"/>
    <b v="0"/>
    <n v="3"/>
    <n v="1"/>
    <n v="0.24"/>
    <n v="0.2576"/>
    <n v="0.38"/>
    <n v="0.1045"/>
    <n v="5"/>
    <n v="127"/>
    <n v="132"/>
    <b v="1"/>
    <s v="January"/>
    <s v="Wednesday"/>
    <s v="Weekday"/>
    <s v="Spring"/>
    <x v="0"/>
    <s v="Evening Peak"/>
    <s v="Low"/>
    <s v="Low"/>
  </r>
  <r>
    <n v="112"/>
    <d v="2011-01-05T00:00:00"/>
    <n v="1"/>
    <n v="0"/>
    <n v="1"/>
    <x v="20"/>
    <b v="0"/>
    <n v="3"/>
    <n v="1"/>
    <n v="0.22"/>
    <n v="0.2273"/>
    <n v="0.47"/>
    <n v="0.16420000000000001"/>
    <n v="7"/>
    <n v="82"/>
    <n v="89"/>
    <b v="1"/>
    <s v="January"/>
    <s v="Wednesday"/>
    <s v="Weekday"/>
    <s v="Spring"/>
    <x v="0"/>
    <s v="Evening Peak"/>
    <s v="Low"/>
    <s v="Medium"/>
  </r>
  <r>
    <n v="113"/>
    <d v="2011-01-05T00:00:00"/>
    <n v="1"/>
    <n v="0"/>
    <n v="1"/>
    <x v="21"/>
    <b v="0"/>
    <n v="3"/>
    <n v="1"/>
    <n v="0.2"/>
    <n v="0.19700000000000001"/>
    <n v="0.51"/>
    <n v="0.19400000000000001"/>
    <n v="3"/>
    <n v="40"/>
    <n v="43"/>
    <b v="1"/>
    <s v="January"/>
    <s v="Wednesday"/>
    <s v="Weekday"/>
    <s v="Spring"/>
    <x v="0"/>
    <s v="Off Peak"/>
    <s v="Low"/>
    <s v="Medium"/>
  </r>
  <r>
    <n v="114"/>
    <d v="2011-01-05T00:00:00"/>
    <n v="1"/>
    <n v="0"/>
    <n v="1"/>
    <x v="22"/>
    <b v="0"/>
    <n v="3"/>
    <n v="1"/>
    <n v="0.18"/>
    <n v="0.19700000000000001"/>
    <n v="0.55000000000000004"/>
    <n v="0.1343"/>
    <n v="1"/>
    <n v="41"/>
    <n v="42"/>
    <b v="1"/>
    <s v="January"/>
    <s v="Wednesday"/>
    <s v="Weekday"/>
    <s v="Spring"/>
    <x v="0"/>
    <s v="Off Peak"/>
    <s v="Low"/>
    <s v="Medium"/>
  </r>
  <r>
    <n v="115"/>
    <d v="2011-01-05T00:00:00"/>
    <n v="1"/>
    <n v="0"/>
    <n v="1"/>
    <x v="23"/>
    <b v="0"/>
    <n v="3"/>
    <n v="1"/>
    <n v="0.2"/>
    <n v="0.2576"/>
    <n v="0.47"/>
    <n v="0"/>
    <n v="1"/>
    <n v="18"/>
    <n v="19"/>
    <b v="1"/>
    <s v="January"/>
    <s v="Wednesday"/>
    <s v="Weekday"/>
    <s v="Spring"/>
    <x v="0"/>
    <s v="Off Peak"/>
    <s v="Low"/>
    <s v="Medium"/>
  </r>
  <r>
    <n v="116"/>
    <d v="2011-01-06T00:00:00"/>
    <n v="1"/>
    <n v="0"/>
    <n v="1"/>
    <x v="0"/>
    <b v="0"/>
    <n v="4"/>
    <n v="1"/>
    <n v="0.18"/>
    <n v="0.2424"/>
    <n v="0.55000000000000004"/>
    <n v="0"/>
    <n v="0"/>
    <n v="11"/>
    <n v="11"/>
    <b v="1"/>
    <s v="January"/>
    <s v="Thursday"/>
    <s v="Weekday"/>
    <s v="Spring"/>
    <x v="0"/>
    <s v="Off Peak"/>
    <s v="Low"/>
    <s v="Medium"/>
  </r>
  <r>
    <n v="117"/>
    <d v="2011-01-06T00:00:00"/>
    <n v="1"/>
    <n v="0"/>
    <n v="1"/>
    <x v="1"/>
    <b v="0"/>
    <n v="4"/>
    <n v="1"/>
    <n v="0.16"/>
    <n v="0.2273"/>
    <n v="0.64"/>
    <n v="0"/>
    <n v="0"/>
    <n v="4"/>
    <n v="4"/>
    <b v="1"/>
    <s v="January"/>
    <s v="Thursday"/>
    <s v="Weekday"/>
    <s v="Spring"/>
    <x v="0"/>
    <s v="Off Peak"/>
    <s v="Low"/>
    <s v="Medium"/>
  </r>
  <r>
    <n v="118"/>
    <d v="2011-01-06T00:00:00"/>
    <n v="1"/>
    <n v="0"/>
    <n v="1"/>
    <x v="2"/>
    <b v="0"/>
    <n v="4"/>
    <n v="1"/>
    <n v="0.16"/>
    <n v="0.2273"/>
    <n v="0.64"/>
    <n v="0"/>
    <n v="0"/>
    <n v="2"/>
    <n v="2"/>
    <b v="1"/>
    <s v="January"/>
    <s v="Thursday"/>
    <s v="Weekday"/>
    <s v="Spring"/>
    <x v="0"/>
    <s v="Off Peak"/>
    <s v="Low"/>
    <s v="Medium"/>
  </r>
  <r>
    <n v="119"/>
    <d v="2011-01-06T00:00:00"/>
    <n v="1"/>
    <n v="0"/>
    <n v="1"/>
    <x v="4"/>
    <b v="0"/>
    <n v="4"/>
    <n v="2"/>
    <n v="0.16"/>
    <n v="0.19700000000000001"/>
    <n v="0.64"/>
    <n v="8.9599999999999999E-2"/>
    <n v="0"/>
    <n v="1"/>
    <n v="1"/>
    <b v="1"/>
    <s v="January"/>
    <s v="Thursday"/>
    <s v="Weekday"/>
    <s v="Spring"/>
    <x v="1"/>
    <s v="Off Peak"/>
    <s v="Low"/>
    <s v="Medium"/>
  </r>
  <r>
    <n v="120"/>
    <d v="2011-01-06T00:00:00"/>
    <n v="1"/>
    <n v="0"/>
    <n v="1"/>
    <x v="5"/>
    <b v="0"/>
    <n v="4"/>
    <n v="2"/>
    <n v="0.14000000000000001"/>
    <n v="0.18179999999999999"/>
    <n v="0.69"/>
    <n v="8.9599999999999999E-2"/>
    <n v="0"/>
    <n v="4"/>
    <n v="4"/>
    <b v="1"/>
    <s v="January"/>
    <s v="Thursday"/>
    <s v="Weekday"/>
    <s v="Spring"/>
    <x v="1"/>
    <s v="Off Peak"/>
    <s v="Low"/>
    <s v="Medium"/>
  </r>
  <r>
    <n v="121"/>
    <d v="2011-01-06T00:00:00"/>
    <n v="1"/>
    <n v="0"/>
    <n v="1"/>
    <x v="6"/>
    <b v="0"/>
    <n v="4"/>
    <n v="2"/>
    <n v="0.14000000000000001"/>
    <n v="0.16669999999999999"/>
    <n v="0.63"/>
    <n v="0.1045"/>
    <n v="0"/>
    <n v="36"/>
    <n v="36"/>
    <b v="1"/>
    <s v="January"/>
    <s v="Thursday"/>
    <s v="Weekday"/>
    <s v="Spring"/>
    <x v="1"/>
    <s v="Off Peak"/>
    <s v="Low"/>
    <s v="Medium"/>
  </r>
  <r>
    <n v="122"/>
    <d v="2011-01-06T00:00:00"/>
    <n v="1"/>
    <n v="0"/>
    <n v="1"/>
    <x v="7"/>
    <b v="0"/>
    <n v="4"/>
    <n v="2"/>
    <n v="0.16"/>
    <n v="0.2273"/>
    <n v="0.59"/>
    <n v="0"/>
    <n v="0"/>
    <n v="95"/>
    <n v="95"/>
    <b v="1"/>
    <s v="January"/>
    <s v="Thursday"/>
    <s v="Weekday"/>
    <s v="Spring"/>
    <x v="1"/>
    <s v="Morning Peak"/>
    <s v="Low"/>
    <s v="Medium"/>
  </r>
  <r>
    <n v="123"/>
    <d v="2011-01-06T00:00:00"/>
    <n v="1"/>
    <n v="0"/>
    <n v="1"/>
    <x v="8"/>
    <b v="0"/>
    <n v="4"/>
    <n v="1"/>
    <n v="0.16"/>
    <n v="0.2273"/>
    <n v="0.59"/>
    <n v="0"/>
    <n v="3"/>
    <n v="216"/>
    <n v="219"/>
    <b v="1"/>
    <s v="January"/>
    <s v="Thursday"/>
    <s v="Weekday"/>
    <s v="Spring"/>
    <x v="0"/>
    <s v="Morning Peak"/>
    <s v="Low"/>
    <s v="Medium"/>
  </r>
  <r>
    <n v="124"/>
    <d v="2011-01-06T00:00:00"/>
    <n v="1"/>
    <n v="0"/>
    <n v="1"/>
    <x v="9"/>
    <b v="0"/>
    <n v="4"/>
    <n v="2"/>
    <n v="0.18"/>
    <n v="0.2424"/>
    <n v="0.51"/>
    <n v="0"/>
    <n v="6"/>
    <n v="116"/>
    <n v="122"/>
    <b v="1"/>
    <s v="January"/>
    <s v="Thursday"/>
    <s v="Weekday"/>
    <s v="Spring"/>
    <x v="1"/>
    <s v="Morning Peak"/>
    <s v="Low"/>
    <s v="Medium"/>
  </r>
  <r>
    <n v="125"/>
    <d v="2011-01-06T00:00:00"/>
    <n v="1"/>
    <n v="0"/>
    <n v="1"/>
    <x v="10"/>
    <b v="0"/>
    <n v="4"/>
    <n v="1"/>
    <n v="0.2"/>
    <n v="0.2576"/>
    <n v="0.47"/>
    <n v="0"/>
    <n v="3"/>
    <n v="42"/>
    <n v="45"/>
    <b v="1"/>
    <s v="January"/>
    <s v="Thursday"/>
    <s v="Weekday"/>
    <s v="Spring"/>
    <x v="0"/>
    <s v="Off Peak"/>
    <s v="Low"/>
    <s v="Medium"/>
  </r>
  <r>
    <n v="126"/>
    <d v="2011-01-06T00:00:00"/>
    <n v="1"/>
    <n v="0"/>
    <n v="1"/>
    <x v="11"/>
    <b v="0"/>
    <n v="4"/>
    <n v="1"/>
    <n v="0.22"/>
    <n v="0.2576"/>
    <n v="0.44"/>
    <n v="8.9599999999999999E-2"/>
    <n v="2"/>
    <n v="57"/>
    <n v="59"/>
    <b v="1"/>
    <s v="January"/>
    <s v="Thursday"/>
    <s v="Weekday"/>
    <s v="Spring"/>
    <x v="0"/>
    <s v="Off Peak"/>
    <s v="Low"/>
    <s v="Medium"/>
  </r>
  <r>
    <n v="127"/>
    <d v="2011-01-06T00:00:00"/>
    <n v="1"/>
    <n v="0"/>
    <n v="1"/>
    <x v="12"/>
    <b v="0"/>
    <n v="4"/>
    <n v="1"/>
    <n v="0.26"/>
    <n v="0.28789999999999999"/>
    <n v="0.35"/>
    <n v="0"/>
    <n v="6"/>
    <n v="78"/>
    <n v="84"/>
    <b v="1"/>
    <s v="January"/>
    <s v="Thursday"/>
    <s v="Weekday"/>
    <s v="Spring"/>
    <x v="0"/>
    <s v="Off Peak"/>
    <s v="Low"/>
    <s v="Low"/>
  </r>
  <r>
    <n v="128"/>
    <d v="2011-01-06T00:00:00"/>
    <n v="1"/>
    <n v="0"/>
    <n v="1"/>
    <x v="13"/>
    <b v="0"/>
    <n v="4"/>
    <n v="1"/>
    <n v="0.26"/>
    <n v="0.2727"/>
    <n v="0.35"/>
    <n v="0.1045"/>
    <n v="12"/>
    <n v="55"/>
    <n v="67"/>
    <b v="1"/>
    <s v="January"/>
    <s v="Thursday"/>
    <s v="Weekday"/>
    <s v="Spring"/>
    <x v="0"/>
    <s v="Off Peak"/>
    <s v="Low"/>
    <s v="Low"/>
  </r>
  <r>
    <n v="129"/>
    <d v="2011-01-06T00:00:00"/>
    <n v="1"/>
    <n v="0"/>
    <n v="1"/>
    <x v="14"/>
    <b v="0"/>
    <n v="4"/>
    <n v="1"/>
    <n v="0.28000000000000003"/>
    <n v="0.2727"/>
    <n v="0.36"/>
    <n v="0.16420000000000001"/>
    <n v="11"/>
    <n v="59"/>
    <n v="70"/>
    <b v="1"/>
    <s v="January"/>
    <s v="Thursday"/>
    <s v="Weekday"/>
    <s v="Spring"/>
    <x v="0"/>
    <s v="Off Peak"/>
    <s v="Low"/>
    <s v="Low"/>
  </r>
  <r>
    <n v="130"/>
    <d v="2011-01-06T00:00:00"/>
    <n v="1"/>
    <n v="0"/>
    <n v="1"/>
    <x v="15"/>
    <b v="0"/>
    <n v="4"/>
    <n v="1"/>
    <n v="0.28000000000000003"/>
    <n v="0.2727"/>
    <n v="0.36"/>
    <n v="0"/>
    <n v="8"/>
    <n v="54"/>
    <n v="62"/>
    <b v="1"/>
    <s v="January"/>
    <s v="Thursday"/>
    <s v="Weekday"/>
    <s v="Spring"/>
    <x v="0"/>
    <s v="Off Peak"/>
    <s v="Low"/>
    <s v="Low"/>
  </r>
  <r>
    <n v="131"/>
    <d v="2011-01-06T00:00:00"/>
    <n v="1"/>
    <n v="0"/>
    <n v="1"/>
    <x v="16"/>
    <b v="0"/>
    <n v="4"/>
    <n v="1"/>
    <n v="0.26"/>
    <n v="0.2576"/>
    <n v="0.38"/>
    <n v="0.16420000000000001"/>
    <n v="12"/>
    <n v="74"/>
    <n v="86"/>
    <b v="1"/>
    <s v="January"/>
    <s v="Thursday"/>
    <s v="Weekday"/>
    <s v="Spring"/>
    <x v="0"/>
    <s v="Off Peak"/>
    <s v="Low"/>
    <s v="Low"/>
  </r>
  <r>
    <n v="132"/>
    <d v="2011-01-06T00:00:00"/>
    <n v="1"/>
    <n v="0"/>
    <n v="1"/>
    <x v="17"/>
    <b v="0"/>
    <n v="4"/>
    <n v="1"/>
    <n v="0.22"/>
    <n v="0.2273"/>
    <n v="0.51"/>
    <n v="0.16420000000000001"/>
    <n v="9"/>
    <n v="163"/>
    <n v="172"/>
    <b v="1"/>
    <s v="January"/>
    <s v="Thursday"/>
    <s v="Weekday"/>
    <s v="Spring"/>
    <x v="0"/>
    <s v="Evening Peak"/>
    <s v="Low"/>
    <s v="Medium"/>
  </r>
  <r>
    <n v="133"/>
    <d v="2011-01-06T00:00:00"/>
    <n v="1"/>
    <n v="0"/>
    <n v="1"/>
    <x v="18"/>
    <b v="0"/>
    <n v="4"/>
    <n v="1"/>
    <n v="0.22"/>
    <n v="0.2273"/>
    <n v="0.51"/>
    <n v="0.1343"/>
    <n v="5"/>
    <n v="158"/>
    <n v="163"/>
    <b v="1"/>
    <s v="January"/>
    <s v="Thursday"/>
    <s v="Weekday"/>
    <s v="Spring"/>
    <x v="0"/>
    <s v="Evening Peak"/>
    <s v="Low"/>
    <s v="Medium"/>
  </r>
  <r>
    <n v="134"/>
    <d v="2011-01-06T00:00:00"/>
    <n v="1"/>
    <n v="0"/>
    <n v="1"/>
    <x v="19"/>
    <b v="0"/>
    <n v="4"/>
    <n v="1"/>
    <n v="0.22"/>
    <n v="0.2576"/>
    <n v="0.55000000000000004"/>
    <n v="8.9599999999999999E-2"/>
    <n v="3"/>
    <n v="109"/>
    <n v="112"/>
    <b v="1"/>
    <s v="January"/>
    <s v="Thursday"/>
    <s v="Weekday"/>
    <s v="Spring"/>
    <x v="0"/>
    <s v="Evening Peak"/>
    <s v="Low"/>
    <s v="Medium"/>
  </r>
  <r>
    <n v="135"/>
    <d v="2011-01-06T00:00:00"/>
    <n v="1"/>
    <n v="0"/>
    <n v="1"/>
    <x v="20"/>
    <b v="0"/>
    <n v="4"/>
    <n v="1"/>
    <n v="0.2"/>
    <n v="0.21210000000000001"/>
    <n v="0.51"/>
    <n v="0.16420000000000001"/>
    <n v="3"/>
    <n v="66"/>
    <n v="69"/>
    <b v="1"/>
    <s v="January"/>
    <s v="Thursday"/>
    <s v="Weekday"/>
    <s v="Spring"/>
    <x v="0"/>
    <s v="Evening Peak"/>
    <s v="Low"/>
    <s v="Medium"/>
  </r>
  <r>
    <n v="136"/>
    <d v="2011-01-06T00:00:00"/>
    <n v="1"/>
    <n v="0"/>
    <n v="1"/>
    <x v="21"/>
    <b v="0"/>
    <n v="4"/>
    <n v="2"/>
    <n v="0.22"/>
    <n v="0.21210000000000001"/>
    <n v="0.55000000000000004"/>
    <n v="0.22389999999999999"/>
    <n v="0"/>
    <n v="48"/>
    <n v="48"/>
    <b v="1"/>
    <s v="January"/>
    <s v="Thursday"/>
    <s v="Weekday"/>
    <s v="Spring"/>
    <x v="1"/>
    <s v="Off Peak"/>
    <s v="Low"/>
    <s v="Medium"/>
  </r>
  <r>
    <n v="137"/>
    <d v="2011-01-06T00:00:00"/>
    <n v="1"/>
    <n v="0"/>
    <n v="1"/>
    <x v="22"/>
    <b v="0"/>
    <n v="4"/>
    <n v="2"/>
    <n v="0.22"/>
    <n v="0.21210000000000001"/>
    <n v="0.51"/>
    <n v="0.28360000000000002"/>
    <n v="1"/>
    <n v="51"/>
    <n v="52"/>
    <b v="1"/>
    <s v="January"/>
    <s v="Thursday"/>
    <s v="Weekday"/>
    <s v="Spring"/>
    <x v="1"/>
    <s v="Off Peak"/>
    <s v="Low"/>
    <s v="Medium"/>
  </r>
  <r>
    <n v="138"/>
    <d v="2011-01-06T00:00:00"/>
    <n v="1"/>
    <n v="0"/>
    <n v="1"/>
    <x v="23"/>
    <b v="0"/>
    <n v="4"/>
    <n v="2"/>
    <n v="0.2"/>
    <n v="0.19700000000000001"/>
    <n v="0.59"/>
    <n v="0.19400000000000001"/>
    <n v="4"/>
    <n v="19"/>
    <n v="23"/>
    <b v="1"/>
    <s v="January"/>
    <s v="Thursday"/>
    <s v="Weekday"/>
    <s v="Spring"/>
    <x v="1"/>
    <s v="Off Peak"/>
    <s v="Low"/>
    <s v="Medium"/>
  </r>
  <r>
    <n v="139"/>
    <d v="2011-01-07T00:00:00"/>
    <n v="1"/>
    <n v="0"/>
    <n v="1"/>
    <x v="0"/>
    <b v="0"/>
    <n v="5"/>
    <n v="2"/>
    <n v="0.2"/>
    <n v="0.19700000000000001"/>
    <n v="0.64"/>
    <n v="0.19400000000000001"/>
    <n v="4"/>
    <n v="13"/>
    <n v="17"/>
    <b v="1"/>
    <s v="January"/>
    <s v="Friday"/>
    <s v="Weekday"/>
    <s v="Spring"/>
    <x v="1"/>
    <s v="Off Peak"/>
    <s v="Low"/>
    <s v="Medium"/>
  </r>
  <r>
    <n v="140"/>
    <d v="2011-01-07T00:00:00"/>
    <n v="1"/>
    <n v="0"/>
    <n v="1"/>
    <x v="1"/>
    <b v="0"/>
    <n v="5"/>
    <n v="2"/>
    <n v="0.2"/>
    <n v="0.19700000000000001"/>
    <n v="0.69"/>
    <n v="0.22389999999999999"/>
    <n v="2"/>
    <n v="5"/>
    <n v="7"/>
    <b v="1"/>
    <s v="January"/>
    <s v="Friday"/>
    <s v="Weekday"/>
    <s v="Spring"/>
    <x v="1"/>
    <s v="Off Peak"/>
    <s v="Low"/>
    <s v="Medium"/>
  </r>
  <r>
    <n v="141"/>
    <d v="2011-01-07T00:00:00"/>
    <n v="1"/>
    <n v="0"/>
    <n v="1"/>
    <x v="2"/>
    <b v="0"/>
    <n v="5"/>
    <n v="2"/>
    <n v="0.2"/>
    <n v="0.19700000000000001"/>
    <n v="0.69"/>
    <n v="0.22389999999999999"/>
    <n v="0"/>
    <n v="1"/>
    <n v="1"/>
    <b v="1"/>
    <s v="January"/>
    <s v="Friday"/>
    <s v="Weekday"/>
    <s v="Spring"/>
    <x v="1"/>
    <s v="Off Peak"/>
    <s v="Low"/>
    <s v="Medium"/>
  </r>
  <r>
    <n v="142"/>
    <d v="2011-01-07T00:00:00"/>
    <n v="1"/>
    <n v="0"/>
    <n v="1"/>
    <x v="4"/>
    <b v="0"/>
    <n v="5"/>
    <n v="2"/>
    <n v="0.2"/>
    <n v="0.21210000000000001"/>
    <n v="0.69"/>
    <n v="0.1343"/>
    <n v="0"/>
    <n v="1"/>
    <n v="1"/>
    <b v="1"/>
    <s v="January"/>
    <s v="Friday"/>
    <s v="Weekday"/>
    <s v="Spring"/>
    <x v="1"/>
    <s v="Off Peak"/>
    <s v="Low"/>
    <s v="Medium"/>
  </r>
  <r>
    <n v="143"/>
    <d v="2011-01-07T00:00:00"/>
    <n v="1"/>
    <n v="0"/>
    <n v="1"/>
    <x v="5"/>
    <b v="0"/>
    <n v="5"/>
    <n v="3"/>
    <n v="0.22"/>
    <n v="0.2727"/>
    <n v="0.55000000000000004"/>
    <n v="0"/>
    <n v="0"/>
    <n v="5"/>
    <n v="5"/>
    <b v="1"/>
    <s v="January"/>
    <s v="Friday"/>
    <s v="Weekday"/>
    <s v="Spring"/>
    <x v="2"/>
    <s v="Off Peak"/>
    <s v="Low"/>
    <s v="Medium"/>
  </r>
  <r>
    <n v="144"/>
    <d v="2011-01-07T00:00:00"/>
    <n v="1"/>
    <n v="0"/>
    <n v="1"/>
    <x v="6"/>
    <b v="0"/>
    <n v="5"/>
    <n v="2"/>
    <n v="0.2"/>
    <n v="0.2576"/>
    <n v="0.69"/>
    <n v="0"/>
    <n v="8"/>
    <n v="26"/>
    <n v="34"/>
    <b v="1"/>
    <s v="January"/>
    <s v="Friday"/>
    <s v="Weekday"/>
    <s v="Spring"/>
    <x v="1"/>
    <s v="Off Peak"/>
    <s v="Low"/>
    <s v="Medium"/>
  </r>
  <r>
    <n v="145"/>
    <d v="2011-01-07T00:00:00"/>
    <n v="1"/>
    <n v="0"/>
    <n v="1"/>
    <x v="7"/>
    <b v="0"/>
    <n v="5"/>
    <n v="1"/>
    <n v="0.2"/>
    <n v="0.21210000000000001"/>
    <n v="0.69"/>
    <n v="0.1343"/>
    <n v="8"/>
    <n v="76"/>
    <n v="84"/>
    <b v="1"/>
    <s v="January"/>
    <s v="Friday"/>
    <s v="Weekday"/>
    <s v="Spring"/>
    <x v="0"/>
    <s v="Morning Peak"/>
    <s v="Low"/>
    <s v="Medium"/>
  </r>
  <r>
    <n v="146"/>
    <d v="2011-01-07T00:00:00"/>
    <n v="1"/>
    <n v="0"/>
    <n v="1"/>
    <x v="8"/>
    <b v="0"/>
    <n v="5"/>
    <n v="1"/>
    <n v="0.2"/>
    <n v="0.19700000000000001"/>
    <n v="0.51"/>
    <n v="0.25369999999999998"/>
    <n v="20"/>
    <n v="190"/>
    <n v="210"/>
    <b v="1"/>
    <s v="January"/>
    <s v="Friday"/>
    <s v="Weekday"/>
    <s v="Spring"/>
    <x v="0"/>
    <s v="Morning Peak"/>
    <s v="Low"/>
    <s v="Medium"/>
  </r>
  <r>
    <n v="147"/>
    <d v="2011-01-07T00:00:00"/>
    <n v="1"/>
    <n v="0"/>
    <n v="1"/>
    <x v="9"/>
    <b v="0"/>
    <n v="5"/>
    <n v="1"/>
    <n v="0.2"/>
    <n v="0.18179999999999999"/>
    <n v="0.47"/>
    <n v="0.29849999999999999"/>
    <n v="9"/>
    <n v="125"/>
    <n v="134"/>
    <b v="1"/>
    <s v="January"/>
    <s v="Friday"/>
    <s v="Weekday"/>
    <s v="Spring"/>
    <x v="0"/>
    <s v="Morning Peak"/>
    <s v="Low"/>
    <s v="Medium"/>
  </r>
  <r>
    <n v="148"/>
    <d v="2011-01-07T00:00:00"/>
    <n v="1"/>
    <n v="0"/>
    <n v="1"/>
    <x v="10"/>
    <b v="0"/>
    <n v="5"/>
    <n v="1"/>
    <n v="0.22"/>
    <n v="0.19700000000000001"/>
    <n v="0.37"/>
    <n v="0.32840000000000003"/>
    <n v="16"/>
    <n v="47"/>
    <n v="63"/>
    <b v="1"/>
    <s v="January"/>
    <s v="Friday"/>
    <s v="Weekday"/>
    <s v="Spring"/>
    <x v="0"/>
    <s v="Off Peak"/>
    <s v="Low"/>
    <s v="Low"/>
  </r>
  <r>
    <n v="149"/>
    <d v="2011-01-07T00:00:00"/>
    <n v="1"/>
    <n v="0"/>
    <n v="1"/>
    <x v="11"/>
    <b v="0"/>
    <n v="5"/>
    <n v="2"/>
    <n v="0.2"/>
    <n v="0.19700000000000001"/>
    <n v="0.4"/>
    <n v="0.22389999999999999"/>
    <n v="19"/>
    <n v="48"/>
    <n v="67"/>
    <b v="1"/>
    <s v="January"/>
    <s v="Friday"/>
    <s v="Weekday"/>
    <s v="Spring"/>
    <x v="1"/>
    <s v="Off Peak"/>
    <s v="Low"/>
    <s v="Medium"/>
  </r>
  <r>
    <n v="150"/>
    <d v="2011-01-07T00:00:00"/>
    <n v="1"/>
    <n v="0"/>
    <n v="1"/>
    <x v="12"/>
    <b v="0"/>
    <n v="5"/>
    <n v="2"/>
    <n v="0.2"/>
    <n v="0.19700000000000001"/>
    <n v="0.37"/>
    <n v="0.25369999999999998"/>
    <n v="9"/>
    <n v="50"/>
    <n v="59"/>
    <b v="1"/>
    <s v="January"/>
    <s v="Friday"/>
    <s v="Weekday"/>
    <s v="Spring"/>
    <x v="1"/>
    <s v="Off Peak"/>
    <s v="Low"/>
    <s v="Low"/>
  </r>
  <r>
    <n v="151"/>
    <d v="2011-01-07T00:00:00"/>
    <n v="1"/>
    <n v="0"/>
    <n v="1"/>
    <x v="13"/>
    <b v="0"/>
    <n v="5"/>
    <n v="2"/>
    <n v="0.2"/>
    <n v="0.18179999999999999"/>
    <n v="0.37"/>
    <n v="0.28360000000000002"/>
    <n v="9"/>
    <n v="64"/>
    <n v="73"/>
    <b v="1"/>
    <s v="January"/>
    <s v="Friday"/>
    <s v="Weekday"/>
    <s v="Spring"/>
    <x v="1"/>
    <s v="Off Peak"/>
    <s v="Low"/>
    <s v="Low"/>
  </r>
  <r>
    <n v="152"/>
    <d v="2011-01-07T00:00:00"/>
    <n v="1"/>
    <n v="0"/>
    <n v="1"/>
    <x v="14"/>
    <b v="0"/>
    <n v="5"/>
    <n v="2"/>
    <n v="0.2"/>
    <n v="0.19700000000000001"/>
    <n v="0.4"/>
    <n v="0.25369999999999998"/>
    <n v="7"/>
    <n v="43"/>
    <n v="50"/>
    <b v="1"/>
    <s v="January"/>
    <s v="Friday"/>
    <s v="Weekday"/>
    <s v="Spring"/>
    <x v="1"/>
    <s v="Off Peak"/>
    <s v="Low"/>
    <s v="Medium"/>
  </r>
  <r>
    <n v="153"/>
    <d v="2011-01-07T00:00:00"/>
    <n v="1"/>
    <n v="0"/>
    <n v="1"/>
    <x v="15"/>
    <b v="0"/>
    <n v="5"/>
    <n v="2"/>
    <n v="0.2"/>
    <n v="0.21210000000000001"/>
    <n v="0.37"/>
    <n v="0.16420000000000001"/>
    <n v="9"/>
    <n v="63"/>
    <n v="72"/>
    <b v="1"/>
    <s v="January"/>
    <s v="Friday"/>
    <s v="Weekday"/>
    <s v="Spring"/>
    <x v="1"/>
    <s v="Off Peak"/>
    <s v="Low"/>
    <s v="Low"/>
  </r>
  <r>
    <n v="154"/>
    <d v="2011-01-07T00:00:00"/>
    <n v="1"/>
    <n v="0"/>
    <n v="1"/>
    <x v="16"/>
    <b v="0"/>
    <n v="5"/>
    <n v="2"/>
    <n v="0.2"/>
    <n v="0.21210000000000001"/>
    <n v="0.37"/>
    <n v="0.16420000000000001"/>
    <n v="5"/>
    <n v="82"/>
    <n v="87"/>
    <b v="1"/>
    <s v="January"/>
    <s v="Friday"/>
    <s v="Weekday"/>
    <s v="Spring"/>
    <x v="1"/>
    <s v="Off Peak"/>
    <s v="Low"/>
    <s v="Low"/>
  </r>
  <r>
    <n v="155"/>
    <d v="2011-01-07T00:00:00"/>
    <n v="1"/>
    <n v="0"/>
    <n v="1"/>
    <x v="17"/>
    <b v="0"/>
    <n v="5"/>
    <n v="2"/>
    <n v="0.2"/>
    <n v="0.2576"/>
    <n v="0.37"/>
    <n v="0"/>
    <n v="9"/>
    <n v="178"/>
    <n v="187"/>
    <b v="1"/>
    <s v="January"/>
    <s v="Friday"/>
    <s v="Weekday"/>
    <s v="Spring"/>
    <x v="1"/>
    <s v="Evening Peak"/>
    <s v="Low"/>
    <s v="Low"/>
  </r>
  <r>
    <n v="156"/>
    <d v="2011-01-07T00:00:00"/>
    <n v="1"/>
    <n v="0"/>
    <n v="1"/>
    <x v="18"/>
    <b v="0"/>
    <n v="5"/>
    <n v="1"/>
    <n v="0.2"/>
    <n v="0.2273"/>
    <n v="0.4"/>
    <n v="8.9599999999999999E-2"/>
    <n v="7"/>
    <n v="116"/>
    <n v="123"/>
    <b v="1"/>
    <s v="January"/>
    <s v="Friday"/>
    <s v="Weekday"/>
    <s v="Spring"/>
    <x v="0"/>
    <s v="Evening Peak"/>
    <s v="Low"/>
    <s v="Medium"/>
  </r>
  <r>
    <n v="157"/>
    <d v="2011-01-07T00:00:00"/>
    <n v="1"/>
    <n v="0"/>
    <n v="1"/>
    <x v="19"/>
    <b v="0"/>
    <n v="5"/>
    <n v="1"/>
    <n v="0.16"/>
    <n v="0.19700000000000001"/>
    <n v="0.55000000000000004"/>
    <n v="8.9599999999999999E-2"/>
    <n v="3"/>
    <n v="92"/>
    <n v="95"/>
    <b v="1"/>
    <s v="January"/>
    <s v="Friday"/>
    <s v="Weekday"/>
    <s v="Spring"/>
    <x v="0"/>
    <s v="Evening Peak"/>
    <s v="Low"/>
    <s v="Medium"/>
  </r>
  <r>
    <n v="158"/>
    <d v="2011-01-07T00:00:00"/>
    <n v="1"/>
    <n v="0"/>
    <n v="1"/>
    <x v="20"/>
    <b v="0"/>
    <n v="5"/>
    <n v="1"/>
    <n v="0.18"/>
    <n v="0.21210000000000001"/>
    <n v="0.47"/>
    <n v="0.1045"/>
    <n v="1"/>
    <n v="50"/>
    <n v="51"/>
    <b v="1"/>
    <s v="January"/>
    <s v="Friday"/>
    <s v="Weekday"/>
    <s v="Spring"/>
    <x v="0"/>
    <s v="Evening Peak"/>
    <s v="Low"/>
    <s v="Medium"/>
  </r>
  <r>
    <n v="159"/>
    <d v="2011-01-07T00:00:00"/>
    <n v="1"/>
    <n v="0"/>
    <n v="1"/>
    <x v="21"/>
    <b v="0"/>
    <n v="5"/>
    <n v="1"/>
    <n v="0.18"/>
    <n v="0.19700000000000001"/>
    <n v="0.47"/>
    <n v="0.1343"/>
    <n v="0"/>
    <n v="39"/>
    <n v="39"/>
    <b v="1"/>
    <s v="January"/>
    <s v="Friday"/>
    <s v="Weekday"/>
    <s v="Spring"/>
    <x v="0"/>
    <s v="Off Peak"/>
    <s v="Low"/>
    <s v="Medium"/>
  </r>
  <r>
    <n v="160"/>
    <d v="2011-01-07T00:00:00"/>
    <n v="1"/>
    <n v="0"/>
    <n v="1"/>
    <x v="22"/>
    <b v="0"/>
    <n v="5"/>
    <n v="2"/>
    <n v="0.18"/>
    <n v="0.19700000000000001"/>
    <n v="0.43"/>
    <n v="0.16420000000000001"/>
    <n v="2"/>
    <n v="34"/>
    <n v="36"/>
    <b v="1"/>
    <s v="January"/>
    <s v="Friday"/>
    <s v="Weekday"/>
    <s v="Spring"/>
    <x v="1"/>
    <s v="Off Peak"/>
    <s v="Low"/>
    <s v="Medium"/>
  </r>
  <r>
    <n v="161"/>
    <d v="2011-01-07T00:00:00"/>
    <n v="1"/>
    <n v="0"/>
    <n v="1"/>
    <x v="23"/>
    <b v="0"/>
    <n v="5"/>
    <n v="2"/>
    <n v="0.18"/>
    <n v="0.19700000000000001"/>
    <n v="0.51"/>
    <n v="0.16420000000000001"/>
    <n v="1"/>
    <n v="14"/>
    <n v="15"/>
    <b v="1"/>
    <s v="January"/>
    <s v="Friday"/>
    <s v="Weekday"/>
    <s v="Spring"/>
    <x v="1"/>
    <s v="Off Peak"/>
    <s v="Low"/>
    <s v="Medium"/>
  </r>
  <r>
    <n v="162"/>
    <d v="2011-01-08T00:00:00"/>
    <n v="1"/>
    <n v="0"/>
    <n v="1"/>
    <x v="0"/>
    <b v="0"/>
    <n v="6"/>
    <n v="2"/>
    <n v="0.18"/>
    <n v="0.19700000000000001"/>
    <n v="0.51"/>
    <n v="0.16420000000000001"/>
    <n v="1"/>
    <n v="24"/>
    <n v="25"/>
    <b v="1"/>
    <s v="January"/>
    <s v="Saturday"/>
    <s v="Weekend"/>
    <s v="Spring"/>
    <x v="1"/>
    <s v="Off Peak"/>
    <s v="Low"/>
    <s v="Medium"/>
  </r>
  <r>
    <n v="163"/>
    <d v="2011-01-08T00:00:00"/>
    <n v="1"/>
    <n v="0"/>
    <n v="1"/>
    <x v="1"/>
    <b v="0"/>
    <n v="6"/>
    <n v="2"/>
    <n v="0.18"/>
    <n v="0.21210000000000001"/>
    <n v="0.55000000000000004"/>
    <n v="8.9599999999999999E-2"/>
    <n v="1"/>
    <n v="15"/>
    <n v="16"/>
    <b v="1"/>
    <s v="January"/>
    <s v="Saturday"/>
    <s v="Weekend"/>
    <s v="Spring"/>
    <x v="1"/>
    <s v="Off Peak"/>
    <s v="Low"/>
    <s v="Medium"/>
  </r>
  <r>
    <n v="164"/>
    <d v="2011-01-08T00:00:00"/>
    <n v="1"/>
    <n v="0"/>
    <n v="1"/>
    <x v="2"/>
    <b v="0"/>
    <n v="6"/>
    <n v="2"/>
    <n v="0.18"/>
    <n v="0.2424"/>
    <n v="0.55000000000000004"/>
    <n v="0"/>
    <n v="3"/>
    <n v="13"/>
    <n v="16"/>
    <b v="1"/>
    <s v="January"/>
    <s v="Saturday"/>
    <s v="Weekend"/>
    <s v="Spring"/>
    <x v="1"/>
    <s v="Off Peak"/>
    <s v="Low"/>
    <s v="Medium"/>
  </r>
  <r>
    <n v="165"/>
    <d v="2011-01-08T00:00:00"/>
    <n v="1"/>
    <n v="0"/>
    <n v="1"/>
    <x v="3"/>
    <b v="0"/>
    <n v="6"/>
    <n v="3"/>
    <n v="0.18"/>
    <n v="0.19700000000000001"/>
    <n v="0.55000000000000004"/>
    <n v="0.16420000000000001"/>
    <n v="0"/>
    <n v="7"/>
    <n v="7"/>
    <b v="1"/>
    <s v="January"/>
    <s v="Saturday"/>
    <s v="Weekend"/>
    <s v="Spring"/>
    <x v="2"/>
    <s v="Off Peak"/>
    <s v="Low"/>
    <s v="Medium"/>
  </r>
  <r>
    <n v="166"/>
    <d v="2011-01-08T00:00:00"/>
    <n v="1"/>
    <n v="0"/>
    <n v="1"/>
    <x v="4"/>
    <b v="0"/>
    <n v="6"/>
    <n v="3"/>
    <n v="0.18"/>
    <n v="0.19700000000000001"/>
    <n v="0.55000000000000004"/>
    <n v="0.16420000000000001"/>
    <n v="0"/>
    <n v="1"/>
    <n v="1"/>
    <b v="1"/>
    <s v="January"/>
    <s v="Saturday"/>
    <s v="Weekend"/>
    <s v="Spring"/>
    <x v="2"/>
    <s v="Off Peak"/>
    <s v="Low"/>
    <s v="Medium"/>
  </r>
  <r>
    <n v="167"/>
    <d v="2011-01-08T00:00:00"/>
    <n v="1"/>
    <n v="0"/>
    <n v="1"/>
    <x v="5"/>
    <b v="0"/>
    <n v="6"/>
    <n v="2"/>
    <n v="0.16"/>
    <n v="0.16669999999999999"/>
    <n v="0.74"/>
    <n v="0.16420000000000001"/>
    <n v="0"/>
    <n v="5"/>
    <n v="5"/>
    <b v="1"/>
    <s v="January"/>
    <s v="Saturday"/>
    <s v="Weekend"/>
    <s v="Spring"/>
    <x v="1"/>
    <s v="Off Peak"/>
    <s v="Low"/>
    <s v="High"/>
  </r>
  <r>
    <n v="168"/>
    <d v="2011-01-08T00:00:00"/>
    <n v="1"/>
    <n v="0"/>
    <n v="1"/>
    <x v="6"/>
    <b v="0"/>
    <n v="6"/>
    <n v="2"/>
    <n v="0.16"/>
    <n v="0.16669999999999999"/>
    <n v="0.74"/>
    <n v="0.16420000000000001"/>
    <n v="0"/>
    <n v="2"/>
    <n v="2"/>
    <b v="1"/>
    <s v="January"/>
    <s v="Saturday"/>
    <s v="Weekend"/>
    <s v="Spring"/>
    <x v="1"/>
    <s v="Off Peak"/>
    <s v="Low"/>
    <s v="High"/>
  </r>
  <r>
    <n v="169"/>
    <d v="2011-01-08T00:00:00"/>
    <n v="1"/>
    <n v="0"/>
    <n v="1"/>
    <x v="7"/>
    <b v="0"/>
    <n v="6"/>
    <n v="2"/>
    <n v="0.16"/>
    <n v="0.18179999999999999"/>
    <n v="0.74"/>
    <n v="0.1045"/>
    <n v="1"/>
    <n v="8"/>
    <n v="9"/>
    <b v="1"/>
    <s v="January"/>
    <s v="Saturday"/>
    <s v="Weekend"/>
    <s v="Spring"/>
    <x v="1"/>
    <s v="Morning Peak"/>
    <s v="Low"/>
    <s v="High"/>
  </r>
  <r>
    <n v="170"/>
    <d v="2011-01-08T00:00:00"/>
    <n v="1"/>
    <n v="0"/>
    <n v="1"/>
    <x v="8"/>
    <b v="0"/>
    <n v="6"/>
    <n v="3"/>
    <n v="0.16"/>
    <n v="0.18179999999999999"/>
    <n v="0.93"/>
    <n v="0.1045"/>
    <n v="0"/>
    <n v="15"/>
    <n v="15"/>
    <b v="1"/>
    <s v="January"/>
    <s v="Saturday"/>
    <s v="Weekend"/>
    <s v="Spring"/>
    <x v="2"/>
    <s v="Morning Peak"/>
    <s v="Low"/>
    <s v="High"/>
  </r>
  <r>
    <n v="171"/>
    <d v="2011-01-08T00:00:00"/>
    <n v="1"/>
    <n v="0"/>
    <n v="1"/>
    <x v="9"/>
    <b v="0"/>
    <n v="6"/>
    <n v="3"/>
    <n v="0.16"/>
    <n v="0.18179999999999999"/>
    <n v="0.93"/>
    <n v="0.1045"/>
    <n v="0"/>
    <n v="20"/>
    <n v="20"/>
    <b v="1"/>
    <s v="January"/>
    <s v="Saturday"/>
    <s v="Weekend"/>
    <s v="Spring"/>
    <x v="2"/>
    <s v="Morning Peak"/>
    <s v="Low"/>
    <s v="High"/>
  </r>
  <r>
    <n v="172"/>
    <d v="2011-01-08T00:00:00"/>
    <n v="1"/>
    <n v="0"/>
    <n v="1"/>
    <x v="10"/>
    <b v="0"/>
    <n v="6"/>
    <n v="2"/>
    <n v="0.18"/>
    <n v="0.19700000000000001"/>
    <n v="0.8"/>
    <n v="0.16420000000000001"/>
    <n v="5"/>
    <n v="56"/>
    <n v="61"/>
    <b v="1"/>
    <s v="January"/>
    <s v="Saturday"/>
    <s v="Weekend"/>
    <s v="Spring"/>
    <x v="1"/>
    <s v="Off Peak"/>
    <s v="Low"/>
    <s v="High"/>
  </r>
  <r>
    <n v="173"/>
    <d v="2011-01-08T00:00:00"/>
    <n v="1"/>
    <n v="0"/>
    <n v="1"/>
    <x v="11"/>
    <b v="0"/>
    <n v="6"/>
    <n v="2"/>
    <n v="0.2"/>
    <n v="0.18179999999999999"/>
    <n v="0.69"/>
    <n v="0.3881"/>
    <n v="2"/>
    <n v="60"/>
    <n v="62"/>
    <b v="1"/>
    <s v="January"/>
    <s v="Saturday"/>
    <s v="Weekend"/>
    <s v="Spring"/>
    <x v="1"/>
    <s v="Off Peak"/>
    <s v="Low"/>
    <s v="Medium"/>
  </r>
  <r>
    <n v="174"/>
    <d v="2011-01-08T00:00:00"/>
    <n v="1"/>
    <n v="0"/>
    <n v="1"/>
    <x v="12"/>
    <b v="0"/>
    <n v="6"/>
    <n v="2"/>
    <n v="0.2"/>
    <n v="0.18179999999999999"/>
    <n v="0.59"/>
    <n v="0.35820000000000002"/>
    <n v="8"/>
    <n v="90"/>
    <n v="98"/>
    <b v="1"/>
    <s v="January"/>
    <s v="Saturday"/>
    <s v="Weekend"/>
    <s v="Spring"/>
    <x v="1"/>
    <s v="Off Peak"/>
    <s v="Low"/>
    <s v="Medium"/>
  </r>
  <r>
    <n v="175"/>
    <d v="2011-01-08T00:00:00"/>
    <n v="1"/>
    <n v="0"/>
    <n v="1"/>
    <x v="13"/>
    <b v="0"/>
    <n v="6"/>
    <n v="1"/>
    <n v="0.2"/>
    <n v="0.18179999999999999"/>
    <n v="0.44"/>
    <n v="0.32840000000000003"/>
    <n v="7"/>
    <n v="95"/>
    <n v="102"/>
    <b v="1"/>
    <s v="January"/>
    <s v="Saturday"/>
    <s v="Weekend"/>
    <s v="Spring"/>
    <x v="0"/>
    <s v="Off Peak"/>
    <s v="Low"/>
    <s v="Medium"/>
  </r>
  <r>
    <n v="176"/>
    <d v="2011-01-08T00:00:00"/>
    <n v="1"/>
    <n v="0"/>
    <n v="1"/>
    <x v="14"/>
    <b v="0"/>
    <n v="6"/>
    <n v="1"/>
    <n v="0.2"/>
    <n v="0.16669999999999999"/>
    <n v="0.32"/>
    <n v="0.49249999999999999"/>
    <n v="12"/>
    <n v="83"/>
    <n v="95"/>
    <b v="1"/>
    <s v="January"/>
    <s v="Saturday"/>
    <s v="Weekend"/>
    <s v="Spring"/>
    <x v="0"/>
    <s v="Off Peak"/>
    <s v="Low"/>
    <s v="Low"/>
  </r>
  <r>
    <n v="177"/>
    <d v="2011-01-08T00:00:00"/>
    <n v="1"/>
    <n v="0"/>
    <n v="1"/>
    <x v="15"/>
    <b v="0"/>
    <n v="6"/>
    <n v="1"/>
    <n v="0.2"/>
    <n v="0.16669999999999999"/>
    <n v="0.32"/>
    <n v="0.44779999999999998"/>
    <n v="5"/>
    <n v="69"/>
    <n v="74"/>
    <b v="1"/>
    <s v="January"/>
    <s v="Saturday"/>
    <s v="Weekend"/>
    <s v="Spring"/>
    <x v="0"/>
    <s v="Off Peak"/>
    <s v="Low"/>
    <s v="Low"/>
  </r>
  <r>
    <n v="178"/>
    <d v="2011-01-08T00:00:00"/>
    <n v="1"/>
    <n v="0"/>
    <n v="1"/>
    <x v="16"/>
    <b v="0"/>
    <n v="6"/>
    <n v="1"/>
    <n v="0.18"/>
    <n v="0.13639999999999999"/>
    <n v="0.28999999999999998"/>
    <n v="0.44779999999999998"/>
    <n v="8"/>
    <n v="68"/>
    <n v="76"/>
    <b v="1"/>
    <s v="January"/>
    <s v="Saturday"/>
    <s v="Weekend"/>
    <s v="Spring"/>
    <x v="0"/>
    <s v="Off Peak"/>
    <s v="Low"/>
    <s v="Low"/>
  </r>
  <r>
    <n v="179"/>
    <d v="2011-01-08T00:00:00"/>
    <n v="1"/>
    <n v="0"/>
    <n v="1"/>
    <x v="17"/>
    <b v="0"/>
    <n v="6"/>
    <n v="1"/>
    <n v="0.16"/>
    <n v="0.1212"/>
    <n v="0.37"/>
    <n v="0.55220000000000002"/>
    <n v="5"/>
    <n v="64"/>
    <n v="69"/>
    <b v="1"/>
    <s v="January"/>
    <s v="Saturday"/>
    <s v="Weekend"/>
    <s v="Spring"/>
    <x v="0"/>
    <s v="Evening Peak"/>
    <s v="Low"/>
    <s v="Low"/>
  </r>
  <r>
    <n v="180"/>
    <d v="2011-01-08T00:00:00"/>
    <n v="1"/>
    <n v="0"/>
    <n v="1"/>
    <x v="18"/>
    <b v="0"/>
    <n v="6"/>
    <n v="1"/>
    <n v="0.14000000000000001"/>
    <n v="0.1212"/>
    <n v="0.39"/>
    <n v="0.29849999999999999"/>
    <n v="3"/>
    <n v="52"/>
    <n v="55"/>
    <b v="1"/>
    <s v="January"/>
    <s v="Saturday"/>
    <s v="Weekend"/>
    <s v="Spring"/>
    <x v="0"/>
    <s v="Evening Peak"/>
    <s v="Low"/>
    <s v="Low"/>
  </r>
  <r>
    <n v="181"/>
    <d v="2011-01-08T00:00:00"/>
    <n v="1"/>
    <n v="0"/>
    <n v="1"/>
    <x v="19"/>
    <b v="0"/>
    <n v="6"/>
    <n v="1"/>
    <n v="0.14000000000000001"/>
    <n v="0.1212"/>
    <n v="0.36"/>
    <n v="0.25369999999999998"/>
    <n v="4"/>
    <n v="26"/>
    <n v="30"/>
    <b v="1"/>
    <s v="January"/>
    <s v="Saturday"/>
    <s v="Weekend"/>
    <s v="Spring"/>
    <x v="0"/>
    <s v="Evening Peak"/>
    <s v="Low"/>
    <s v="Low"/>
  </r>
  <r>
    <n v="182"/>
    <d v="2011-01-08T00:00:00"/>
    <n v="1"/>
    <n v="0"/>
    <n v="1"/>
    <x v="20"/>
    <b v="0"/>
    <n v="6"/>
    <n v="1"/>
    <n v="0.12"/>
    <n v="0.1212"/>
    <n v="0.36"/>
    <n v="0.25369999999999998"/>
    <n v="0"/>
    <n v="28"/>
    <n v="28"/>
    <b v="1"/>
    <s v="January"/>
    <s v="Saturday"/>
    <s v="Weekend"/>
    <s v="Spring"/>
    <x v="0"/>
    <s v="Evening Peak"/>
    <s v="Low"/>
    <s v="Low"/>
  </r>
  <r>
    <n v="183"/>
    <d v="2011-01-08T00:00:00"/>
    <n v="1"/>
    <n v="0"/>
    <n v="1"/>
    <x v="21"/>
    <b v="0"/>
    <n v="6"/>
    <n v="1"/>
    <n v="0.12"/>
    <n v="0.1061"/>
    <n v="0.39"/>
    <n v="0.35820000000000002"/>
    <n v="2"/>
    <n v="35"/>
    <n v="37"/>
    <b v="1"/>
    <s v="January"/>
    <s v="Saturday"/>
    <s v="Weekend"/>
    <s v="Spring"/>
    <x v="0"/>
    <s v="Off Peak"/>
    <s v="Low"/>
    <s v="Low"/>
  </r>
  <r>
    <n v="184"/>
    <d v="2011-01-08T00:00:00"/>
    <n v="1"/>
    <n v="0"/>
    <n v="1"/>
    <x v="22"/>
    <b v="0"/>
    <n v="6"/>
    <n v="1"/>
    <n v="0.12"/>
    <n v="0.1061"/>
    <n v="0.36"/>
    <n v="0.3881"/>
    <n v="1"/>
    <n v="33"/>
    <n v="34"/>
    <b v="1"/>
    <s v="January"/>
    <s v="Saturday"/>
    <s v="Weekend"/>
    <s v="Spring"/>
    <x v="0"/>
    <s v="Off Peak"/>
    <s v="Low"/>
    <s v="Low"/>
  </r>
  <r>
    <n v="185"/>
    <d v="2011-01-08T00:00:00"/>
    <n v="1"/>
    <n v="0"/>
    <n v="1"/>
    <x v="23"/>
    <b v="0"/>
    <n v="6"/>
    <n v="1"/>
    <n v="0.1"/>
    <n v="6.0600000000000001E-2"/>
    <n v="0.39"/>
    <n v="0.44779999999999998"/>
    <n v="0"/>
    <n v="22"/>
    <n v="22"/>
    <b v="1"/>
    <s v="January"/>
    <s v="Saturday"/>
    <s v="Weekend"/>
    <s v="Spring"/>
    <x v="0"/>
    <s v="Off Peak"/>
    <s v="Low"/>
    <s v="Low"/>
  </r>
  <r>
    <n v="186"/>
    <d v="2011-01-09T00:00:00"/>
    <n v="1"/>
    <n v="0"/>
    <n v="1"/>
    <x v="0"/>
    <b v="0"/>
    <n v="0"/>
    <n v="1"/>
    <n v="0.1"/>
    <n v="7.5800000000000006E-2"/>
    <n v="0.42"/>
    <n v="0.3881"/>
    <n v="1"/>
    <n v="24"/>
    <n v="25"/>
    <b v="1"/>
    <s v="January"/>
    <s v="Sunday"/>
    <s v="Weekend"/>
    <s v="Spring"/>
    <x v="0"/>
    <s v="Off Peak"/>
    <s v="Low"/>
    <s v="Medium"/>
  </r>
  <r>
    <n v="187"/>
    <d v="2011-01-09T00:00:00"/>
    <n v="1"/>
    <n v="0"/>
    <n v="1"/>
    <x v="1"/>
    <b v="0"/>
    <n v="0"/>
    <n v="1"/>
    <n v="0.1"/>
    <n v="6.0600000000000001E-2"/>
    <n v="0.42"/>
    <n v="0.4627"/>
    <n v="0"/>
    <n v="12"/>
    <n v="12"/>
    <b v="1"/>
    <s v="January"/>
    <s v="Sunday"/>
    <s v="Weekend"/>
    <s v="Spring"/>
    <x v="0"/>
    <s v="Off Peak"/>
    <s v="Low"/>
    <s v="Medium"/>
  </r>
  <r>
    <n v="188"/>
    <d v="2011-01-09T00:00:00"/>
    <n v="1"/>
    <n v="0"/>
    <n v="1"/>
    <x v="2"/>
    <b v="0"/>
    <n v="0"/>
    <n v="1"/>
    <n v="0.1"/>
    <n v="6.0600000000000001E-2"/>
    <n v="0.46"/>
    <n v="0.4627"/>
    <n v="0"/>
    <n v="11"/>
    <n v="11"/>
    <b v="1"/>
    <s v="January"/>
    <s v="Sunday"/>
    <s v="Weekend"/>
    <s v="Spring"/>
    <x v="0"/>
    <s v="Off Peak"/>
    <s v="Low"/>
    <s v="Medium"/>
  </r>
  <r>
    <n v="189"/>
    <d v="2011-01-09T00:00:00"/>
    <n v="1"/>
    <n v="0"/>
    <n v="1"/>
    <x v="3"/>
    <b v="0"/>
    <n v="0"/>
    <n v="1"/>
    <n v="0.1"/>
    <n v="7.5800000000000006E-2"/>
    <n v="0.46"/>
    <n v="0.41789999999999999"/>
    <n v="0"/>
    <n v="4"/>
    <n v="4"/>
    <b v="1"/>
    <s v="January"/>
    <s v="Sunday"/>
    <s v="Weekend"/>
    <s v="Spring"/>
    <x v="0"/>
    <s v="Off Peak"/>
    <s v="Low"/>
    <s v="Medium"/>
  </r>
  <r>
    <n v="190"/>
    <d v="2011-01-09T00:00:00"/>
    <n v="1"/>
    <n v="0"/>
    <n v="1"/>
    <x v="4"/>
    <b v="0"/>
    <n v="0"/>
    <n v="1"/>
    <n v="0.08"/>
    <n v="9.0899999999999995E-2"/>
    <n v="0.53"/>
    <n v="0.19400000000000001"/>
    <n v="0"/>
    <n v="1"/>
    <n v="1"/>
    <b v="1"/>
    <s v="January"/>
    <s v="Sunday"/>
    <s v="Weekend"/>
    <s v="Spring"/>
    <x v="0"/>
    <s v="Off Peak"/>
    <s v="Low"/>
    <s v="Medium"/>
  </r>
  <r>
    <n v="191"/>
    <d v="2011-01-09T00:00:00"/>
    <n v="1"/>
    <n v="0"/>
    <n v="1"/>
    <x v="5"/>
    <b v="0"/>
    <n v="0"/>
    <n v="1"/>
    <n v="0.08"/>
    <n v="9.0899999999999995E-2"/>
    <n v="0.53"/>
    <n v="0.19400000000000001"/>
    <n v="0"/>
    <n v="1"/>
    <n v="1"/>
    <b v="1"/>
    <s v="January"/>
    <s v="Sunday"/>
    <s v="Weekend"/>
    <s v="Spring"/>
    <x v="0"/>
    <s v="Off Peak"/>
    <s v="Low"/>
    <s v="Medium"/>
  </r>
  <r>
    <n v="192"/>
    <d v="2011-01-09T00:00:00"/>
    <n v="1"/>
    <n v="0"/>
    <n v="1"/>
    <x v="6"/>
    <b v="0"/>
    <n v="0"/>
    <n v="1"/>
    <n v="0.1"/>
    <n v="9.0899999999999995E-2"/>
    <n v="0.49"/>
    <n v="0.28360000000000002"/>
    <n v="0"/>
    <n v="1"/>
    <n v="1"/>
    <b v="1"/>
    <s v="January"/>
    <s v="Sunday"/>
    <s v="Weekend"/>
    <s v="Spring"/>
    <x v="0"/>
    <s v="Off Peak"/>
    <s v="Low"/>
    <s v="Medium"/>
  </r>
  <r>
    <n v="193"/>
    <d v="2011-01-09T00:00:00"/>
    <n v="1"/>
    <n v="0"/>
    <n v="1"/>
    <x v="7"/>
    <b v="0"/>
    <n v="0"/>
    <n v="1"/>
    <n v="0.08"/>
    <n v="9.0899999999999995E-2"/>
    <n v="0.53"/>
    <n v="0.19400000000000001"/>
    <n v="1"/>
    <n v="5"/>
    <n v="6"/>
    <b v="1"/>
    <s v="January"/>
    <s v="Sunday"/>
    <s v="Weekend"/>
    <s v="Spring"/>
    <x v="0"/>
    <s v="Morning Peak"/>
    <s v="Low"/>
    <s v="Medium"/>
  </r>
  <r>
    <n v="194"/>
    <d v="2011-01-09T00:00:00"/>
    <n v="1"/>
    <n v="0"/>
    <n v="1"/>
    <x v="8"/>
    <b v="0"/>
    <n v="0"/>
    <n v="1"/>
    <n v="0.1"/>
    <n v="9.0899999999999995E-2"/>
    <n v="0.49"/>
    <n v="0.28360000000000002"/>
    <n v="0"/>
    <n v="10"/>
    <n v="10"/>
    <b v="1"/>
    <s v="January"/>
    <s v="Sunday"/>
    <s v="Weekend"/>
    <s v="Spring"/>
    <x v="0"/>
    <s v="Morning Peak"/>
    <s v="Low"/>
    <s v="Medium"/>
  </r>
  <r>
    <n v="195"/>
    <d v="2011-01-09T00:00:00"/>
    <n v="1"/>
    <n v="0"/>
    <n v="1"/>
    <x v="9"/>
    <b v="0"/>
    <n v="0"/>
    <n v="1"/>
    <n v="0.12"/>
    <n v="7.5800000000000006E-2"/>
    <n v="0.46"/>
    <n v="0.52239999999999998"/>
    <n v="0"/>
    <n v="19"/>
    <n v="19"/>
    <b v="1"/>
    <s v="January"/>
    <s v="Sunday"/>
    <s v="Weekend"/>
    <s v="Spring"/>
    <x v="0"/>
    <s v="Morning Peak"/>
    <s v="Low"/>
    <s v="Medium"/>
  </r>
  <r>
    <n v="196"/>
    <d v="2011-01-09T00:00:00"/>
    <n v="1"/>
    <n v="0"/>
    <n v="1"/>
    <x v="10"/>
    <b v="0"/>
    <n v="0"/>
    <n v="1"/>
    <n v="0.14000000000000001"/>
    <n v="0.1061"/>
    <n v="0.43"/>
    <n v="0.3881"/>
    <n v="0"/>
    <n v="49"/>
    <n v="49"/>
    <b v="1"/>
    <s v="January"/>
    <s v="Sunday"/>
    <s v="Weekend"/>
    <s v="Spring"/>
    <x v="0"/>
    <s v="Off Peak"/>
    <s v="Low"/>
    <s v="Medium"/>
  </r>
  <r>
    <n v="197"/>
    <d v="2011-01-09T00:00:00"/>
    <n v="1"/>
    <n v="0"/>
    <n v="1"/>
    <x v="11"/>
    <b v="0"/>
    <n v="0"/>
    <n v="1"/>
    <n v="0.16"/>
    <n v="0.1212"/>
    <n v="0.4"/>
    <n v="0.52239999999999998"/>
    <n v="2"/>
    <n v="47"/>
    <n v="49"/>
    <b v="1"/>
    <s v="January"/>
    <s v="Sunday"/>
    <s v="Weekend"/>
    <s v="Spring"/>
    <x v="0"/>
    <s v="Off Peak"/>
    <s v="Low"/>
    <s v="Medium"/>
  </r>
  <r>
    <n v="198"/>
    <d v="2011-01-09T00:00:00"/>
    <n v="1"/>
    <n v="0"/>
    <n v="1"/>
    <x v="12"/>
    <b v="0"/>
    <n v="0"/>
    <n v="1"/>
    <n v="0.18"/>
    <n v="0.13639999999999999"/>
    <n v="0.37"/>
    <n v="0.44779999999999998"/>
    <n v="4"/>
    <n v="79"/>
    <n v="83"/>
    <b v="1"/>
    <s v="January"/>
    <s v="Sunday"/>
    <s v="Weekend"/>
    <s v="Spring"/>
    <x v="0"/>
    <s v="Off Peak"/>
    <s v="Low"/>
    <s v="Low"/>
  </r>
  <r>
    <n v="199"/>
    <d v="2011-01-09T00:00:00"/>
    <n v="1"/>
    <n v="0"/>
    <n v="1"/>
    <x v="13"/>
    <b v="0"/>
    <n v="0"/>
    <n v="1"/>
    <n v="0.2"/>
    <n v="0.16669999999999999"/>
    <n v="0.34"/>
    <n v="0.44779999999999998"/>
    <n v="6"/>
    <n v="69"/>
    <n v="75"/>
    <b v="1"/>
    <s v="January"/>
    <s v="Sunday"/>
    <s v="Weekend"/>
    <s v="Spring"/>
    <x v="0"/>
    <s v="Off Peak"/>
    <s v="Low"/>
    <s v="Low"/>
  </r>
  <r>
    <n v="200"/>
    <d v="2011-01-09T00:00:00"/>
    <n v="1"/>
    <n v="0"/>
    <n v="1"/>
    <x v="14"/>
    <b v="0"/>
    <n v="0"/>
    <n v="1"/>
    <n v="0.22"/>
    <n v="0.18179999999999999"/>
    <n v="0.32"/>
    <n v="0.4627"/>
    <n v="8"/>
    <n v="64"/>
    <n v="72"/>
    <b v="1"/>
    <s v="January"/>
    <s v="Sunday"/>
    <s v="Weekend"/>
    <s v="Spring"/>
    <x v="0"/>
    <s v="Off Peak"/>
    <s v="Low"/>
    <s v="Low"/>
  </r>
  <r>
    <n v="201"/>
    <d v="2011-01-09T00:00:00"/>
    <n v="1"/>
    <n v="0"/>
    <n v="1"/>
    <x v="15"/>
    <b v="0"/>
    <n v="0"/>
    <n v="1"/>
    <n v="0.22"/>
    <n v="0.19700000000000001"/>
    <n v="0.35"/>
    <n v="0.35820000000000002"/>
    <n v="5"/>
    <n v="77"/>
    <n v="82"/>
    <b v="1"/>
    <s v="January"/>
    <s v="Sunday"/>
    <s v="Weekend"/>
    <s v="Spring"/>
    <x v="0"/>
    <s v="Off Peak"/>
    <s v="Low"/>
    <s v="Low"/>
  </r>
  <r>
    <n v="202"/>
    <d v="2011-01-09T00:00:00"/>
    <n v="1"/>
    <n v="0"/>
    <n v="1"/>
    <x v="16"/>
    <b v="0"/>
    <n v="0"/>
    <n v="1"/>
    <n v="0.2"/>
    <n v="0.16669999999999999"/>
    <n v="0.34"/>
    <n v="0.44779999999999998"/>
    <n v="13"/>
    <n v="79"/>
    <n v="92"/>
    <b v="1"/>
    <s v="January"/>
    <s v="Sunday"/>
    <s v="Weekend"/>
    <s v="Spring"/>
    <x v="0"/>
    <s v="Off Peak"/>
    <s v="Low"/>
    <s v="Low"/>
  </r>
  <r>
    <n v="203"/>
    <d v="2011-01-09T00:00:00"/>
    <n v="1"/>
    <n v="0"/>
    <n v="1"/>
    <x v="17"/>
    <b v="0"/>
    <n v="0"/>
    <n v="1"/>
    <n v="0.18"/>
    <n v="0.1515"/>
    <n v="0.37"/>
    <n v="0.3881"/>
    <n v="3"/>
    <n v="59"/>
    <n v="62"/>
    <b v="1"/>
    <s v="January"/>
    <s v="Sunday"/>
    <s v="Weekend"/>
    <s v="Spring"/>
    <x v="0"/>
    <s v="Evening Peak"/>
    <s v="Low"/>
    <s v="Low"/>
  </r>
  <r>
    <n v="204"/>
    <d v="2011-01-09T00:00:00"/>
    <n v="1"/>
    <n v="0"/>
    <n v="1"/>
    <x v="18"/>
    <b v="0"/>
    <n v="0"/>
    <n v="1"/>
    <n v="0.16"/>
    <n v="0.13639999999999999"/>
    <n v="0.4"/>
    <n v="0.32840000000000003"/>
    <n v="4"/>
    <n v="44"/>
    <n v="48"/>
    <b v="1"/>
    <s v="January"/>
    <s v="Sunday"/>
    <s v="Weekend"/>
    <s v="Spring"/>
    <x v="0"/>
    <s v="Evening Peak"/>
    <s v="Low"/>
    <s v="Medium"/>
  </r>
  <r>
    <n v="205"/>
    <d v="2011-01-09T00:00:00"/>
    <n v="1"/>
    <n v="0"/>
    <n v="1"/>
    <x v="19"/>
    <b v="0"/>
    <n v="0"/>
    <n v="1"/>
    <n v="0.16"/>
    <n v="0.13639999999999999"/>
    <n v="0.43"/>
    <n v="0.32840000000000003"/>
    <n v="1"/>
    <n v="40"/>
    <n v="41"/>
    <b v="1"/>
    <s v="January"/>
    <s v="Sunday"/>
    <s v="Weekend"/>
    <s v="Spring"/>
    <x v="0"/>
    <s v="Evening Peak"/>
    <s v="Low"/>
    <s v="Medium"/>
  </r>
  <r>
    <n v="206"/>
    <d v="2011-01-09T00:00:00"/>
    <n v="1"/>
    <n v="0"/>
    <n v="1"/>
    <x v="20"/>
    <b v="0"/>
    <n v="0"/>
    <n v="1"/>
    <n v="0.14000000000000001"/>
    <n v="0.1212"/>
    <n v="0.46"/>
    <n v="0.25369999999999998"/>
    <n v="0"/>
    <n v="38"/>
    <n v="38"/>
    <b v="1"/>
    <s v="January"/>
    <s v="Sunday"/>
    <s v="Weekend"/>
    <s v="Spring"/>
    <x v="0"/>
    <s v="Evening Peak"/>
    <s v="Low"/>
    <s v="Medium"/>
  </r>
  <r>
    <n v="207"/>
    <d v="2011-01-09T00:00:00"/>
    <n v="1"/>
    <n v="0"/>
    <n v="1"/>
    <x v="21"/>
    <b v="0"/>
    <n v="0"/>
    <n v="1"/>
    <n v="0.14000000000000001"/>
    <n v="0.1061"/>
    <n v="0.46"/>
    <n v="0.41789999999999999"/>
    <n v="1"/>
    <n v="19"/>
    <n v="20"/>
    <b v="1"/>
    <s v="January"/>
    <s v="Sunday"/>
    <s v="Weekend"/>
    <s v="Spring"/>
    <x v="0"/>
    <s v="Off Peak"/>
    <s v="Low"/>
    <s v="Medium"/>
  </r>
  <r>
    <n v="208"/>
    <d v="2011-01-09T00:00:00"/>
    <n v="1"/>
    <n v="0"/>
    <n v="1"/>
    <x v="22"/>
    <b v="0"/>
    <n v="0"/>
    <n v="1"/>
    <n v="0.14000000000000001"/>
    <n v="0.1212"/>
    <n v="0.46"/>
    <n v="0.29849999999999999"/>
    <n v="5"/>
    <n v="10"/>
    <n v="15"/>
    <b v="1"/>
    <s v="January"/>
    <s v="Sunday"/>
    <s v="Weekend"/>
    <s v="Spring"/>
    <x v="0"/>
    <s v="Off Peak"/>
    <s v="Low"/>
    <s v="Medium"/>
  </r>
  <r>
    <n v="209"/>
    <d v="2011-01-09T00:00:00"/>
    <n v="1"/>
    <n v="0"/>
    <n v="1"/>
    <x v="23"/>
    <b v="0"/>
    <n v="0"/>
    <n v="1"/>
    <n v="0.12"/>
    <n v="0.13639999999999999"/>
    <n v="0.5"/>
    <n v="0.19400000000000001"/>
    <n v="0"/>
    <n v="6"/>
    <n v="6"/>
    <b v="1"/>
    <s v="January"/>
    <s v="Sunday"/>
    <s v="Weekend"/>
    <s v="Spring"/>
    <x v="0"/>
    <s v="Off Peak"/>
    <s v="Low"/>
    <s v="Medium"/>
  </r>
  <r>
    <n v="210"/>
    <d v="2011-01-10T00:00:00"/>
    <n v="1"/>
    <n v="0"/>
    <n v="1"/>
    <x v="0"/>
    <b v="0"/>
    <n v="1"/>
    <n v="1"/>
    <n v="0.12"/>
    <n v="0.1212"/>
    <n v="0.5"/>
    <n v="0.28360000000000002"/>
    <n v="2"/>
    <n v="3"/>
    <n v="5"/>
    <b v="1"/>
    <s v="January"/>
    <s v="Monday"/>
    <s v="Weekday"/>
    <s v="Spring"/>
    <x v="0"/>
    <s v="Off Peak"/>
    <s v="Low"/>
    <s v="Medium"/>
  </r>
  <r>
    <n v="211"/>
    <d v="2011-01-10T00:00:00"/>
    <n v="1"/>
    <n v="0"/>
    <n v="1"/>
    <x v="1"/>
    <b v="0"/>
    <n v="1"/>
    <n v="1"/>
    <n v="0.12"/>
    <n v="0.1212"/>
    <n v="0.5"/>
    <n v="0.28360000000000002"/>
    <n v="1"/>
    <n v="0"/>
    <n v="1"/>
    <b v="1"/>
    <s v="January"/>
    <s v="Monday"/>
    <s v="Weekday"/>
    <s v="Spring"/>
    <x v="0"/>
    <s v="Off Peak"/>
    <s v="Low"/>
    <s v="Medium"/>
  </r>
  <r>
    <n v="212"/>
    <d v="2011-01-10T00:00:00"/>
    <n v="1"/>
    <n v="0"/>
    <n v="1"/>
    <x v="2"/>
    <b v="0"/>
    <n v="1"/>
    <n v="1"/>
    <n v="0.12"/>
    <n v="0.1212"/>
    <n v="0.5"/>
    <n v="0.22389999999999999"/>
    <n v="0"/>
    <n v="3"/>
    <n v="3"/>
    <b v="1"/>
    <s v="January"/>
    <s v="Monday"/>
    <s v="Weekday"/>
    <s v="Spring"/>
    <x v="0"/>
    <s v="Off Peak"/>
    <s v="Low"/>
    <s v="Medium"/>
  </r>
  <r>
    <n v="213"/>
    <d v="2011-01-10T00:00:00"/>
    <n v="1"/>
    <n v="0"/>
    <n v="1"/>
    <x v="3"/>
    <b v="0"/>
    <n v="1"/>
    <n v="1"/>
    <n v="0.12"/>
    <n v="0.1212"/>
    <n v="0.5"/>
    <n v="0.22389999999999999"/>
    <n v="0"/>
    <n v="1"/>
    <n v="1"/>
    <b v="1"/>
    <s v="January"/>
    <s v="Monday"/>
    <s v="Weekday"/>
    <s v="Spring"/>
    <x v="0"/>
    <s v="Off Peak"/>
    <s v="Low"/>
    <s v="Medium"/>
  </r>
  <r>
    <n v="214"/>
    <d v="2011-01-10T00:00:00"/>
    <n v="1"/>
    <n v="0"/>
    <n v="1"/>
    <x v="4"/>
    <b v="0"/>
    <n v="1"/>
    <n v="1"/>
    <n v="0.1"/>
    <n v="0.1212"/>
    <n v="0.54"/>
    <n v="0.1343"/>
    <n v="1"/>
    <n v="2"/>
    <n v="3"/>
    <b v="1"/>
    <s v="January"/>
    <s v="Monday"/>
    <s v="Weekday"/>
    <s v="Spring"/>
    <x v="0"/>
    <s v="Off Peak"/>
    <s v="Low"/>
    <s v="Medium"/>
  </r>
  <r>
    <n v="215"/>
    <d v="2011-01-10T00:00:00"/>
    <n v="1"/>
    <n v="0"/>
    <n v="1"/>
    <x v="5"/>
    <b v="0"/>
    <n v="1"/>
    <n v="1"/>
    <n v="0.1"/>
    <n v="0.1061"/>
    <n v="0.54"/>
    <n v="0.25369999999999998"/>
    <n v="0"/>
    <n v="3"/>
    <n v="3"/>
    <b v="1"/>
    <s v="January"/>
    <s v="Monday"/>
    <s v="Weekday"/>
    <s v="Spring"/>
    <x v="0"/>
    <s v="Off Peak"/>
    <s v="Low"/>
    <s v="Medium"/>
  </r>
  <r>
    <n v="216"/>
    <d v="2011-01-10T00:00:00"/>
    <n v="1"/>
    <n v="0"/>
    <n v="1"/>
    <x v="6"/>
    <b v="0"/>
    <n v="1"/>
    <n v="1"/>
    <n v="0.12"/>
    <n v="0.1212"/>
    <n v="0.5"/>
    <n v="0.28360000000000002"/>
    <n v="0"/>
    <n v="31"/>
    <n v="31"/>
    <b v="1"/>
    <s v="January"/>
    <s v="Monday"/>
    <s v="Weekday"/>
    <s v="Spring"/>
    <x v="0"/>
    <s v="Off Peak"/>
    <s v="Low"/>
    <s v="Medium"/>
  </r>
  <r>
    <n v="217"/>
    <d v="2011-01-10T00:00:00"/>
    <n v="1"/>
    <n v="0"/>
    <n v="1"/>
    <x v="7"/>
    <b v="0"/>
    <n v="1"/>
    <n v="1"/>
    <n v="0.12"/>
    <n v="0.1212"/>
    <n v="0.5"/>
    <n v="0.22389999999999999"/>
    <n v="2"/>
    <n v="75"/>
    <n v="77"/>
    <b v="1"/>
    <s v="January"/>
    <s v="Monday"/>
    <s v="Weekday"/>
    <s v="Spring"/>
    <x v="0"/>
    <s v="Morning Peak"/>
    <s v="Low"/>
    <s v="Medium"/>
  </r>
  <r>
    <n v="218"/>
    <d v="2011-01-10T00:00:00"/>
    <n v="1"/>
    <n v="0"/>
    <n v="1"/>
    <x v="8"/>
    <b v="0"/>
    <n v="1"/>
    <n v="2"/>
    <n v="0.12"/>
    <n v="0.1212"/>
    <n v="0.5"/>
    <n v="0.28360000000000002"/>
    <n v="4"/>
    <n v="184"/>
    <n v="188"/>
    <b v="1"/>
    <s v="January"/>
    <s v="Monday"/>
    <s v="Weekday"/>
    <s v="Spring"/>
    <x v="1"/>
    <s v="Morning Peak"/>
    <s v="Low"/>
    <s v="Medium"/>
  </r>
  <r>
    <n v="219"/>
    <d v="2011-01-10T00:00:00"/>
    <n v="1"/>
    <n v="0"/>
    <n v="1"/>
    <x v="9"/>
    <b v="0"/>
    <n v="1"/>
    <n v="2"/>
    <n v="0.14000000000000001"/>
    <n v="0.1212"/>
    <n v="0.5"/>
    <n v="0.25369999999999998"/>
    <n v="2"/>
    <n v="92"/>
    <n v="94"/>
    <b v="1"/>
    <s v="January"/>
    <s v="Monday"/>
    <s v="Weekday"/>
    <s v="Spring"/>
    <x v="1"/>
    <s v="Morning Peak"/>
    <s v="Low"/>
    <s v="Medium"/>
  </r>
  <r>
    <n v="220"/>
    <d v="2011-01-10T00:00:00"/>
    <n v="1"/>
    <n v="0"/>
    <n v="1"/>
    <x v="10"/>
    <b v="0"/>
    <n v="1"/>
    <n v="2"/>
    <n v="0.14000000000000001"/>
    <n v="0.1212"/>
    <n v="0.5"/>
    <n v="0.29849999999999999"/>
    <n v="0"/>
    <n v="31"/>
    <n v="31"/>
    <b v="1"/>
    <s v="January"/>
    <s v="Monday"/>
    <s v="Weekday"/>
    <s v="Spring"/>
    <x v="1"/>
    <s v="Off Peak"/>
    <s v="Low"/>
    <s v="Medium"/>
  </r>
  <r>
    <n v="221"/>
    <d v="2011-01-10T00:00:00"/>
    <n v="1"/>
    <n v="0"/>
    <n v="1"/>
    <x v="11"/>
    <b v="0"/>
    <n v="1"/>
    <n v="2"/>
    <n v="0.16"/>
    <n v="0.13639999999999999"/>
    <n v="0.47"/>
    <n v="0.28360000000000002"/>
    <n v="2"/>
    <n v="28"/>
    <n v="30"/>
    <b v="1"/>
    <s v="January"/>
    <s v="Monday"/>
    <s v="Weekday"/>
    <s v="Spring"/>
    <x v="1"/>
    <s v="Off Peak"/>
    <s v="Low"/>
    <s v="Medium"/>
  </r>
  <r>
    <n v="222"/>
    <d v="2011-01-10T00:00:00"/>
    <n v="1"/>
    <n v="0"/>
    <n v="1"/>
    <x v="12"/>
    <b v="0"/>
    <n v="1"/>
    <n v="2"/>
    <n v="0.2"/>
    <n v="0.18179999999999999"/>
    <n v="0.4"/>
    <n v="0.28360000000000002"/>
    <n v="5"/>
    <n v="47"/>
    <n v="52"/>
    <b v="1"/>
    <s v="January"/>
    <s v="Monday"/>
    <s v="Weekday"/>
    <s v="Spring"/>
    <x v="1"/>
    <s v="Off Peak"/>
    <s v="Low"/>
    <s v="Medium"/>
  </r>
  <r>
    <n v="223"/>
    <d v="2011-01-10T00:00:00"/>
    <n v="1"/>
    <n v="0"/>
    <n v="1"/>
    <x v="13"/>
    <b v="0"/>
    <n v="1"/>
    <n v="2"/>
    <n v="0.2"/>
    <n v="0.18179999999999999"/>
    <n v="0.4"/>
    <n v="0.28360000000000002"/>
    <n v="4"/>
    <n v="50"/>
    <n v="54"/>
    <b v="1"/>
    <s v="January"/>
    <s v="Monday"/>
    <s v="Weekday"/>
    <s v="Spring"/>
    <x v="1"/>
    <s v="Off Peak"/>
    <s v="Low"/>
    <s v="Medium"/>
  </r>
  <r>
    <n v="224"/>
    <d v="2011-01-10T00:00:00"/>
    <n v="1"/>
    <n v="0"/>
    <n v="1"/>
    <x v="14"/>
    <b v="0"/>
    <n v="1"/>
    <n v="2"/>
    <n v="0.2"/>
    <n v="0.19700000000000001"/>
    <n v="0.4"/>
    <n v="0.22389999999999999"/>
    <n v="0"/>
    <n v="47"/>
    <n v="47"/>
    <b v="1"/>
    <s v="January"/>
    <s v="Monday"/>
    <s v="Weekday"/>
    <s v="Spring"/>
    <x v="1"/>
    <s v="Off Peak"/>
    <s v="Low"/>
    <s v="Medium"/>
  </r>
  <r>
    <n v="225"/>
    <d v="2011-01-10T00:00:00"/>
    <n v="1"/>
    <n v="0"/>
    <n v="1"/>
    <x v="15"/>
    <b v="0"/>
    <n v="1"/>
    <n v="2"/>
    <n v="0.2"/>
    <n v="0.19700000000000001"/>
    <n v="0.4"/>
    <n v="0.22389999999999999"/>
    <n v="2"/>
    <n v="43"/>
    <n v="45"/>
    <b v="1"/>
    <s v="January"/>
    <s v="Monday"/>
    <s v="Weekday"/>
    <s v="Spring"/>
    <x v="1"/>
    <s v="Off Peak"/>
    <s v="Low"/>
    <s v="Medium"/>
  </r>
  <r>
    <n v="226"/>
    <d v="2011-01-10T00:00:00"/>
    <n v="1"/>
    <n v="0"/>
    <n v="1"/>
    <x v="16"/>
    <b v="0"/>
    <n v="1"/>
    <n v="1"/>
    <n v="0.2"/>
    <n v="0.21210000000000001"/>
    <n v="0.4"/>
    <n v="0.1343"/>
    <n v="4"/>
    <n v="70"/>
    <n v="74"/>
    <b v="1"/>
    <s v="January"/>
    <s v="Monday"/>
    <s v="Weekday"/>
    <s v="Spring"/>
    <x v="0"/>
    <s v="Off Peak"/>
    <s v="Low"/>
    <s v="Medium"/>
  </r>
  <r>
    <n v="227"/>
    <d v="2011-01-10T00:00:00"/>
    <n v="1"/>
    <n v="0"/>
    <n v="1"/>
    <x v="17"/>
    <b v="0"/>
    <n v="1"/>
    <n v="1"/>
    <n v="0.2"/>
    <n v="0.2273"/>
    <n v="0.4"/>
    <n v="0.1045"/>
    <n v="4"/>
    <n v="174"/>
    <n v="178"/>
    <b v="1"/>
    <s v="January"/>
    <s v="Monday"/>
    <s v="Weekday"/>
    <s v="Spring"/>
    <x v="0"/>
    <s v="Evening Peak"/>
    <s v="Low"/>
    <s v="Medium"/>
  </r>
  <r>
    <n v="228"/>
    <d v="2011-01-10T00:00:00"/>
    <n v="1"/>
    <n v="0"/>
    <n v="1"/>
    <x v="18"/>
    <b v="0"/>
    <n v="1"/>
    <n v="1"/>
    <n v="0.2"/>
    <n v="0.19700000000000001"/>
    <n v="0.4"/>
    <n v="0.22389999999999999"/>
    <n v="1"/>
    <n v="154"/>
    <n v="155"/>
    <b v="1"/>
    <s v="January"/>
    <s v="Monday"/>
    <s v="Weekday"/>
    <s v="Spring"/>
    <x v="0"/>
    <s v="Evening Peak"/>
    <s v="Low"/>
    <s v="Medium"/>
  </r>
  <r>
    <n v="229"/>
    <d v="2011-01-10T00:00:00"/>
    <n v="1"/>
    <n v="0"/>
    <n v="1"/>
    <x v="19"/>
    <b v="0"/>
    <n v="1"/>
    <n v="1"/>
    <n v="0.16"/>
    <n v="0.16669999999999999"/>
    <n v="0.47"/>
    <n v="0.16420000000000001"/>
    <n v="3"/>
    <n v="92"/>
    <n v="95"/>
    <b v="1"/>
    <s v="January"/>
    <s v="Monday"/>
    <s v="Weekday"/>
    <s v="Spring"/>
    <x v="0"/>
    <s v="Evening Peak"/>
    <s v="Low"/>
    <s v="Medium"/>
  </r>
  <r>
    <n v="230"/>
    <d v="2011-01-10T00:00:00"/>
    <n v="1"/>
    <n v="0"/>
    <n v="1"/>
    <x v="20"/>
    <b v="0"/>
    <n v="1"/>
    <n v="1"/>
    <n v="0.16"/>
    <n v="0.16669999999999999"/>
    <n v="0.5"/>
    <n v="0.16420000000000001"/>
    <n v="1"/>
    <n v="73"/>
    <n v="74"/>
    <b v="1"/>
    <s v="January"/>
    <s v="Monday"/>
    <s v="Weekday"/>
    <s v="Spring"/>
    <x v="0"/>
    <s v="Evening Peak"/>
    <s v="Low"/>
    <s v="Medium"/>
  </r>
  <r>
    <n v="231"/>
    <d v="2011-01-10T00:00:00"/>
    <n v="1"/>
    <n v="0"/>
    <n v="1"/>
    <x v="21"/>
    <b v="0"/>
    <n v="1"/>
    <n v="1"/>
    <n v="0.14000000000000001"/>
    <n v="0.13639999999999999"/>
    <n v="0.59"/>
    <n v="0.19400000000000001"/>
    <n v="1"/>
    <n v="37"/>
    <n v="38"/>
    <b v="1"/>
    <s v="January"/>
    <s v="Monday"/>
    <s v="Weekday"/>
    <s v="Spring"/>
    <x v="0"/>
    <s v="Off Peak"/>
    <s v="Low"/>
    <s v="Medium"/>
  </r>
  <r>
    <n v="232"/>
    <d v="2011-01-10T00:00:00"/>
    <n v="1"/>
    <n v="0"/>
    <n v="1"/>
    <x v="22"/>
    <b v="0"/>
    <n v="1"/>
    <n v="1"/>
    <n v="0.14000000000000001"/>
    <n v="0.1515"/>
    <n v="0.59"/>
    <n v="0.16420000000000001"/>
    <n v="2"/>
    <n v="22"/>
    <n v="24"/>
    <b v="1"/>
    <s v="January"/>
    <s v="Monday"/>
    <s v="Weekday"/>
    <s v="Spring"/>
    <x v="0"/>
    <s v="Off Peak"/>
    <s v="Low"/>
    <s v="Medium"/>
  </r>
  <r>
    <n v="233"/>
    <d v="2011-01-10T00:00:00"/>
    <n v="1"/>
    <n v="0"/>
    <n v="1"/>
    <x v="23"/>
    <b v="0"/>
    <n v="1"/>
    <n v="1"/>
    <n v="0.14000000000000001"/>
    <n v="0.1515"/>
    <n v="0.59"/>
    <n v="0.16420000000000001"/>
    <n v="0"/>
    <n v="18"/>
    <n v="18"/>
    <b v="1"/>
    <s v="January"/>
    <s v="Monday"/>
    <s v="Weekday"/>
    <s v="Spring"/>
    <x v="0"/>
    <s v="Off Peak"/>
    <s v="Low"/>
    <s v="Medium"/>
  </r>
  <r>
    <n v="234"/>
    <d v="2011-01-11T00:00:00"/>
    <n v="1"/>
    <n v="0"/>
    <n v="1"/>
    <x v="0"/>
    <b v="0"/>
    <n v="2"/>
    <n v="1"/>
    <n v="0.14000000000000001"/>
    <n v="0.16669999999999999"/>
    <n v="0.59"/>
    <n v="0.1045"/>
    <n v="2"/>
    <n v="10"/>
    <n v="12"/>
    <b v="1"/>
    <s v="January"/>
    <s v="Tuesday"/>
    <s v="Weekday"/>
    <s v="Spring"/>
    <x v="0"/>
    <s v="Off Peak"/>
    <s v="Low"/>
    <s v="Medium"/>
  </r>
  <r>
    <n v="235"/>
    <d v="2011-01-11T00:00:00"/>
    <n v="1"/>
    <n v="0"/>
    <n v="1"/>
    <x v="1"/>
    <b v="0"/>
    <n v="2"/>
    <n v="1"/>
    <n v="0.14000000000000001"/>
    <n v="0.1515"/>
    <n v="0.59"/>
    <n v="0.16420000000000001"/>
    <n v="0"/>
    <n v="3"/>
    <n v="3"/>
    <b v="1"/>
    <s v="January"/>
    <s v="Tuesday"/>
    <s v="Weekday"/>
    <s v="Spring"/>
    <x v="0"/>
    <s v="Off Peak"/>
    <s v="Low"/>
    <s v="Medium"/>
  </r>
  <r>
    <n v="236"/>
    <d v="2011-01-11T00:00:00"/>
    <n v="1"/>
    <n v="0"/>
    <n v="1"/>
    <x v="2"/>
    <b v="0"/>
    <n v="2"/>
    <n v="2"/>
    <n v="0.16"/>
    <n v="0.1515"/>
    <n v="0.55000000000000004"/>
    <n v="0.19400000000000001"/>
    <n v="0"/>
    <n v="3"/>
    <n v="3"/>
    <b v="1"/>
    <s v="January"/>
    <s v="Tuesday"/>
    <s v="Weekday"/>
    <s v="Spring"/>
    <x v="1"/>
    <s v="Off Peak"/>
    <s v="Low"/>
    <s v="Medium"/>
  </r>
  <r>
    <n v="237"/>
    <d v="2011-01-11T00:00:00"/>
    <n v="1"/>
    <n v="0"/>
    <n v="1"/>
    <x v="5"/>
    <b v="0"/>
    <n v="2"/>
    <n v="2"/>
    <n v="0.16"/>
    <n v="0.18179999999999999"/>
    <n v="0.55000000000000004"/>
    <n v="0.1343"/>
    <n v="0"/>
    <n v="6"/>
    <n v="6"/>
    <b v="1"/>
    <s v="January"/>
    <s v="Tuesday"/>
    <s v="Weekday"/>
    <s v="Spring"/>
    <x v="1"/>
    <s v="Off Peak"/>
    <s v="Low"/>
    <s v="Medium"/>
  </r>
  <r>
    <n v="238"/>
    <d v="2011-01-11T00:00:00"/>
    <n v="1"/>
    <n v="0"/>
    <n v="1"/>
    <x v="6"/>
    <b v="0"/>
    <n v="2"/>
    <n v="2"/>
    <n v="0.16"/>
    <n v="0.18179999999999999"/>
    <n v="0.55000000000000004"/>
    <n v="0.1343"/>
    <n v="0"/>
    <n v="27"/>
    <n v="27"/>
    <b v="1"/>
    <s v="January"/>
    <s v="Tuesday"/>
    <s v="Weekday"/>
    <s v="Spring"/>
    <x v="1"/>
    <s v="Off Peak"/>
    <s v="Low"/>
    <s v="Medium"/>
  </r>
  <r>
    <n v="239"/>
    <d v="2011-01-11T00:00:00"/>
    <n v="1"/>
    <n v="0"/>
    <n v="1"/>
    <x v="7"/>
    <b v="0"/>
    <n v="2"/>
    <n v="2"/>
    <n v="0.16"/>
    <n v="0.2273"/>
    <n v="0.55000000000000004"/>
    <n v="0"/>
    <n v="2"/>
    <n v="97"/>
    <n v="99"/>
    <b v="1"/>
    <s v="January"/>
    <s v="Tuesday"/>
    <s v="Weekday"/>
    <s v="Spring"/>
    <x v="1"/>
    <s v="Morning Peak"/>
    <s v="Low"/>
    <s v="Medium"/>
  </r>
  <r>
    <n v="240"/>
    <d v="2011-01-11T00:00:00"/>
    <n v="1"/>
    <n v="0"/>
    <n v="1"/>
    <x v="8"/>
    <b v="0"/>
    <n v="2"/>
    <n v="2"/>
    <n v="0.18"/>
    <n v="0.21210000000000001"/>
    <n v="0.51"/>
    <n v="8.9599999999999999E-2"/>
    <n v="3"/>
    <n v="214"/>
    <n v="217"/>
    <b v="1"/>
    <s v="January"/>
    <s v="Tuesday"/>
    <s v="Weekday"/>
    <s v="Spring"/>
    <x v="1"/>
    <s v="Morning Peak"/>
    <s v="Low"/>
    <s v="Medium"/>
  </r>
  <r>
    <n v="241"/>
    <d v="2011-01-11T00:00:00"/>
    <n v="1"/>
    <n v="0"/>
    <n v="1"/>
    <x v="9"/>
    <b v="0"/>
    <n v="2"/>
    <n v="2"/>
    <n v="0.18"/>
    <n v="0.19700000000000001"/>
    <n v="0.51"/>
    <n v="0.16420000000000001"/>
    <n v="3"/>
    <n v="127"/>
    <n v="130"/>
    <b v="1"/>
    <s v="January"/>
    <s v="Tuesday"/>
    <s v="Weekday"/>
    <s v="Spring"/>
    <x v="1"/>
    <s v="Morning Peak"/>
    <s v="Low"/>
    <s v="Medium"/>
  </r>
  <r>
    <n v="242"/>
    <d v="2011-01-11T00:00:00"/>
    <n v="1"/>
    <n v="0"/>
    <n v="1"/>
    <x v="10"/>
    <b v="0"/>
    <n v="2"/>
    <n v="2"/>
    <n v="0.2"/>
    <n v="0.21210000000000001"/>
    <n v="0.51"/>
    <n v="0.16420000000000001"/>
    <n v="3"/>
    <n v="51"/>
    <n v="54"/>
    <b v="1"/>
    <s v="January"/>
    <s v="Tuesday"/>
    <s v="Weekday"/>
    <s v="Spring"/>
    <x v="1"/>
    <s v="Off Peak"/>
    <s v="Low"/>
    <s v="Medium"/>
  </r>
  <r>
    <n v="243"/>
    <d v="2011-01-11T00:00:00"/>
    <n v="1"/>
    <n v="0"/>
    <n v="1"/>
    <x v="11"/>
    <b v="0"/>
    <n v="2"/>
    <n v="2"/>
    <n v="0.2"/>
    <n v="0.21210000000000001"/>
    <n v="0.47"/>
    <n v="0.1343"/>
    <n v="4"/>
    <n v="31"/>
    <n v="35"/>
    <b v="1"/>
    <s v="January"/>
    <s v="Tuesday"/>
    <s v="Weekday"/>
    <s v="Spring"/>
    <x v="1"/>
    <s v="Off Peak"/>
    <s v="Low"/>
    <s v="Medium"/>
  </r>
  <r>
    <n v="244"/>
    <d v="2011-01-11T00:00:00"/>
    <n v="1"/>
    <n v="0"/>
    <n v="1"/>
    <x v="12"/>
    <b v="0"/>
    <n v="2"/>
    <n v="2"/>
    <n v="0.2"/>
    <n v="0.2273"/>
    <n v="0.51"/>
    <n v="0.1045"/>
    <n v="2"/>
    <n v="55"/>
    <n v="57"/>
    <b v="1"/>
    <s v="January"/>
    <s v="Tuesday"/>
    <s v="Weekday"/>
    <s v="Spring"/>
    <x v="1"/>
    <s v="Off Peak"/>
    <s v="Low"/>
    <s v="Medium"/>
  </r>
  <r>
    <n v="245"/>
    <d v="2011-01-11T00:00:00"/>
    <n v="1"/>
    <n v="0"/>
    <n v="1"/>
    <x v="13"/>
    <b v="0"/>
    <n v="2"/>
    <n v="2"/>
    <n v="0.2"/>
    <n v="0.2273"/>
    <n v="0.59"/>
    <n v="8.9599999999999999E-2"/>
    <n v="6"/>
    <n v="46"/>
    <n v="52"/>
    <b v="1"/>
    <s v="January"/>
    <s v="Tuesday"/>
    <s v="Weekday"/>
    <s v="Spring"/>
    <x v="1"/>
    <s v="Off Peak"/>
    <s v="Low"/>
    <s v="Medium"/>
  </r>
  <r>
    <n v="246"/>
    <d v="2011-01-11T00:00:00"/>
    <n v="1"/>
    <n v="0"/>
    <n v="1"/>
    <x v="14"/>
    <b v="0"/>
    <n v="2"/>
    <n v="2"/>
    <n v="0.2"/>
    <n v="0.2273"/>
    <n v="0.59"/>
    <n v="8.9599999999999999E-2"/>
    <n v="3"/>
    <n v="60"/>
    <n v="63"/>
    <b v="1"/>
    <s v="January"/>
    <s v="Tuesday"/>
    <s v="Weekday"/>
    <s v="Spring"/>
    <x v="1"/>
    <s v="Off Peak"/>
    <s v="Low"/>
    <s v="Medium"/>
  </r>
  <r>
    <n v="247"/>
    <d v="2011-01-11T00:00:00"/>
    <n v="1"/>
    <n v="0"/>
    <n v="1"/>
    <x v="15"/>
    <b v="0"/>
    <n v="2"/>
    <n v="2"/>
    <n v="0.16"/>
    <n v="0.19700000000000001"/>
    <n v="0.8"/>
    <n v="8.9599999999999999E-2"/>
    <n v="2"/>
    <n v="45"/>
    <n v="47"/>
    <b v="1"/>
    <s v="January"/>
    <s v="Tuesday"/>
    <s v="Weekday"/>
    <s v="Spring"/>
    <x v="1"/>
    <s v="Off Peak"/>
    <s v="Low"/>
    <s v="High"/>
  </r>
  <r>
    <n v="248"/>
    <d v="2011-01-11T00:00:00"/>
    <n v="1"/>
    <n v="0"/>
    <n v="1"/>
    <x v="16"/>
    <b v="0"/>
    <n v="2"/>
    <n v="2"/>
    <n v="0.16"/>
    <n v="0.1515"/>
    <n v="0.86"/>
    <n v="0.22389999999999999"/>
    <n v="4"/>
    <n v="72"/>
    <n v="76"/>
    <b v="1"/>
    <s v="January"/>
    <s v="Tuesday"/>
    <s v="Weekday"/>
    <s v="Spring"/>
    <x v="1"/>
    <s v="Off Peak"/>
    <s v="Low"/>
    <s v="High"/>
  </r>
  <r>
    <n v="249"/>
    <d v="2011-01-11T00:00:00"/>
    <n v="1"/>
    <n v="0"/>
    <n v="1"/>
    <x v="17"/>
    <b v="0"/>
    <n v="2"/>
    <n v="2"/>
    <n v="0.16"/>
    <n v="0.1515"/>
    <n v="0.86"/>
    <n v="0.22389999999999999"/>
    <n v="6"/>
    <n v="130"/>
    <n v="136"/>
    <b v="1"/>
    <s v="January"/>
    <s v="Tuesday"/>
    <s v="Weekday"/>
    <s v="Spring"/>
    <x v="1"/>
    <s v="Evening Peak"/>
    <s v="Low"/>
    <s v="High"/>
  </r>
  <r>
    <n v="250"/>
    <d v="2011-01-11T00:00:00"/>
    <n v="1"/>
    <n v="0"/>
    <n v="1"/>
    <x v="18"/>
    <b v="0"/>
    <n v="2"/>
    <n v="3"/>
    <n v="0.16"/>
    <n v="0.18179999999999999"/>
    <n v="0.93"/>
    <n v="0.1045"/>
    <n v="1"/>
    <n v="94"/>
    <n v="95"/>
    <b v="1"/>
    <s v="January"/>
    <s v="Tuesday"/>
    <s v="Weekday"/>
    <s v="Spring"/>
    <x v="2"/>
    <s v="Evening Peak"/>
    <s v="Low"/>
    <s v="High"/>
  </r>
  <r>
    <n v="251"/>
    <d v="2011-01-11T00:00:00"/>
    <n v="1"/>
    <n v="0"/>
    <n v="1"/>
    <x v="19"/>
    <b v="0"/>
    <n v="2"/>
    <n v="3"/>
    <n v="0.16"/>
    <n v="0.2273"/>
    <n v="0.93"/>
    <n v="0"/>
    <n v="0"/>
    <n v="51"/>
    <n v="51"/>
    <b v="1"/>
    <s v="January"/>
    <s v="Tuesday"/>
    <s v="Weekday"/>
    <s v="Spring"/>
    <x v="2"/>
    <s v="Evening Peak"/>
    <s v="Low"/>
    <s v="High"/>
  </r>
  <r>
    <n v="252"/>
    <d v="2011-01-11T00:00:00"/>
    <n v="1"/>
    <n v="0"/>
    <n v="1"/>
    <x v="20"/>
    <b v="0"/>
    <n v="2"/>
    <n v="3"/>
    <n v="0.16"/>
    <n v="0.1515"/>
    <n v="0.93"/>
    <n v="0.19400000000000001"/>
    <n v="0"/>
    <n v="32"/>
    <n v="32"/>
    <b v="1"/>
    <s v="January"/>
    <s v="Tuesday"/>
    <s v="Weekday"/>
    <s v="Spring"/>
    <x v="2"/>
    <s v="Evening Peak"/>
    <s v="Low"/>
    <s v="High"/>
  </r>
  <r>
    <n v="253"/>
    <d v="2011-01-11T00:00:00"/>
    <n v="1"/>
    <n v="0"/>
    <n v="1"/>
    <x v="21"/>
    <b v="0"/>
    <n v="2"/>
    <n v="3"/>
    <n v="0.16"/>
    <n v="0.19700000000000001"/>
    <n v="0.86"/>
    <n v="8.9599999999999999E-2"/>
    <n v="0"/>
    <n v="20"/>
    <n v="20"/>
    <b v="1"/>
    <s v="January"/>
    <s v="Tuesday"/>
    <s v="Weekday"/>
    <s v="Spring"/>
    <x v="2"/>
    <s v="Off Peak"/>
    <s v="Low"/>
    <s v="High"/>
  </r>
  <r>
    <n v="254"/>
    <d v="2011-01-11T00:00:00"/>
    <n v="1"/>
    <n v="0"/>
    <n v="1"/>
    <x v="22"/>
    <b v="0"/>
    <n v="2"/>
    <n v="3"/>
    <n v="0.16"/>
    <n v="0.18179999999999999"/>
    <n v="0.93"/>
    <n v="0.1045"/>
    <n v="1"/>
    <n v="28"/>
    <n v="29"/>
    <b v="1"/>
    <s v="January"/>
    <s v="Tuesday"/>
    <s v="Weekday"/>
    <s v="Spring"/>
    <x v="2"/>
    <s v="Off Peak"/>
    <s v="Low"/>
    <s v="High"/>
  </r>
  <r>
    <n v="255"/>
    <d v="2011-01-11T00:00:00"/>
    <n v="1"/>
    <n v="0"/>
    <n v="1"/>
    <x v="23"/>
    <b v="0"/>
    <n v="2"/>
    <n v="3"/>
    <n v="0.16"/>
    <n v="0.19700000000000001"/>
    <n v="0.93"/>
    <n v="8.9599999999999999E-2"/>
    <n v="1"/>
    <n v="18"/>
    <n v="19"/>
    <b v="1"/>
    <s v="January"/>
    <s v="Tuesday"/>
    <s v="Weekday"/>
    <s v="Spring"/>
    <x v="2"/>
    <s v="Off Peak"/>
    <s v="Low"/>
    <s v="High"/>
  </r>
  <r>
    <n v="256"/>
    <d v="2011-01-12T00:00:00"/>
    <n v="1"/>
    <n v="0"/>
    <n v="1"/>
    <x v="0"/>
    <b v="0"/>
    <n v="3"/>
    <n v="2"/>
    <n v="0.16"/>
    <n v="0.19700000000000001"/>
    <n v="0.86"/>
    <n v="8.9599999999999999E-2"/>
    <n v="0"/>
    <n v="7"/>
    <n v="7"/>
    <b v="1"/>
    <s v="January"/>
    <s v="Wednesday"/>
    <s v="Weekday"/>
    <s v="Spring"/>
    <x v="1"/>
    <s v="Off Peak"/>
    <s v="Low"/>
    <s v="High"/>
  </r>
  <r>
    <n v="257"/>
    <d v="2011-01-12T00:00:00"/>
    <n v="1"/>
    <n v="0"/>
    <n v="1"/>
    <x v="1"/>
    <b v="0"/>
    <n v="3"/>
    <n v="2"/>
    <n v="0.16"/>
    <n v="0.18179999999999999"/>
    <n v="0.86"/>
    <n v="0.1045"/>
    <n v="0"/>
    <n v="6"/>
    <n v="6"/>
    <b v="1"/>
    <s v="January"/>
    <s v="Wednesday"/>
    <s v="Weekday"/>
    <s v="Spring"/>
    <x v="1"/>
    <s v="Off Peak"/>
    <s v="Low"/>
    <s v="High"/>
  </r>
  <r>
    <n v="258"/>
    <d v="2011-01-12T00:00:00"/>
    <n v="1"/>
    <n v="0"/>
    <n v="1"/>
    <x v="2"/>
    <b v="0"/>
    <n v="3"/>
    <n v="1"/>
    <n v="0.14000000000000001"/>
    <n v="0.1515"/>
    <n v="0.86"/>
    <n v="0.1343"/>
    <n v="0"/>
    <n v="1"/>
    <n v="1"/>
    <b v="1"/>
    <s v="January"/>
    <s v="Wednesday"/>
    <s v="Weekday"/>
    <s v="Spring"/>
    <x v="0"/>
    <s v="Off Peak"/>
    <s v="Low"/>
    <s v="High"/>
  </r>
  <r>
    <n v="259"/>
    <d v="2011-01-12T00:00:00"/>
    <n v="1"/>
    <n v="0"/>
    <n v="1"/>
    <x v="5"/>
    <b v="0"/>
    <n v="3"/>
    <n v="1"/>
    <n v="0.14000000000000001"/>
    <n v="0.1515"/>
    <n v="0.86"/>
    <n v="0.16420000000000001"/>
    <n v="0"/>
    <n v="5"/>
    <n v="5"/>
    <b v="1"/>
    <s v="January"/>
    <s v="Wednesday"/>
    <s v="Weekday"/>
    <s v="Spring"/>
    <x v="0"/>
    <s v="Off Peak"/>
    <s v="Low"/>
    <s v="High"/>
  </r>
  <r>
    <n v="260"/>
    <d v="2011-01-12T00:00:00"/>
    <n v="1"/>
    <n v="0"/>
    <n v="1"/>
    <x v="6"/>
    <b v="0"/>
    <n v="3"/>
    <n v="1"/>
    <n v="0.12"/>
    <n v="0.1515"/>
    <n v="0.93"/>
    <n v="0.1343"/>
    <n v="0"/>
    <n v="16"/>
    <n v="16"/>
    <b v="1"/>
    <s v="January"/>
    <s v="Wednesday"/>
    <s v="Weekday"/>
    <s v="Spring"/>
    <x v="0"/>
    <s v="Off Peak"/>
    <s v="Low"/>
    <s v="High"/>
  </r>
  <r>
    <n v="261"/>
    <d v="2011-01-12T00:00:00"/>
    <n v="1"/>
    <n v="0"/>
    <n v="1"/>
    <x v="7"/>
    <b v="0"/>
    <n v="3"/>
    <n v="1"/>
    <n v="0.14000000000000001"/>
    <n v="0.1515"/>
    <n v="0.69"/>
    <n v="0.1343"/>
    <n v="0"/>
    <n v="54"/>
    <n v="54"/>
    <b v="1"/>
    <s v="January"/>
    <s v="Wednesday"/>
    <s v="Weekday"/>
    <s v="Spring"/>
    <x v="0"/>
    <s v="Morning Peak"/>
    <s v="Low"/>
    <s v="Medium"/>
  </r>
  <r>
    <n v="262"/>
    <d v="2011-01-12T00:00:00"/>
    <n v="1"/>
    <n v="0"/>
    <n v="1"/>
    <x v="8"/>
    <b v="0"/>
    <n v="3"/>
    <n v="1"/>
    <n v="0.16"/>
    <n v="0.16669999999999999"/>
    <n v="0.59"/>
    <n v="0.16420000000000001"/>
    <n v="3"/>
    <n v="125"/>
    <n v="128"/>
    <b v="1"/>
    <s v="January"/>
    <s v="Wednesday"/>
    <s v="Weekday"/>
    <s v="Spring"/>
    <x v="0"/>
    <s v="Morning Peak"/>
    <s v="Low"/>
    <s v="Medium"/>
  </r>
  <r>
    <n v="263"/>
    <d v="2011-01-12T00:00:00"/>
    <n v="1"/>
    <n v="0"/>
    <n v="1"/>
    <x v="9"/>
    <b v="0"/>
    <n v="3"/>
    <n v="1"/>
    <n v="0.16"/>
    <n v="0.13639999999999999"/>
    <n v="0.59"/>
    <n v="0.32840000000000003"/>
    <n v="3"/>
    <n v="78"/>
    <n v="81"/>
    <b v="1"/>
    <s v="January"/>
    <s v="Wednesday"/>
    <s v="Weekday"/>
    <s v="Spring"/>
    <x v="0"/>
    <s v="Morning Peak"/>
    <s v="Low"/>
    <s v="Medium"/>
  </r>
  <r>
    <n v="264"/>
    <d v="2011-01-12T00:00:00"/>
    <n v="1"/>
    <n v="0"/>
    <n v="1"/>
    <x v="10"/>
    <b v="0"/>
    <n v="3"/>
    <n v="1"/>
    <n v="0.18"/>
    <n v="0.18179999999999999"/>
    <n v="0.55000000000000004"/>
    <n v="0.22389999999999999"/>
    <n v="0"/>
    <n v="39"/>
    <n v="39"/>
    <b v="1"/>
    <s v="January"/>
    <s v="Wednesday"/>
    <s v="Weekday"/>
    <s v="Spring"/>
    <x v="0"/>
    <s v="Off Peak"/>
    <s v="Low"/>
    <s v="Medium"/>
  </r>
  <r>
    <n v="265"/>
    <d v="2011-01-12T00:00:00"/>
    <n v="1"/>
    <n v="0"/>
    <n v="1"/>
    <x v="11"/>
    <b v="0"/>
    <n v="3"/>
    <n v="1"/>
    <n v="0.2"/>
    <n v="0.18179999999999999"/>
    <n v="0.51"/>
    <n v="0.3881"/>
    <n v="3"/>
    <n v="32"/>
    <n v="35"/>
    <b v="1"/>
    <s v="January"/>
    <s v="Wednesday"/>
    <s v="Weekday"/>
    <s v="Spring"/>
    <x v="0"/>
    <s v="Off Peak"/>
    <s v="Low"/>
    <s v="Medium"/>
  </r>
  <r>
    <n v="266"/>
    <d v="2011-01-12T00:00:00"/>
    <n v="1"/>
    <n v="0"/>
    <n v="1"/>
    <x v="12"/>
    <b v="0"/>
    <n v="3"/>
    <n v="1"/>
    <n v="0.2"/>
    <n v="0.1515"/>
    <n v="0.47"/>
    <n v="0.58209999999999995"/>
    <n v="3"/>
    <n v="52"/>
    <n v="55"/>
    <b v="1"/>
    <s v="January"/>
    <s v="Wednesday"/>
    <s v="Weekday"/>
    <s v="Spring"/>
    <x v="0"/>
    <s v="Off Peak"/>
    <s v="Low"/>
    <s v="Medium"/>
  </r>
  <r>
    <n v="267"/>
    <d v="2011-01-12T00:00:00"/>
    <n v="1"/>
    <n v="0"/>
    <n v="1"/>
    <x v="13"/>
    <b v="0"/>
    <n v="3"/>
    <n v="1"/>
    <n v="0.22"/>
    <n v="0.19700000000000001"/>
    <n v="0.44"/>
    <n v="0.35820000000000002"/>
    <n v="0"/>
    <n v="49"/>
    <n v="49"/>
    <b v="1"/>
    <s v="January"/>
    <s v="Wednesday"/>
    <s v="Weekday"/>
    <s v="Spring"/>
    <x v="0"/>
    <s v="Off Peak"/>
    <s v="Low"/>
    <s v="Medium"/>
  </r>
  <r>
    <n v="268"/>
    <d v="2011-01-12T00:00:00"/>
    <n v="1"/>
    <n v="0"/>
    <n v="1"/>
    <x v="14"/>
    <b v="0"/>
    <n v="3"/>
    <n v="1"/>
    <n v="0.2"/>
    <n v="0.18179999999999999"/>
    <n v="0.47"/>
    <n v="0.32840000000000003"/>
    <n v="0"/>
    <n v="44"/>
    <n v="44"/>
    <b v="1"/>
    <s v="January"/>
    <s v="Wednesday"/>
    <s v="Weekday"/>
    <s v="Spring"/>
    <x v="0"/>
    <s v="Off Peak"/>
    <s v="Low"/>
    <s v="Medium"/>
  </r>
  <r>
    <n v="269"/>
    <d v="2011-01-12T00:00:00"/>
    <n v="1"/>
    <n v="0"/>
    <n v="1"/>
    <x v="15"/>
    <b v="0"/>
    <n v="3"/>
    <n v="1"/>
    <n v="0.2"/>
    <n v="0.16669999999999999"/>
    <n v="0.47"/>
    <n v="0.41789999999999999"/>
    <n v="1"/>
    <n v="48"/>
    <n v="49"/>
    <b v="1"/>
    <s v="January"/>
    <s v="Wednesday"/>
    <s v="Weekday"/>
    <s v="Spring"/>
    <x v="0"/>
    <s v="Off Peak"/>
    <s v="Low"/>
    <s v="Medium"/>
  </r>
  <r>
    <n v="270"/>
    <d v="2011-01-12T00:00:00"/>
    <n v="1"/>
    <n v="0"/>
    <n v="1"/>
    <x v="16"/>
    <b v="0"/>
    <n v="3"/>
    <n v="1"/>
    <n v="0.22"/>
    <n v="0.19700000000000001"/>
    <n v="0.44"/>
    <n v="0.32840000000000003"/>
    <n v="5"/>
    <n v="63"/>
    <n v="68"/>
    <b v="1"/>
    <s v="January"/>
    <s v="Wednesday"/>
    <s v="Weekday"/>
    <s v="Spring"/>
    <x v="0"/>
    <s v="Off Peak"/>
    <s v="Low"/>
    <s v="Medium"/>
  </r>
  <r>
    <n v="271"/>
    <d v="2011-01-12T00:00:00"/>
    <n v="1"/>
    <n v="0"/>
    <n v="1"/>
    <x v="17"/>
    <b v="0"/>
    <n v="3"/>
    <n v="1"/>
    <n v="0.2"/>
    <n v="0.18179999999999999"/>
    <n v="0.47"/>
    <n v="0.35820000000000002"/>
    <n v="0"/>
    <n v="139"/>
    <n v="139"/>
    <b v="1"/>
    <s v="January"/>
    <s v="Wednesday"/>
    <s v="Weekday"/>
    <s v="Spring"/>
    <x v="0"/>
    <s v="Evening Peak"/>
    <s v="Low"/>
    <s v="Medium"/>
  </r>
  <r>
    <n v="272"/>
    <d v="2011-01-12T00:00:00"/>
    <n v="1"/>
    <n v="0"/>
    <n v="1"/>
    <x v="18"/>
    <b v="0"/>
    <n v="3"/>
    <n v="1"/>
    <n v="0.2"/>
    <n v="0.1515"/>
    <n v="0.47"/>
    <n v="0.52239999999999998"/>
    <n v="2"/>
    <n v="135"/>
    <n v="137"/>
    <b v="1"/>
    <s v="January"/>
    <s v="Wednesday"/>
    <s v="Weekday"/>
    <s v="Spring"/>
    <x v="0"/>
    <s v="Evening Peak"/>
    <s v="Low"/>
    <s v="Medium"/>
  </r>
  <r>
    <n v="273"/>
    <d v="2011-01-12T00:00:00"/>
    <n v="1"/>
    <n v="0"/>
    <n v="1"/>
    <x v="19"/>
    <b v="0"/>
    <n v="3"/>
    <n v="1"/>
    <n v="0.18"/>
    <n v="0.1515"/>
    <n v="0.47"/>
    <n v="0.41789999999999999"/>
    <n v="1"/>
    <n v="82"/>
    <n v="83"/>
    <b v="1"/>
    <s v="January"/>
    <s v="Wednesday"/>
    <s v="Weekday"/>
    <s v="Spring"/>
    <x v="0"/>
    <s v="Evening Peak"/>
    <s v="Low"/>
    <s v="Medium"/>
  </r>
  <r>
    <n v="274"/>
    <d v="2011-01-12T00:00:00"/>
    <n v="1"/>
    <n v="0"/>
    <n v="1"/>
    <x v="20"/>
    <b v="0"/>
    <n v="3"/>
    <n v="1"/>
    <n v="0.16"/>
    <n v="0.13639999999999999"/>
    <n v="0.5"/>
    <n v="0.32840000000000003"/>
    <n v="2"/>
    <n v="54"/>
    <n v="56"/>
    <b v="1"/>
    <s v="January"/>
    <s v="Wednesday"/>
    <s v="Weekday"/>
    <s v="Spring"/>
    <x v="0"/>
    <s v="Evening Peak"/>
    <s v="Low"/>
    <s v="Medium"/>
  </r>
  <r>
    <n v="275"/>
    <d v="2011-01-12T00:00:00"/>
    <n v="1"/>
    <n v="0"/>
    <n v="1"/>
    <x v="21"/>
    <b v="0"/>
    <n v="3"/>
    <n v="1"/>
    <n v="0.16"/>
    <n v="0.13639999999999999"/>
    <n v="0.55000000000000004"/>
    <n v="0.32840000000000003"/>
    <n v="0"/>
    <n v="57"/>
    <n v="57"/>
    <b v="1"/>
    <s v="January"/>
    <s v="Wednesday"/>
    <s v="Weekday"/>
    <s v="Spring"/>
    <x v="0"/>
    <s v="Off Peak"/>
    <s v="Low"/>
    <s v="Medium"/>
  </r>
  <r>
    <n v="276"/>
    <d v="2011-01-12T00:00:00"/>
    <n v="1"/>
    <n v="0"/>
    <n v="1"/>
    <x v="22"/>
    <b v="0"/>
    <n v="3"/>
    <n v="1"/>
    <n v="0.16"/>
    <n v="0.1212"/>
    <n v="0.55000000000000004"/>
    <n v="0.44779999999999998"/>
    <n v="1"/>
    <n v="32"/>
    <n v="33"/>
    <b v="1"/>
    <s v="January"/>
    <s v="Wednesday"/>
    <s v="Weekday"/>
    <s v="Spring"/>
    <x v="0"/>
    <s v="Off Peak"/>
    <s v="Low"/>
    <s v="Medium"/>
  </r>
  <r>
    <n v="277"/>
    <d v="2011-01-12T00:00:00"/>
    <n v="1"/>
    <n v="0"/>
    <n v="1"/>
    <x v="23"/>
    <b v="0"/>
    <n v="3"/>
    <n v="1"/>
    <n v="0.14000000000000001"/>
    <n v="0.1061"/>
    <n v="0.59"/>
    <n v="0.41789999999999999"/>
    <n v="1"/>
    <n v="19"/>
    <n v="20"/>
    <b v="1"/>
    <s v="January"/>
    <s v="Wednesday"/>
    <s v="Weekday"/>
    <s v="Spring"/>
    <x v="0"/>
    <s v="Off Peak"/>
    <s v="Low"/>
    <s v="Medium"/>
  </r>
  <r>
    <n v="278"/>
    <d v="2011-01-13T00:00:00"/>
    <n v="1"/>
    <n v="0"/>
    <n v="1"/>
    <x v="0"/>
    <b v="0"/>
    <n v="4"/>
    <n v="1"/>
    <n v="0.14000000000000001"/>
    <n v="0.1212"/>
    <n v="0.59"/>
    <n v="0.28360000000000002"/>
    <n v="1"/>
    <n v="6"/>
    <n v="7"/>
    <b v="1"/>
    <s v="January"/>
    <s v="Thursday"/>
    <s v="Weekday"/>
    <s v="Spring"/>
    <x v="0"/>
    <s v="Off Peak"/>
    <s v="Low"/>
    <s v="Medium"/>
  </r>
  <r>
    <n v="279"/>
    <d v="2011-01-13T00:00:00"/>
    <n v="1"/>
    <n v="0"/>
    <n v="1"/>
    <x v="1"/>
    <b v="0"/>
    <n v="4"/>
    <n v="1"/>
    <n v="0.14000000000000001"/>
    <n v="0.1212"/>
    <n v="0.5"/>
    <n v="0.28360000000000002"/>
    <n v="0"/>
    <n v="2"/>
    <n v="2"/>
    <b v="1"/>
    <s v="January"/>
    <s v="Thursday"/>
    <s v="Weekday"/>
    <s v="Spring"/>
    <x v="0"/>
    <s v="Off Peak"/>
    <s v="Low"/>
    <s v="Medium"/>
  </r>
  <r>
    <n v="280"/>
    <d v="2011-01-13T00:00:00"/>
    <n v="1"/>
    <n v="0"/>
    <n v="1"/>
    <x v="2"/>
    <b v="0"/>
    <n v="4"/>
    <n v="1"/>
    <n v="0.14000000000000001"/>
    <n v="0.1212"/>
    <n v="0.5"/>
    <n v="0.35820000000000002"/>
    <n v="0"/>
    <n v="2"/>
    <n v="2"/>
    <b v="1"/>
    <s v="January"/>
    <s v="Thursday"/>
    <s v="Weekday"/>
    <s v="Spring"/>
    <x v="0"/>
    <s v="Off Peak"/>
    <s v="Low"/>
    <s v="Medium"/>
  </r>
  <r>
    <n v="281"/>
    <d v="2011-01-13T00:00:00"/>
    <n v="1"/>
    <n v="0"/>
    <n v="1"/>
    <x v="3"/>
    <b v="0"/>
    <n v="4"/>
    <n v="1"/>
    <n v="0.14000000000000001"/>
    <n v="0.1212"/>
    <n v="0.5"/>
    <n v="0.32840000000000003"/>
    <n v="0"/>
    <n v="3"/>
    <n v="3"/>
    <b v="1"/>
    <s v="January"/>
    <s v="Thursday"/>
    <s v="Weekday"/>
    <s v="Spring"/>
    <x v="0"/>
    <s v="Off Peak"/>
    <s v="Low"/>
    <s v="Medium"/>
  </r>
  <r>
    <n v="282"/>
    <d v="2011-01-13T00:00:00"/>
    <n v="1"/>
    <n v="0"/>
    <n v="1"/>
    <x v="4"/>
    <b v="0"/>
    <n v="4"/>
    <n v="1"/>
    <n v="0.14000000000000001"/>
    <n v="0.1212"/>
    <n v="0.5"/>
    <n v="0.25369999999999998"/>
    <n v="0"/>
    <n v="4"/>
    <n v="4"/>
    <b v="1"/>
    <s v="January"/>
    <s v="Thursday"/>
    <s v="Weekday"/>
    <s v="Spring"/>
    <x v="0"/>
    <s v="Off Peak"/>
    <s v="Low"/>
    <s v="Medium"/>
  </r>
  <r>
    <n v="283"/>
    <d v="2011-01-13T00:00:00"/>
    <n v="1"/>
    <n v="0"/>
    <n v="1"/>
    <x v="5"/>
    <b v="0"/>
    <n v="4"/>
    <n v="1"/>
    <n v="0.14000000000000001"/>
    <n v="0.1212"/>
    <n v="0.5"/>
    <n v="0.29849999999999999"/>
    <n v="0"/>
    <n v="3"/>
    <n v="3"/>
    <b v="1"/>
    <s v="January"/>
    <s v="Thursday"/>
    <s v="Weekday"/>
    <s v="Spring"/>
    <x v="0"/>
    <s v="Off Peak"/>
    <s v="Low"/>
    <s v="Medium"/>
  </r>
  <r>
    <n v="284"/>
    <d v="2011-01-13T00:00:00"/>
    <n v="1"/>
    <n v="0"/>
    <n v="1"/>
    <x v="6"/>
    <b v="0"/>
    <n v="4"/>
    <n v="1"/>
    <n v="0.12"/>
    <n v="0.1515"/>
    <n v="0.54"/>
    <n v="0.1343"/>
    <n v="0"/>
    <n v="28"/>
    <n v="28"/>
    <b v="1"/>
    <s v="January"/>
    <s v="Thursday"/>
    <s v="Weekday"/>
    <s v="Spring"/>
    <x v="0"/>
    <s v="Off Peak"/>
    <s v="Low"/>
    <s v="Medium"/>
  </r>
  <r>
    <n v="285"/>
    <d v="2011-01-13T00:00:00"/>
    <n v="1"/>
    <n v="0"/>
    <n v="1"/>
    <x v="7"/>
    <b v="0"/>
    <n v="4"/>
    <n v="1"/>
    <n v="0.12"/>
    <n v="0.1515"/>
    <n v="0.54"/>
    <n v="0.1343"/>
    <n v="0"/>
    <n v="72"/>
    <n v="72"/>
    <b v="1"/>
    <s v="January"/>
    <s v="Thursday"/>
    <s v="Weekday"/>
    <s v="Spring"/>
    <x v="0"/>
    <s v="Morning Peak"/>
    <s v="Low"/>
    <s v="Medium"/>
  </r>
  <r>
    <n v="286"/>
    <d v="2011-01-13T00:00:00"/>
    <n v="1"/>
    <n v="0"/>
    <n v="1"/>
    <x v="8"/>
    <b v="0"/>
    <n v="4"/>
    <n v="1"/>
    <n v="0.14000000000000001"/>
    <n v="0.13639999999999999"/>
    <n v="0.5"/>
    <n v="0.19400000000000001"/>
    <n v="5"/>
    <n v="197"/>
    <n v="202"/>
    <b v="1"/>
    <s v="January"/>
    <s v="Thursday"/>
    <s v="Weekday"/>
    <s v="Spring"/>
    <x v="0"/>
    <s v="Morning Peak"/>
    <s v="Low"/>
    <s v="Medium"/>
  </r>
  <r>
    <n v="287"/>
    <d v="2011-01-13T00:00:00"/>
    <n v="1"/>
    <n v="0"/>
    <n v="1"/>
    <x v="9"/>
    <b v="0"/>
    <n v="4"/>
    <n v="1"/>
    <n v="0.14000000000000001"/>
    <n v="0.1212"/>
    <n v="0.5"/>
    <n v="0.32840000000000003"/>
    <n v="2"/>
    <n v="137"/>
    <n v="139"/>
    <b v="1"/>
    <s v="January"/>
    <s v="Thursday"/>
    <s v="Weekday"/>
    <s v="Spring"/>
    <x v="0"/>
    <s v="Morning Peak"/>
    <s v="Low"/>
    <s v="Medium"/>
  </r>
  <r>
    <n v="288"/>
    <d v="2011-01-13T00:00:00"/>
    <n v="1"/>
    <n v="0"/>
    <n v="1"/>
    <x v="10"/>
    <b v="0"/>
    <n v="4"/>
    <n v="2"/>
    <n v="0.16"/>
    <n v="0.13639999999999999"/>
    <n v="0.5"/>
    <n v="0.35820000000000002"/>
    <n v="2"/>
    <n v="36"/>
    <n v="38"/>
    <b v="1"/>
    <s v="January"/>
    <s v="Thursday"/>
    <s v="Weekday"/>
    <s v="Spring"/>
    <x v="1"/>
    <s v="Off Peak"/>
    <s v="Low"/>
    <s v="Medium"/>
  </r>
  <r>
    <n v="289"/>
    <d v="2011-01-13T00:00:00"/>
    <n v="1"/>
    <n v="0"/>
    <n v="1"/>
    <x v="11"/>
    <b v="0"/>
    <n v="4"/>
    <n v="2"/>
    <n v="0.2"/>
    <n v="0.16669999999999999"/>
    <n v="0.44"/>
    <n v="0.44779999999999998"/>
    <n v="4"/>
    <n v="33"/>
    <n v="37"/>
    <b v="1"/>
    <s v="January"/>
    <s v="Thursday"/>
    <s v="Weekday"/>
    <s v="Spring"/>
    <x v="1"/>
    <s v="Off Peak"/>
    <s v="Low"/>
    <s v="Medium"/>
  </r>
  <r>
    <n v="290"/>
    <d v="2011-01-13T00:00:00"/>
    <n v="1"/>
    <n v="0"/>
    <n v="1"/>
    <x v="12"/>
    <b v="0"/>
    <n v="4"/>
    <n v="1"/>
    <n v="0.2"/>
    <n v="0.16669999999999999"/>
    <n v="0.44"/>
    <n v="0.41789999999999999"/>
    <n v="3"/>
    <n v="49"/>
    <n v="52"/>
    <b v="1"/>
    <s v="January"/>
    <s v="Thursday"/>
    <s v="Weekday"/>
    <s v="Spring"/>
    <x v="0"/>
    <s v="Off Peak"/>
    <s v="Low"/>
    <s v="Medium"/>
  </r>
  <r>
    <n v="291"/>
    <d v="2011-01-13T00:00:00"/>
    <n v="1"/>
    <n v="0"/>
    <n v="1"/>
    <x v="13"/>
    <b v="0"/>
    <n v="4"/>
    <n v="1"/>
    <n v="0.22"/>
    <n v="0.19700000000000001"/>
    <n v="0.41"/>
    <n v="0.44779999999999998"/>
    <n v="2"/>
    <n v="81"/>
    <n v="83"/>
    <b v="1"/>
    <s v="January"/>
    <s v="Thursday"/>
    <s v="Weekday"/>
    <s v="Spring"/>
    <x v="0"/>
    <s v="Off Peak"/>
    <s v="Low"/>
    <s v="Medium"/>
  </r>
  <r>
    <n v="292"/>
    <d v="2011-01-13T00:00:00"/>
    <n v="1"/>
    <n v="0"/>
    <n v="1"/>
    <x v="14"/>
    <b v="0"/>
    <n v="4"/>
    <n v="1"/>
    <n v="0.22"/>
    <n v="0.19700000000000001"/>
    <n v="0.41"/>
    <n v="0.3881"/>
    <n v="3"/>
    <n v="39"/>
    <n v="42"/>
    <b v="1"/>
    <s v="January"/>
    <s v="Thursday"/>
    <s v="Weekday"/>
    <s v="Spring"/>
    <x v="0"/>
    <s v="Off Peak"/>
    <s v="Low"/>
    <s v="Medium"/>
  </r>
  <r>
    <n v="293"/>
    <d v="2011-01-13T00:00:00"/>
    <n v="1"/>
    <n v="0"/>
    <n v="1"/>
    <x v="15"/>
    <b v="0"/>
    <n v="4"/>
    <n v="1"/>
    <n v="0.24"/>
    <n v="0.21210000000000001"/>
    <n v="0.38"/>
    <n v="0.29849999999999999"/>
    <n v="5"/>
    <n v="55"/>
    <n v="60"/>
    <b v="1"/>
    <s v="January"/>
    <s v="Thursday"/>
    <s v="Weekday"/>
    <s v="Spring"/>
    <x v="0"/>
    <s v="Off Peak"/>
    <s v="Low"/>
    <s v="Low"/>
  </r>
  <r>
    <n v="294"/>
    <d v="2011-01-13T00:00:00"/>
    <n v="1"/>
    <n v="0"/>
    <n v="1"/>
    <x v="16"/>
    <b v="0"/>
    <n v="4"/>
    <n v="1"/>
    <n v="0.24"/>
    <n v="0.21210000000000001"/>
    <n v="0.38"/>
    <n v="0.35820000000000002"/>
    <n v="2"/>
    <n v="76"/>
    <n v="78"/>
    <b v="1"/>
    <s v="January"/>
    <s v="Thursday"/>
    <s v="Weekday"/>
    <s v="Spring"/>
    <x v="0"/>
    <s v="Off Peak"/>
    <s v="Low"/>
    <s v="Low"/>
  </r>
  <r>
    <n v="295"/>
    <d v="2011-01-13T00:00:00"/>
    <n v="1"/>
    <n v="0"/>
    <n v="1"/>
    <x v="17"/>
    <b v="0"/>
    <n v="4"/>
    <n v="1"/>
    <n v="0.2"/>
    <n v="0.18179999999999999"/>
    <n v="0.4"/>
    <n v="0.28360000000000002"/>
    <n v="4"/>
    <n v="158"/>
    <n v="162"/>
    <b v="1"/>
    <s v="January"/>
    <s v="Thursday"/>
    <s v="Weekday"/>
    <s v="Spring"/>
    <x v="0"/>
    <s v="Evening Peak"/>
    <s v="Low"/>
    <s v="Medium"/>
  </r>
  <r>
    <n v="296"/>
    <d v="2011-01-13T00:00:00"/>
    <n v="1"/>
    <n v="0"/>
    <n v="1"/>
    <x v="18"/>
    <b v="0"/>
    <n v="4"/>
    <n v="1"/>
    <n v="0.2"/>
    <n v="0.18179999999999999"/>
    <n v="0.4"/>
    <n v="0.32840000000000003"/>
    <n v="3"/>
    <n v="141"/>
    <n v="144"/>
    <b v="1"/>
    <s v="January"/>
    <s v="Thursday"/>
    <s v="Weekday"/>
    <s v="Spring"/>
    <x v="0"/>
    <s v="Evening Peak"/>
    <s v="Low"/>
    <s v="Medium"/>
  </r>
  <r>
    <n v="297"/>
    <d v="2011-01-13T00:00:00"/>
    <n v="1"/>
    <n v="0"/>
    <n v="1"/>
    <x v="19"/>
    <b v="0"/>
    <n v="4"/>
    <n v="1"/>
    <n v="0.16"/>
    <n v="0.1515"/>
    <n v="0.47"/>
    <n v="0.25369999999999998"/>
    <n v="1"/>
    <n v="98"/>
    <n v="99"/>
    <b v="1"/>
    <s v="January"/>
    <s v="Thursday"/>
    <s v="Weekday"/>
    <s v="Spring"/>
    <x v="0"/>
    <s v="Evening Peak"/>
    <s v="Low"/>
    <s v="Medium"/>
  </r>
  <r>
    <n v="298"/>
    <d v="2011-01-13T00:00:00"/>
    <n v="1"/>
    <n v="0"/>
    <n v="1"/>
    <x v="20"/>
    <b v="0"/>
    <n v="4"/>
    <n v="1"/>
    <n v="0.16"/>
    <n v="0.1515"/>
    <n v="0.47"/>
    <n v="0.22389999999999999"/>
    <n v="0"/>
    <n v="64"/>
    <n v="64"/>
    <b v="1"/>
    <s v="January"/>
    <s v="Thursday"/>
    <s v="Weekday"/>
    <s v="Spring"/>
    <x v="0"/>
    <s v="Evening Peak"/>
    <s v="Low"/>
    <s v="Medium"/>
  </r>
  <r>
    <n v="299"/>
    <d v="2011-01-13T00:00:00"/>
    <n v="1"/>
    <n v="0"/>
    <n v="1"/>
    <x v="21"/>
    <b v="0"/>
    <n v="4"/>
    <n v="1"/>
    <n v="0.14000000000000001"/>
    <n v="0.1212"/>
    <n v="0.46"/>
    <n v="0.29849999999999999"/>
    <n v="0"/>
    <n v="40"/>
    <n v="40"/>
    <b v="1"/>
    <s v="January"/>
    <s v="Thursday"/>
    <s v="Weekday"/>
    <s v="Spring"/>
    <x v="0"/>
    <s v="Off Peak"/>
    <s v="Low"/>
    <s v="Medium"/>
  </r>
  <r>
    <n v="300"/>
    <d v="2011-01-13T00:00:00"/>
    <n v="1"/>
    <n v="0"/>
    <n v="1"/>
    <x v="22"/>
    <b v="0"/>
    <n v="4"/>
    <n v="1"/>
    <n v="0.14000000000000001"/>
    <n v="0.1212"/>
    <n v="0.46"/>
    <n v="0.32840000000000003"/>
    <n v="0"/>
    <n v="30"/>
    <n v="30"/>
    <b v="1"/>
    <s v="January"/>
    <s v="Thursday"/>
    <s v="Weekday"/>
    <s v="Spring"/>
    <x v="0"/>
    <s v="Off Peak"/>
    <s v="Low"/>
    <s v="Medium"/>
  </r>
  <r>
    <n v="301"/>
    <d v="2011-01-13T00:00:00"/>
    <n v="1"/>
    <n v="0"/>
    <n v="1"/>
    <x v="23"/>
    <b v="0"/>
    <n v="4"/>
    <n v="1"/>
    <n v="0.12"/>
    <n v="0.13639999999999999"/>
    <n v="0.5"/>
    <n v="0.19400000000000001"/>
    <n v="1"/>
    <n v="14"/>
    <n v="15"/>
    <b v="1"/>
    <s v="January"/>
    <s v="Thursday"/>
    <s v="Weekday"/>
    <s v="Spring"/>
    <x v="0"/>
    <s v="Off Peak"/>
    <s v="Low"/>
    <s v="Medium"/>
  </r>
  <r>
    <n v="302"/>
    <d v="2011-01-14T00:00:00"/>
    <n v="1"/>
    <n v="0"/>
    <n v="1"/>
    <x v="0"/>
    <b v="0"/>
    <n v="5"/>
    <n v="1"/>
    <n v="0.12"/>
    <n v="0.13639999999999999"/>
    <n v="0.5"/>
    <n v="0.19400000000000001"/>
    <n v="0"/>
    <n v="14"/>
    <n v="14"/>
    <b v="1"/>
    <s v="January"/>
    <s v="Friday"/>
    <s v="Weekday"/>
    <s v="Spring"/>
    <x v="0"/>
    <s v="Off Peak"/>
    <s v="Low"/>
    <s v="Medium"/>
  </r>
  <r>
    <n v="303"/>
    <d v="2011-01-14T00:00:00"/>
    <n v="1"/>
    <n v="0"/>
    <n v="1"/>
    <x v="1"/>
    <b v="0"/>
    <n v="5"/>
    <n v="1"/>
    <n v="0.1"/>
    <n v="0.1212"/>
    <n v="0.54"/>
    <n v="0.16420000000000001"/>
    <n v="0"/>
    <n v="5"/>
    <n v="5"/>
    <b v="1"/>
    <s v="January"/>
    <s v="Friday"/>
    <s v="Weekday"/>
    <s v="Spring"/>
    <x v="0"/>
    <s v="Off Peak"/>
    <s v="Low"/>
    <s v="Medium"/>
  </r>
  <r>
    <n v="304"/>
    <d v="2011-01-14T00:00:00"/>
    <n v="1"/>
    <n v="0"/>
    <n v="1"/>
    <x v="2"/>
    <b v="0"/>
    <n v="5"/>
    <n v="1"/>
    <n v="0.1"/>
    <n v="0.1212"/>
    <n v="0.54"/>
    <n v="0.1343"/>
    <n v="0"/>
    <n v="1"/>
    <n v="1"/>
    <b v="1"/>
    <s v="January"/>
    <s v="Friday"/>
    <s v="Weekday"/>
    <s v="Spring"/>
    <x v="0"/>
    <s v="Off Peak"/>
    <s v="Low"/>
    <s v="Medium"/>
  </r>
  <r>
    <n v="305"/>
    <d v="2011-01-14T00:00:00"/>
    <n v="1"/>
    <n v="0"/>
    <n v="1"/>
    <x v="3"/>
    <b v="0"/>
    <n v="5"/>
    <n v="1"/>
    <n v="0.1"/>
    <n v="0.13639999999999999"/>
    <n v="0.54"/>
    <n v="0.1045"/>
    <n v="0"/>
    <n v="1"/>
    <n v="1"/>
    <b v="1"/>
    <s v="January"/>
    <s v="Friday"/>
    <s v="Weekday"/>
    <s v="Spring"/>
    <x v="0"/>
    <s v="Off Peak"/>
    <s v="Low"/>
    <s v="Medium"/>
  </r>
  <r>
    <n v="306"/>
    <d v="2011-01-14T00:00:00"/>
    <n v="1"/>
    <n v="0"/>
    <n v="1"/>
    <x v="5"/>
    <b v="0"/>
    <n v="5"/>
    <n v="1"/>
    <n v="0.1"/>
    <n v="0.13639999999999999"/>
    <n v="0.54"/>
    <n v="8.9599999999999999E-2"/>
    <n v="0"/>
    <n v="8"/>
    <n v="8"/>
    <b v="1"/>
    <s v="January"/>
    <s v="Friday"/>
    <s v="Weekday"/>
    <s v="Spring"/>
    <x v="0"/>
    <s v="Off Peak"/>
    <s v="Low"/>
    <s v="Medium"/>
  </r>
  <r>
    <n v="307"/>
    <d v="2011-01-14T00:00:00"/>
    <n v="1"/>
    <n v="0"/>
    <n v="1"/>
    <x v="6"/>
    <b v="0"/>
    <n v="5"/>
    <n v="1"/>
    <n v="0.1"/>
    <n v="0.18179999999999999"/>
    <n v="0.54"/>
    <n v="0"/>
    <n v="0"/>
    <n v="17"/>
    <n v="17"/>
    <b v="1"/>
    <s v="January"/>
    <s v="Friday"/>
    <s v="Weekday"/>
    <s v="Spring"/>
    <x v="0"/>
    <s v="Off Peak"/>
    <s v="Low"/>
    <s v="Medium"/>
  </r>
  <r>
    <n v="308"/>
    <d v="2011-01-14T00:00:00"/>
    <n v="1"/>
    <n v="0"/>
    <n v="1"/>
    <x v="7"/>
    <b v="0"/>
    <n v="5"/>
    <n v="1"/>
    <n v="0.1"/>
    <n v="0.1212"/>
    <n v="0.74"/>
    <n v="0.16420000000000001"/>
    <n v="0"/>
    <n v="70"/>
    <n v="70"/>
    <b v="1"/>
    <s v="January"/>
    <s v="Friday"/>
    <s v="Weekday"/>
    <s v="Spring"/>
    <x v="0"/>
    <s v="Morning Peak"/>
    <s v="Low"/>
    <s v="High"/>
  </r>
  <r>
    <n v="309"/>
    <d v="2011-01-14T00:00:00"/>
    <n v="1"/>
    <n v="0"/>
    <n v="1"/>
    <x v="8"/>
    <b v="0"/>
    <n v="5"/>
    <n v="1"/>
    <n v="0.12"/>
    <n v="0.16669999999999999"/>
    <n v="0.68"/>
    <n v="0"/>
    <n v="2"/>
    <n v="156"/>
    <n v="158"/>
    <b v="1"/>
    <s v="January"/>
    <s v="Friday"/>
    <s v="Weekday"/>
    <s v="Spring"/>
    <x v="0"/>
    <s v="Morning Peak"/>
    <s v="Low"/>
    <s v="Medium"/>
  </r>
  <r>
    <n v="310"/>
    <d v="2011-01-14T00:00:00"/>
    <n v="1"/>
    <n v="0"/>
    <n v="1"/>
    <x v="9"/>
    <b v="0"/>
    <n v="5"/>
    <n v="1"/>
    <n v="0.14000000000000001"/>
    <n v="0.1515"/>
    <n v="0.69"/>
    <n v="0.1343"/>
    <n v="0"/>
    <n v="117"/>
    <n v="117"/>
    <b v="1"/>
    <s v="January"/>
    <s v="Friday"/>
    <s v="Weekday"/>
    <s v="Spring"/>
    <x v="0"/>
    <s v="Morning Peak"/>
    <s v="Low"/>
    <s v="Medium"/>
  </r>
  <r>
    <n v="311"/>
    <d v="2011-01-14T00:00:00"/>
    <n v="1"/>
    <n v="0"/>
    <n v="1"/>
    <x v="10"/>
    <b v="0"/>
    <n v="5"/>
    <n v="1"/>
    <n v="0.18"/>
    <n v="0.18179999999999999"/>
    <n v="0.55000000000000004"/>
    <n v="0.19400000000000001"/>
    <n v="4"/>
    <n v="40"/>
    <n v="44"/>
    <b v="1"/>
    <s v="January"/>
    <s v="Friday"/>
    <s v="Weekday"/>
    <s v="Spring"/>
    <x v="0"/>
    <s v="Off Peak"/>
    <s v="Low"/>
    <s v="Medium"/>
  </r>
  <r>
    <n v="312"/>
    <d v="2011-01-14T00:00:00"/>
    <n v="1"/>
    <n v="0"/>
    <n v="1"/>
    <x v="11"/>
    <b v="0"/>
    <n v="5"/>
    <n v="1"/>
    <n v="0.18"/>
    <n v="0.16669999999999999"/>
    <n v="0.51"/>
    <n v="0.28360000000000002"/>
    <n v="6"/>
    <n v="47"/>
    <n v="53"/>
    <b v="1"/>
    <s v="January"/>
    <s v="Friday"/>
    <s v="Weekday"/>
    <s v="Spring"/>
    <x v="0"/>
    <s v="Off Peak"/>
    <s v="Low"/>
    <s v="Medium"/>
  </r>
  <r>
    <n v="313"/>
    <d v="2011-01-14T00:00:00"/>
    <n v="1"/>
    <n v="0"/>
    <n v="1"/>
    <x v="12"/>
    <b v="0"/>
    <n v="5"/>
    <n v="1"/>
    <n v="0.2"/>
    <n v="0.19700000000000001"/>
    <n v="0.44"/>
    <n v="0.25369999999999998"/>
    <n v="2"/>
    <n v="59"/>
    <n v="61"/>
    <b v="1"/>
    <s v="January"/>
    <s v="Friday"/>
    <s v="Weekday"/>
    <s v="Spring"/>
    <x v="0"/>
    <s v="Off Peak"/>
    <s v="Low"/>
    <s v="Medium"/>
  </r>
  <r>
    <n v="314"/>
    <d v="2011-01-14T00:00:00"/>
    <n v="1"/>
    <n v="0"/>
    <n v="1"/>
    <x v="13"/>
    <b v="0"/>
    <n v="5"/>
    <n v="1"/>
    <n v="0.22"/>
    <n v="0.19700000000000001"/>
    <n v="0.37"/>
    <n v="0.3881"/>
    <n v="4"/>
    <n v="73"/>
    <n v="77"/>
    <b v="1"/>
    <s v="January"/>
    <s v="Friday"/>
    <s v="Weekday"/>
    <s v="Spring"/>
    <x v="0"/>
    <s v="Off Peak"/>
    <s v="Low"/>
    <s v="Low"/>
  </r>
  <r>
    <n v="315"/>
    <d v="2011-01-14T00:00:00"/>
    <n v="1"/>
    <n v="0"/>
    <n v="1"/>
    <x v="14"/>
    <b v="0"/>
    <n v="5"/>
    <n v="1"/>
    <n v="0.22"/>
    <n v="0.21210000000000001"/>
    <n v="0.41"/>
    <n v="0.28360000000000002"/>
    <n v="5"/>
    <n v="59"/>
    <n v="64"/>
    <b v="1"/>
    <s v="January"/>
    <s v="Friday"/>
    <s v="Weekday"/>
    <s v="Spring"/>
    <x v="0"/>
    <s v="Off Peak"/>
    <s v="Low"/>
    <s v="Medium"/>
  </r>
  <r>
    <n v="316"/>
    <d v="2011-01-14T00:00:00"/>
    <n v="1"/>
    <n v="0"/>
    <n v="1"/>
    <x v="15"/>
    <b v="0"/>
    <n v="5"/>
    <n v="1"/>
    <n v="0.24"/>
    <n v="0.2424"/>
    <n v="0.38"/>
    <n v="0.16420000000000001"/>
    <n v="9"/>
    <n v="59"/>
    <n v="68"/>
    <b v="1"/>
    <s v="January"/>
    <s v="Friday"/>
    <s v="Weekday"/>
    <s v="Spring"/>
    <x v="0"/>
    <s v="Off Peak"/>
    <s v="Low"/>
    <s v="Low"/>
  </r>
  <r>
    <n v="317"/>
    <d v="2011-01-14T00:00:00"/>
    <n v="1"/>
    <n v="0"/>
    <n v="1"/>
    <x v="16"/>
    <b v="0"/>
    <n v="5"/>
    <n v="1"/>
    <n v="0.22"/>
    <n v="0.2424"/>
    <n v="0.41"/>
    <n v="0.1045"/>
    <n v="3"/>
    <n v="87"/>
    <n v="90"/>
    <b v="1"/>
    <s v="January"/>
    <s v="Friday"/>
    <s v="Weekday"/>
    <s v="Spring"/>
    <x v="0"/>
    <s v="Off Peak"/>
    <s v="Low"/>
    <s v="Medium"/>
  </r>
  <r>
    <n v="318"/>
    <d v="2011-01-14T00:00:00"/>
    <n v="1"/>
    <n v="0"/>
    <n v="1"/>
    <x v="17"/>
    <b v="0"/>
    <n v="5"/>
    <n v="1"/>
    <n v="0.22"/>
    <n v="0.2273"/>
    <n v="0.41"/>
    <n v="0.16420000000000001"/>
    <n v="4"/>
    <n v="155"/>
    <n v="159"/>
    <b v="1"/>
    <s v="January"/>
    <s v="Friday"/>
    <s v="Weekday"/>
    <s v="Spring"/>
    <x v="0"/>
    <s v="Evening Peak"/>
    <s v="Low"/>
    <s v="Medium"/>
  </r>
  <r>
    <n v="319"/>
    <d v="2011-01-14T00:00:00"/>
    <n v="1"/>
    <n v="0"/>
    <n v="1"/>
    <x v="18"/>
    <b v="0"/>
    <n v="5"/>
    <n v="1"/>
    <n v="0.2"/>
    <n v="0.2576"/>
    <n v="0.47"/>
    <n v="0"/>
    <n v="5"/>
    <n v="134"/>
    <n v="139"/>
    <b v="1"/>
    <s v="January"/>
    <s v="Friday"/>
    <s v="Weekday"/>
    <s v="Spring"/>
    <x v="0"/>
    <s v="Evening Peak"/>
    <s v="Low"/>
    <s v="Medium"/>
  </r>
  <r>
    <n v="320"/>
    <d v="2011-01-14T00:00:00"/>
    <n v="1"/>
    <n v="0"/>
    <n v="1"/>
    <x v="19"/>
    <b v="0"/>
    <n v="5"/>
    <n v="1"/>
    <n v="0.16"/>
    <n v="0.19700000000000001"/>
    <n v="0.59"/>
    <n v="8.9599999999999999E-2"/>
    <n v="3"/>
    <n v="89"/>
    <n v="92"/>
    <b v="1"/>
    <s v="January"/>
    <s v="Friday"/>
    <s v="Weekday"/>
    <s v="Spring"/>
    <x v="0"/>
    <s v="Evening Peak"/>
    <s v="Low"/>
    <s v="Medium"/>
  </r>
  <r>
    <n v="321"/>
    <d v="2011-01-14T00:00:00"/>
    <n v="1"/>
    <n v="0"/>
    <n v="1"/>
    <x v="20"/>
    <b v="0"/>
    <n v="5"/>
    <n v="1"/>
    <n v="0.18"/>
    <n v="0.2424"/>
    <n v="0.59"/>
    <n v="0"/>
    <n v="0"/>
    <n v="68"/>
    <n v="68"/>
    <b v="1"/>
    <s v="January"/>
    <s v="Friday"/>
    <s v="Weekday"/>
    <s v="Spring"/>
    <x v="0"/>
    <s v="Evening Peak"/>
    <s v="Low"/>
    <s v="Medium"/>
  </r>
  <r>
    <n v="322"/>
    <d v="2011-01-14T00:00:00"/>
    <n v="1"/>
    <n v="0"/>
    <n v="1"/>
    <x v="21"/>
    <b v="0"/>
    <n v="5"/>
    <n v="1"/>
    <n v="0.16"/>
    <n v="0.2273"/>
    <n v="0.69"/>
    <n v="0"/>
    <n v="4"/>
    <n v="48"/>
    <n v="52"/>
    <b v="1"/>
    <s v="January"/>
    <s v="Friday"/>
    <s v="Weekday"/>
    <s v="Spring"/>
    <x v="0"/>
    <s v="Off Peak"/>
    <s v="Low"/>
    <s v="Medium"/>
  </r>
  <r>
    <n v="323"/>
    <d v="2011-01-14T00:00:00"/>
    <n v="1"/>
    <n v="0"/>
    <n v="1"/>
    <x v="22"/>
    <b v="0"/>
    <n v="5"/>
    <n v="2"/>
    <n v="0.16"/>
    <n v="0.2273"/>
    <n v="0.69"/>
    <n v="0"/>
    <n v="2"/>
    <n v="34"/>
    <n v="36"/>
    <b v="1"/>
    <s v="January"/>
    <s v="Friday"/>
    <s v="Weekday"/>
    <s v="Spring"/>
    <x v="1"/>
    <s v="Off Peak"/>
    <s v="Low"/>
    <s v="Medium"/>
  </r>
  <r>
    <n v="324"/>
    <d v="2011-01-14T00:00:00"/>
    <n v="1"/>
    <n v="0"/>
    <n v="1"/>
    <x v="23"/>
    <b v="0"/>
    <n v="5"/>
    <n v="2"/>
    <n v="0.18"/>
    <n v="0.2424"/>
    <n v="0.55000000000000004"/>
    <n v="0"/>
    <n v="1"/>
    <n v="26"/>
    <n v="27"/>
    <b v="1"/>
    <s v="January"/>
    <s v="Friday"/>
    <s v="Weekday"/>
    <s v="Spring"/>
    <x v="1"/>
    <s v="Off Peak"/>
    <s v="Low"/>
    <s v="Medium"/>
  </r>
  <r>
    <n v="325"/>
    <d v="2011-01-15T00:00:00"/>
    <n v="1"/>
    <n v="0"/>
    <n v="1"/>
    <x v="0"/>
    <b v="0"/>
    <n v="6"/>
    <n v="1"/>
    <n v="0.18"/>
    <n v="0.2424"/>
    <n v="0.55000000000000004"/>
    <n v="0"/>
    <n v="3"/>
    <n v="25"/>
    <n v="28"/>
    <b v="1"/>
    <s v="January"/>
    <s v="Saturday"/>
    <s v="Weekend"/>
    <s v="Spring"/>
    <x v="0"/>
    <s v="Off Peak"/>
    <s v="Low"/>
    <s v="Medium"/>
  </r>
  <r>
    <n v="326"/>
    <d v="2011-01-15T00:00:00"/>
    <n v="1"/>
    <n v="0"/>
    <n v="1"/>
    <x v="1"/>
    <b v="0"/>
    <n v="6"/>
    <n v="2"/>
    <n v="0.16"/>
    <n v="0.19700000000000001"/>
    <n v="0.59"/>
    <n v="8.9599999999999999E-2"/>
    <n v="2"/>
    <n v="18"/>
    <n v="20"/>
    <b v="1"/>
    <s v="January"/>
    <s v="Saturday"/>
    <s v="Weekend"/>
    <s v="Spring"/>
    <x v="1"/>
    <s v="Off Peak"/>
    <s v="Low"/>
    <s v="Medium"/>
  </r>
  <r>
    <n v="327"/>
    <d v="2011-01-15T00:00:00"/>
    <n v="1"/>
    <n v="0"/>
    <n v="1"/>
    <x v="2"/>
    <b v="0"/>
    <n v="6"/>
    <n v="2"/>
    <n v="0.16"/>
    <n v="0.19700000000000001"/>
    <n v="0.59"/>
    <n v="8.9599999999999999E-2"/>
    <n v="0"/>
    <n v="12"/>
    <n v="12"/>
    <b v="1"/>
    <s v="January"/>
    <s v="Saturday"/>
    <s v="Weekend"/>
    <s v="Spring"/>
    <x v="1"/>
    <s v="Off Peak"/>
    <s v="Low"/>
    <s v="Medium"/>
  </r>
  <r>
    <n v="328"/>
    <d v="2011-01-15T00:00:00"/>
    <n v="1"/>
    <n v="0"/>
    <n v="1"/>
    <x v="3"/>
    <b v="0"/>
    <n v="6"/>
    <n v="2"/>
    <n v="0.16"/>
    <n v="0.2273"/>
    <n v="0.59"/>
    <n v="0"/>
    <n v="1"/>
    <n v="7"/>
    <n v="8"/>
    <b v="1"/>
    <s v="January"/>
    <s v="Saturday"/>
    <s v="Weekend"/>
    <s v="Spring"/>
    <x v="1"/>
    <s v="Off Peak"/>
    <s v="Low"/>
    <s v="Medium"/>
  </r>
  <r>
    <n v="329"/>
    <d v="2011-01-15T00:00:00"/>
    <n v="1"/>
    <n v="0"/>
    <n v="1"/>
    <x v="4"/>
    <b v="0"/>
    <n v="6"/>
    <n v="2"/>
    <n v="0.16"/>
    <n v="0.2273"/>
    <n v="0.59"/>
    <n v="0"/>
    <n v="0"/>
    <n v="5"/>
    <n v="5"/>
    <b v="1"/>
    <s v="January"/>
    <s v="Saturday"/>
    <s v="Weekend"/>
    <s v="Spring"/>
    <x v="1"/>
    <s v="Off Peak"/>
    <s v="Low"/>
    <s v="Medium"/>
  </r>
  <r>
    <n v="330"/>
    <d v="2011-01-15T00:00:00"/>
    <n v="1"/>
    <n v="0"/>
    <n v="1"/>
    <x v="5"/>
    <b v="0"/>
    <n v="6"/>
    <n v="1"/>
    <n v="0.16"/>
    <n v="0.2273"/>
    <n v="0.59"/>
    <n v="0"/>
    <n v="0"/>
    <n v="1"/>
    <n v="1"/>
    <b v="1"/>
    <s v="January"/>
    <s v="Saturday"/>
    <s v="Weekend"/>
    <s v="Spring"/>
    <x v="0"/>
    <s v="Off Peak"/>
    <s v="Low"/>
    <s v="Medium"/>
  </r>
  <r>
    <n v="331"/>
    <d v="2011-01-15T00:00:00"/>
    <n v="1"/>
    <n v="0"/>
    <n v="1"/>
    <x v="6"/>
    <b v="0"/>
    <n v="6"/>
    <n v="1"/>
    <n v="0.14000000000000001"/>
    <n v="0.16669999999999999"/>
    <n v="0.63"/>
    <n v="0.1045"/>
    <n v="1"/>
    <n v="2"/>
    <n v="3"/>
    <b v="1"/>
    <s v="January"/>
    <s v="Saturday"/>
    <s v="Weekend"/>
    <s v="Spring"/>
    <x v="0"/>
    <s v="Off Peak"/>
    <s v="Low"/>
    <s v="Medium"/>
  </r>
  <r>
    <n v="332"/>
    <d v="2011-01-15T00:00:00"/>
    <n v="1"/>
    <n v="0"/>
    <n v="1"/>
    <x v="7"/>
    <b v="0"/>
    <n v="6"/>
    <n v="1"/>
    <n v="0.14000000000000001"/>
    <n v="0.21210000000000001"/>
    <n v="0.63"/>
    <n v="0"/>
    <n v="1"/>
    <n v="9"/>
    <n v="10"/>
    <b v="1"/>
    <s v="January"/>
    <s v="Saturday"/>
    <s v="Weekend"/>
    <s v="Spring"/>
    <x v="0"/>
    <s v="Morning Peak"/>
    <s v="Low"/>
    <s v="Medium"/>
  </r>
  <r>
    <n v="333"/>
    <d v="2011-01-15T00:00:00"/>
    <n v="1"/>
    <n v="0"/>
    <n v="1"/>
    <x v="8"/>
    <b v="0"/>
    <n v="6"/>
    <n v="1"/>
    <n v="0.14000000000000001"/>
    <n v="0.1515"/>
    <n v="0.63"/>
    <n v="0.1343"/>
    <n v="1"/>
    <n v="22"/>
    <n v="23"/>
    <b v="1"/>
    <s v="January"/>
    <s v="Saturday"/>
    <s v="Weekend"/>
    <s v="Spring"/>
    <x v="0"/>
    <s v="Morning Peak"/>
    <s v="Low"/>
    <s v="Medium"/>
  </r>
  <r>
    <n v="334"/>
    <d v="2011-01-15T00:00:00"/>
    <n v="1"/>
    <n v="0"/>
    <n v="1"/>
    <x v="9"/>
    <b v="0"/>
    <n v="6"/>
    <n v="1"/>
    <n v="0.16"/>
    <n v="0.18179999999999999"/>
    <n v="0.64"/>
    <n v="0.1343"/>
    <n v="2"/>
    <n v="31"/>
    <n v="33"/>
    <b v="1"/>
    <s v="January"/>
    <s v="Saturday"/>
    <s v="Weekend"/>
    <s v="Spring"/>
    <x v="0"/>
    <s v="Morning Peak"/>
    <s v="Low"/>
    <s v="Medium"/>
  </r>
  <r>
    <n v="335"/>
    <d v="2011-01-15T00:00:00"/>
    <n v="1"/>
    <n v="0"/>
    <n v="1"/>
    <x v="10"/>
    <b v="0"/>
    <n v="6"/>
    <n v="1"/>
    <n v="0.18"/>
    <n v="0.19700000000000001"/>
    <n v="0.59"/>
    <n v="0.16420000000000001"/>
    <n v="2"/>
    <n v="57"/>
    <n v="59"/>
    <b v="1"/>
    <s v="January"/>
    <s v="Saturday"/>
    <s v="Weekend"/>
    <s v="Spring"/>
    <x v="0"/>
    <s v="Off Peak"/>
    <s v="Low"/>
    <s v="Medium"/>
  </r>
  <r>
    <n v="336"/>
    <d v="2011-01-15T00:00:00"/>
    <n v="1"/>
    <n v="0"/>
    <n v="1"/>
    <x v="11"/>
    <b v="0"/>
    <n v="6"/>
    <n v="1"/>
    <n v="0.2"/>
    <n v="0.19700000000000001"/>
    <n v="0.55000000000000004"/>
    <n v="0.22389999999999999"/>
    <n v="18"/>
    <n v="54"/>
    <n v="72"/>
    <b v="1"/>
    <s v="January"/>
    <s v="Saturday"/>
    <s v="Weekend"/>
    <s v="Spring"/>
    <x v="0"/>
    <s v="Off Peak"/>
    <s v="Low"/>
    <s v="Medium"/>
  </r>
  <r>
    <n v="337"/>
    <d v="2011-01-15T00:00:00"/>
    <n v="1"/>
    <n v="0"/>
    <n v="1"/>
    <x v="12"/>
    <b v="0"/>
    <n v="6"/>
    <n v="1"/>
    <n v="0.24"/>
    <n v="0.2273"/>
    <n v="0.48"/>
    <n v="0.22389999999999999"/>
    <n v="15"/>
    <n v="74"/>
    <n v="89"/>
    <b v="1"/>
    <s v="January"/>
    <s v="Saturday"/>
    <s v="Weekend"/>
    <s v="Spring"/>
    <x v="0"/>
    <s v="Off Peak"/>
    <s v="Low"/>
    <s v="Medium"/>
  </r>
  <r>
    <n v="338"/>
    <d v="2011-01-15T00:00:00"/>
    <n v="1"/>
    <n v="0"/>
    <n v="1"/>
    <x v="13"/>
    <b v="0"/>
    <n v="6"/>
    <n v="1"/>
    <n v="0.28000000000000003"/>
    <n v="0.2576"/>
    <n v="0.38"/>
    <n v="0.29849999999999999"/>
    <n v="21"/>
    <n v="80"/>
    <n v="101"/>
    <b v="1"/>
    <s v="January"/>
    <s v="Saturday"/>
    <s v="Weekend"/>
    <s v="Spring"/>
    <x v="0"/>
    <s v="Off Peak"/>
    <s v="Low"/>
    <s v="Low"/>
  </r>
  <r>
    <n v="339"/>
    <d v="2011-01-15T00:00:00"/>
    <n v="1"/>
    <n v="0"/>
    <n v="1"/>
    <x v="14"/>
    <b v="0"/>
    <n v="6"/>
    <n v="1"/>
    <n v="0.3"/>
    <n v="0.28789999999999999"/>
    <n v="0.39"/>
    <n v="0.28360000000000002"/>
    <n v="26"/>
    <n v="92"/>
    <n v="118"/>
    <b v="1"/>
    <s v="January"/>
    <s v="Saturday"/>
    <s v="Weekend"/>
    <s v="Spring"/>
    <x v="0"/>
    <s v="Off Peak"/>
    <s v="Medium"/>
    <s v="Low"/>
  </r>
  <r>
    <n v="340"/>
    <d v="2011-01-15T00:00:00"/>
    <n v="1"/>
    <n v="0"/>
    <n v="1"/>
    <x v="15"/>
    <b v="0"/>
    <n v="6"/>
    <n v="2"/>
    <n v="0.32"/>
    <n v="0.31819999999999998"/>
    <n v="0.36"/>
    <n v="0.19400000000000001"/>
    <n v="21"/>
    <n v="108"/>
    <n v="129"/>
    <b v="1"/>
    <s v="January"/>
    <s v="Saturday"/>
    <s v="Weekend"/>
    <s v="Spring"/>
    <x v="1"/>
    <s v="Off Peak"/>
    <s v="Medium"/>
    <s v="Low"/>
  </r>
  <r>
    <n v="341"/>
    <d v="2011-01-15T00:00:00"/>
    <n v="1"/>
    <n v="0"/>
    <n v="1"/>
    <x v="16"/>
    <b v="0"/>
    <n v="6"/>
    <n v="2"/>
    <n v="0.34"/>
    <n v="0.33329999999999999"/>
    <n v="0.34"/>
    <n v="0.19400000000000001"/>
    <n v="33"/>
    <n v="95"/>
    <n v="128"/>
    <b v="1"/>
    <s v="January"/>
    <s v="Saturday"/>
    <s v="Weekend"/>
    <s v="Spring"/>
    <x v="1"/>
    <s v="Off Peak"/>
    <s v="Medium"/>
    <s v="Low"/>
  </r>
  <r>
    <n v="342"/>
    <d v="2011-01-15T00:00:00"/>
    <n v="1"/>
    <n v="0"/>
    <n v="1"/>
    <x v="17"/>
    <b v="0"/>
    <n v="6"/>
    <n v="2"/>
    <n v="0.32"/>
    <n v="0.30299999999999999"/>
    <n v="0.36"/>
    <n v="0.28360000000000002"/>
    <n v="29"/>
    <n v="54"/>
    <n v="83"/>
    <b v="1"/>
    <s v="January"/>
    <s v="Saturday"/>
    <s v="Weekend"/>
    <s v="Spring"/>
    <x v="1"/>
    <s v="Evening Peak"/>
    <s v="Medium"/>
    <s v="Low"/>
  </r>
  <r>
    <n v="343"/>
    <d v="2011-01-15T00:00:00"/>
    <n v="1"/>
    <n v="0"/>
    <n v="1"/>
    <x v="18"/>
    <b v="0"/>
    <n v="6"/>
    <n v="2"/>
    <n v="0.3"/>
    <n v="0.28789999999999999"/>
    <n v="0.45"/>
    <n v="0.25369999999999998"/>
    <n v="15"/>
    <n v="69"/>
    <n v="84"/>
    <b v="1"/>
    <s v="January"/>
    <s v="Saturday"/>
    <s v="Weekend"/>
    <s v="Spring"/>
    <x v="1"/>
    <s v="Evening Peak"/>
    <s v="Medium"/>
    <s v="Medium"/>
  </r>
  <r>
    <n v="344"/>
    <d v="2011-01-15T00:00:00"/>
    <n v="1"/>
    <n v="0"/>
    <n v="1"/>
    <x v="19"/>
    <b v="0"/>
    <n v="6"/>
    <n v="2"/>
    <n v="0.32"/>
    <n v="0.30299999999999999"/>
    <n v="0.39"/>
    <n v="0.25369999999999998"/>
    <n v="14"/>
    <n v="60"/>
    <n v="74"/>
    <b v="1"/>
    <s v="January"/>
    <s v="Saturday"/>
    <s v="Weekend"/>
    <s v="Spring"/>
    <x v="1"/>
    <s v="Evening Peak"/>
    <s v="Medium"/>
    <s v="Low"/>
  </r>
  <r>
    <n v="345"/>
    <d v="2011-01-15T00:00:00"/>
    <n v="1"/>
    <n v="0"/>
    <n v="1"/>
    <x v="20"/>
    <b v="0"/>
    <n v="6"/>
    <n v="2"/>
    <n v="0.32"/>
    <n v="0.30299999999999999"/>
    <n v="0.39"/>
    <n v="0.25369999999999998"/>
    <n v="6"/>
    <n v="35"/>
    <n v="41"/>
    <b v="1"/>
    <s v="January"/>
    <s v="Saturday"/>
    <s v="Weekend"/>
    <s v="Spring"/>
    <x v="1"/>
    <s v="Evening Peak"/>
    <s v="Medium"/>
    <s v="Low"/>
  </r>
  <r>
    <n v="346"/>
    <d v="2011-01-15T00:00:00"/>
    <n v="1"/>
    <n v="0"/>
    <n v="1"/>
    <x v="21"/>
    <b v="0"/>
    <n v="6"/>
    <n v="2"/>
    <n v="0.32"/>
    <n v="0.30299999999999999"/>
    <n v="0.39"/>
    <n v="0.22389999999999999"/>
    <n v="6"/>
    <n v="51"/>
    <n v="57"/>
    <b v="1"/>
    <s v="January"/>
    <s v="Saturday"/>
    <s v="Weekend"/>
    <s v="Spring"/>
    <x v="1"/>
    <s v="Off Peak"/>
    <s v="Medium"/>
    <s v="Low"/>
  </r>
  <r>
    <n v="347"/>
    <d v="2011-01-15T00:00:00"/>
    <n v="1"/>
    <n v="0"/>
    <n v="1"/>
    <x v="22"/>
    <b v="0"/>
    <n v="6"/>
    <n v="2"/>
    <n v="0.3"/>
    <n v="0.31819999999999998"/>
    <n v="0.42"/>
    <n v="0.1045"/>
    <n v="0"/>
    <n v="26"/>
    <n v="26"/>
    <b v="1"/>
    <s v="January"/>
    <s v="Saturday"/>
    <s v="Weekend"/>
    <s v="Spring"/>
    <x v="1"/>
    <s v="Off Peak"/>
    <s v="Medium"/>
    <s v="Medium"/>
  </r>
  <r>
    <n v="348"/>
    <d v="2011-01-15T00:00:00"/>
    <n v="1"/>
    <n v="0"/>
    <n v="1"/>
    <x v="23"/>
    <b v="0"/>
    <n v="6"/>
    <n v="1"/>
    <n v="0.3"/>
    <n v="0.28789999999999999"/>
    <n v="0.45"/>
    <n v="0.28360000000000002"/>
    <n v="5"/>
    <n v="39"/>
    <n v="44"/>
    <b v="1"/>
    <s v="January"/>
    <s v="Saturday"/>
    <s v="Weekend"/>
    <s v="Spring"/>
    <x v="0"/>
    <s v="Off Peak"/>
    <s v="Medium"/>
    <s v="Medium"/>
  </r>
  <r>
    <n v="349"/>
    <d v="2011-01-16T00:00:00"/>
    <n v="1"/>
    <n v="0"/>
    <n v="1"/>
    <x v="0"/>
    <b v="0"/>
    <n v="0"/>
    <n v="1"/>
    <n v="0.26"/>
    <n v="0.30299999999999999"/>
    <n v="0.56000000000000005"/>
    <n v="0"/>
    <n v="6"/>
    <n v="33"/>
    <n v="39"/>
    <b v="1"/>
    <s v="January"/>
    <s v="Sunday"/>
    <s v="Weekend"/>
    <s v="Spring"/>
    <x v="0"/>
    <s v="Off Peak"/>
    <s v="Low"/>
    <s v="Medium"/>
  </r>
  <r>
    <n v="350"/>
    <d v="2011-01-16T00:00:00"/>
    <n v="1"/>
    <n v="0"/>
    <n v="1"/>
    <x v="1"/>
    <b v="0"/>
    <n v="0"/>
    <n v="1"/>
    <n v="0.26"/>
    <n v="0.2727"/>
    <n v="0.56000000000000005"/>
    <n v="0.1343"/>
    <n v="4"/>
    <n v="19"/>
    <n v="23"/>
    <b v="1"/>
    <s v="January"/>
    <s v="Sunday"/>
    <s v="Weekend"/>
    <s v="Spring"/>
    <x v="0"/>
    <s v="Off Peak"/>
    <s v="Low"/>
    <s v="Medium"/>
  </r>
  <r>
    <n v="351"/>
    <d v="2011-01-16T00:00:00"/>
    <n v="1"/>
    <n v="0"/>
    <n v="1"/>
    <x v="2"/>
    <b v="0"/>
    <n v="0"/>
    <n v="1"/>
    <n v="0.26"/>
    <n v="0.28789999999999999"/>
    <n v="0.56000000000000005"/>
    <n v="8.9599999999999999E-2"/>
    <n v="3"/>
    <n v="13"/>
    <n v="16"/>
    <b v="1"/>
    <s v="January"/>
    <s v="Sunday"/>
    <s v="Weekend"/>
    <s v="Spring"/>
    <x v="0"/>
    <s v="Off Peak"/>
    <s v="Low"/>
    <s v="Medium"/>
  </r>
  <r>
    <n v="352"/>
    <d v="2011-01-16T00:00:00"/>
    <n v="1"/>
    <n v="0"/>
    <n v="1"/>
    <x v="3"/>
    <b v="0"/>
    <n v="0"/>
    <n v="1"/>
    <n v="0.22"/>
    <n v="0.2727"/>
    <n v="0.69"/>
    <n v="0"/>
    <n v="9"/>
    <n v="6"/>
    <n v="15"/>
    <b v="1"/>
    <s v="January"/>
    <s v="Sunday"/>
    <s v="Weekend"/>
    <s v="Spring"/>
    <x v="0"/>
    <s v="Off Peak"/>
    <s v="Low"/>
    <s v="Medium"/>
  </r>
  <r>
    <n v="353"/>
    <d v="2011-01-16T00:00:00"/>
    <n v="1"/>
    <n v="0"/>
    <n v="1"/>
    <x v="4"/>
    <b v="0"/>
    <n v="0"/>
    <n v="1"/>
    <n v="0.26"/>
    <n v="0.2576"/>
    <n v="0.56000000000000005"/>
    <n v="0.16420000000000001"/>
    <n v="0"/>
    <n v="1"/>
    <n v="1"/>
    <b v="1"/>
    <s v="January"/>
    <s v="Sunday"/>
    <s v="Weekend"/>
    <s v="Spring"/>
    <x v="0"/>
    <s v="Off Peak"/>
    <s v="Low"/>
    <s v="Medium"/>
  </r>
  <r>
    <n v="354"/>
    <d v="2011-01-16T00:00:00"/>
    <n v="1"/>
    <n v="0"/>
    <n v="1"/>
    <x v="5"/>
    <b v="0"/>
    <n v="0"/>
    <n v="2"/>
    <n v="0.26"/>
    <n v="0.2576"/>
    <n v="0.56000000000000005"/>
    <n v="0.16420000000000001"/>
    <n v="1"/>
    <n v="1"/>
    <n v="2"/>
    <b v="1"/>
    <s v="January"/>
    <s v="Sunday"/>
    <s v="Weekend"/>
    <s v="Spring"/>
    <x v="1"/>
    <s v="Off Peak"/>
    <s v="Low"/>
    <s v="Medium"/>
  </r>
  <r>
    <n v="355"/>
    <d v="2011-01-16T00:00:00"/>
    <n v="1"/>
    <n v="0"/>
    <n v="1"/>
    <x v="6"/>
    <b v="0"/>
    <n v="0"/>
    <n v="2"/>
    <n v="0.26"/>
    <n v="0.2576"/>
    <n v="0.56000000000000005"/>
    <n v="0.16420000000000001"/>
    <n v="0"/>
    <n v="1"/>
    <n v="1"/>
    <b v="1"/>
    <s v="January"/>
    <s v="Sunday"/>
    <s v="Weekend"/>
    <s v="Spring"/>
    <x v="1"/>
    <s v="Off Peak"/>
    <s v="Low"/>
    <s v="Medium"/>
  </r>
  <r>
    <n v="356"/>
    <d v="2011-01-16T00:00:00"/>
    <n v="1"/>
    <n v="0"/>
    <n v="1"/>
    <x v="7"/>
    <b v="0"/>
    <n v="0"/>
    <n v="2"/>
    <n v="0.24"/>
    <n v="0.21210000000000001"/>
    <n v="0.56000000000000005"/>
    <n v="0.29849999999999999"/>
    <n v="0"/>
    <n v="3"/>
    <n v="3"/>
    <b v="1"/>
    <s v="January"/>
    <s v="Sunday"/>
    <s v="Weekend"/>
    <s v="Spring"/>
    <x v="1"/>
    <s v="Morning Peak"/>
    <s v="Low"/>
    <s v="Medium"/>
  </r>
  <r>
    <n v="357"/>
    <d v="2011-01-16T00:00:00"/>
    <n v="1"/>
    <n v="0"/>
    <n v="1"/>
    <x v="8"/>
    <b v="0"/>
    <n v="0"/>
    <n v="1"/>
    <n v="0.22"/>
    <n v="0.21210000000000001"/>
    <n v="0.55000000000000004"/>
    <n v="0.28360000000000002"/>
    <n v="0"/>
    <n v="18"/>
    <n v="18"/>
    <b v="1"/>
    <s v="January"/>
    <s v="Sunday"/>
    <s v="Weekend"/>
    <s v="Spring"/>
    <x v="0"/>
    <s v="Morning Peak"/>
    <s v="Low"/>
    <s v="Medium"/>
  </r>
  <r>
    <n v="358"/>
    <d v="2011-01-16T00:00:00"/>
    <n v="1"/>
    <n v="0"/>
    <n v="1"/>
    <x v="9"/>
    <b v="0"/>
    <n v="0"/>
    <n v="1"/>
    <n v="0.22"/>
    <n v="0.21210000000000001"/>
    <n v="0.51"/>
    <n v="0.25369999999999998"/>
    <n v="3"/>
    <n v="29"/>
    <n v="32"/>
    <b v="1"/>
    <s v="January"/>
    <s v="Sunday"/>
    <s v="Weekend"/>
    <s v="Spring"/>
    <x v="0"/>
    <s v="Morning Peak"/>
    <s v="Low"/>
    <s v="Medium"/>
  </r>
  <r>
    <n v="359"/>
    <d v="2011-01-16T00:00:00"/>
    <n v="1"/>
    <n v="0"/>
    <n v="1"/>
    <x v="10"/>
    <b v="0"/>
    <n v="0"/>
    <n v="1"/>
    <n v="0.22"/>
    <n v="0.21210000000000001"/>
    <n v="0.51"/>
    <n v="0.28360000000000002"/>
    <n v="8"/>
    <n v="71"/>
    <n v="79"/>
    <b v="1"/>
    <s v="January"/>
    <s v="Sunday"/>
    <s v="Weekend"/>
    <s v="Spring"/>
    <x v="0"/>
    <s v="Off Peak"/>
    <s v="Low"/>
    <s v="Medium"/>
  </r>
  <r>
    <n v="360"/>
    <d v="2011-01-16T00:00:00"/>
    <n v="1"/>
    <n v="0"/>
    <n v="1"/>
    <x v="11"/>
    <b v="0"/>
    <n v="0"/>
    <n v="1"/>
    <n v="0.24"/>
    <n v="0.2273"/>
    <n v="0.44"/>
    <n v="0.25369999999999998"/>
    <n v="23"/>
    <n v="70"/>
    <n v="93"/>
    <b v="1"/>
    <s v="January"/>
    <s v="Sunday"/>
    <s v="Weekend"/>
    <s v="Spring"/>
    <x v="0"/>
    <s v="Off Peak"/>
    <s v="Low"/>
    <s v="Medium"/>
  </r>
  <r>
    <n v="361"/>
    <d v="2011-01-16T00:00:00"/>
    <n v="1"/>
    <n v="0"/>
    <n v="1"/>
    <x v="12"/>
    <b v="0"/>
    <n v="0"/>
    <n v="1"/>
    <n v="0.24"/>
    <n v="0.21210000000000001"/>
    <n v="0.41"/>
    <n v="0.28360000000000002"/>
    <n v="29"/>
    <n v="75"/>
    <n v="104"/>
    <b v="1"/>
    <s v="January"/>
    <s v="Sunday"/>
    <s v="Weekend"/>
    <s v="Spring"/>
    <x v="0"/>
    <s v="Off Peak"/>
    <s v="Low"/>
    <s v="Medium"/>
  </r>
  <r>
    <n v="362"/>
    <d v="2011-01-16T00:00:00"/>
    <n v="1"/>
    <n v="0"/>
    <n v="1"/>
    <x v="13"/>
    <b v="0"/>
    <n v="0"/>
    <n v="1"/>
    <n v="0.26"/>
    <n v="0.2273"/>
    <n v="0.35"/>
    <n v="0.29849999999999999"/>
    <n v="23"/>
    <n v="95"/>
    <n v="118"/>
    <b v="1"/>
    <s v="January"/>
    <s v="Sunday"/>
    <s v="Weekend"/>
    <s v="Spring"/>
    <x v="0"/>
    <s v="Off Peak"/>
    <s v="Low"/>
    <s v="Low"/>
  </r>
  <r>
    <n v="363"/>
    <d v="2011-01-16T00:00:00"/>
    <n v="1"/>
    <n v="0"/>
    <n v="1"/>
    <x v="14"/>
    <b v="0"/>
    <n v="0"/>
    <n v="1"/>
    <n v="0.28000000000000003"/>
    <n v="0.2727"/>
    <n v="0.36"/>
    <n v="0.25369999999999998"/>
    <n v="22"/>
    <n v="69"/>
    <n v="91"/>
    <b v="1"/>
    <s v="January"/>
    <s v="Sunday"/>
    <s v="Weekend"/>
    <s v="Spring"/>
    <x v="0"/>
    <s v="Off Peak"/>
    <s v="Low"/>
    <s v="Low"/>
  </r>
  <r>
    <n v="364"/>
    <d v="2011-01-16T00:00:00"/>
    <n v="1"/>
    <n v="0"/>
    <n v="1"/>
    <x v="15"/>
    <b v="0"/>
    <n v="0"/>
    <n v="1"/>
    <n v="0.26"/>
    <n v="0.2424"/>
    <n v="0.38"/>
    <n v="0.25369999999999998"/>
    <n v="35"/>
    <n v="78"/>
    <n v="113"/>
    <b v="1"/>
    <s v="January"/>
    <s v="Sunday"/>
    <s v="Weekend"/>
    <s v="Spring"/>
    <x v="0"/>
    <s v="Off Peak"/>
    <s v="Low"/>
    <s v="Low"/>
  </r>
  <r>
    <n v="365"/>
    <d v="2011-01-16T00:00:00"/>
    <n v="1"/>
    <n v="0"/>
    <n v="1"/>
    <x v="16"/>
    <b v="0"/>
    <n v="0"/>
    <n v="1"/>
    <n v="0.24"/>
    <n v="0.2273"/>
    <n v="0.38"/>
    <n v="0.22389999999999999"/>
    <n v="22"/>
    <n v="77"/>
    <n v="99"/>
    <b v="1"/>
    <s v="January"/>
    <s v="Sunday"/>
    <s v="Weekend"/>
    <s v="Spring"/>
    <x v="0"/>
    <s v="Off Peak"/>
    <s v="Low"/>
    <s v="Low"/>
  </r>
  <r>
    <n v="366"/>
    <d v="2011-01-16T00:00:00"/>
    <n v="1"/>
    <n v="0"/>
    <n v="1"/>
    <x v="17"/>
    <b v="0"/>
    <n v="0"/>
    <n v="1"/>
    <n v="0.22"/>
    <n v="0.21210000000000001"/>
    <n v="0.37"/>
    <n v="0.25369999999999998"/>
    <n v="23"/>
    <n v="82"/>
    <n v="105"/>
    <b v="1"/>
    <s v="January"/>
    <s v="Sunday"/>
    <s v="Weekend"/>
    <s v="Spring"/>
    <x v="0"/>
    <s v="Evening Peak"/>
    <s v="Low"/>
    <s v="Low"/>
  </r>
  <r>
    <n v="367"/>
    <d v="2011-01-16T00:00:00"/>
    <n v="1"/>
    <n v="0"/>
    <n v="1"/>
    <x v="18"/>
    <b v="0"/>
    <n v="0"/>
    <n v="1"/>
    <n v="0.2"/>
    <n v="0.21210000000000001"/>
    <n v="0.4"/>
    <n v="0.16420000000000001"/>
    <n v="11"/>
    <n v="56"/>
    <n v="67"/>
    <b v="1"/>
    <s v="January"/>
    <s v="Sunday"/>
    <s v="Weekend"/>
    <s v="Spring"/>
    <x v="0"/>
    <s v="Evening Peak"/>
    <s v="Low"/>
    <s v="Medium"/>
  </r>
  <r>
    <n v="368"/>
    <d v="2011-01-16T00:00:00"/>
    <n v="1"/>
    <n v="0"/>
    <n v="1"/>
    <x v="19"/>
    <b v="0"/>
    <n v="0"/>
    <n v="1"/>
    <n v="0.18"/>
    <n v="0.19700000000000001"/>
    <n v="0.47"/>
    <n v="0.1343"/>
    <n v="14"/>
    <n v="47"/>
    <n v="61"/>
    <b v="1"/>
    <s v="January"/>
    <s v="Sunday"/>
    <s v="Weekend"/>
    <s v="Spring"/>
    <x v="0"/>
    <s v="Evening Peak"/>
    <s v="Low"/>
    <s v="Medium"/>
  </r>
  <r>
    <n v="369"/>
    <d v="2011-01-16T00:00:00"/>
    <n v="1"/>
    <n v="0"/>
    <n v="1"/>
    <x v="20"/>
    <b v="0"/>
    <n v="0"/>
    <n v="1"/>
    <n v="0.18"/>
    <n v="0.19700000000000001"/>
    <n v="0.47"/>
    <n v="0.16420000000000001"/>
    <n v="7"/>
    <n v="50"/>
    <n v="57"/>
    <b v="1"/>
    <s v="January"/>
    <s v="Sunday"/>
    <s v="Weekend"/>
    <s v="Spring"/>
    <x v="0"/>
    <s v="Evening Peak"/>
    <s v="Low"/>
    <s v="Medium"/>
  </r>
  <r>
    <n v="370"/>
    <d v="2011-01-16T00:00:00"/>
    <n v="1"/>
    <n v="0"/>
    <n v="1"/>
    <x v="21"/>
    <b v="0"/>
    <n v="0"/>
    <n v="1"/>
    <n v="0.18"/>
    <n v="0.19700000000000001"/>
    <n v="0.51"/>
    <n v="0.16420000000000001"/>
    <n v="6"/>
    <n v="22"/>
    <n v="28"/>
    <b v="1"/>
    <s v="January"/>
    <s v="Sunday"/>
    <s v="Weekend"/>
    <s v="Spring"/>
    <x v="0"/>
    <s v="Off Peak"/>
    <s v="Low"/>
    <s v="Medium"/>
  </r>
  <r>
    <n v="371"/>
    <d v="2011-01-16T00:00:00"/>
    <n v="1"/>
    <n v="0"/>
    <n v="1"/>
    <x v="22"/>
    <b v="0"/>
    <n v="0"/>
    <n v="2"/>
    <n v="0.2"/>
    <n v="0.21210000000000001"/>
    <n v="0.49"/>
    <n v="0.1343"/>
    <n v="2"/>
    <n v="19"/>
    <n v="21"/>
    <b v="1"/>
    <s v="January"/>
    <s v="Sunday"/>
    <s v="Weekend"/>
    <s v="Spring"/>
    <x v="1"/>
    <s v="Off Peak"/>
    <s v="Low"/>
    <s v="Medium"/>
  </r>
  <r>
    <n v="372"/>
    <d v="2011-01-16T00:00:00"/>
    <n v="1"/>
    <n v="0"/>
    <n v="1"/>
    <x v="23"/>
    <b v="0"/>
    <n v="0"/>
    <n v="2"/>
    <n v="0.2"/>
    <n v="0.2273"/>
    <n v="0.4"/>
    <n v="0.1045"/>
    <n v="0"/>
    <n v="18"/>
    <n v="18"/>
    <b v="1"/>
    <s v="January"/>
    <s v="Sunday"/>
    <s v="Weekend"/>
    <s v="Spring"/>
    <x v="1"/>
    <s v="Off Peak"/>
    <s v="Low"/>
    <s v="Medium"/>
  </r>
  <r>
    <n v="373"/>
    <d v="2011-01-17T00:00:00"/>
    <n v="1"/>
    <n v="0"/>
    <n v="1"/>
    <x v="0"/>
    <b v="1"/>
    <n v="1"/>
    <n v="2"/>
    <n v="0.2"/>
    <n v="0.19700000000000001"/>
    <n v="0.47"/>
    <n v="0.22389999999999999"/>
    <n v="1"/>
    <n v="16"/>
    <n v="17"/>
    <b v="1"/>
    <s v="January"/>
    <s v="Monday"/>
    <s v="Weekday"/>
    <s v="Spring"/>
    <x v="1"/>
    <s v="Off Peak"/>
    <s v="Low"/>
    <s v="Medium"/>
  </r>
  <r>
    <n v="374"/>
    <d v="2011-01-17T00:00:00"/>
    <n v="1"/>
    <n v="0"/>
    <n v="1"/>
    <x v="1"/>
    <b v="1"/>
    <n v="1"/>
    <n v="2"/>
    <n v="0.2"/>
    <n v="0.19700000000000001"/>
    <n v="0.44"/>
    <n v="0.19400000000000001"/>
    <n v="1"/>
    <n v="15"/>
    <n v="16"/>
    <b v="1"/>
    <s v="January"/>
    <s v="Monday"/>
    <s v="Weekday"/>
    <s v="Spring"/>
    <x v="1"/>
    <s v="Off Peak"/>
    <s v="Low"/>
    <s v="Medium"/>
  </r>
  <r>
    <n v="375"/>
    <d v="2011-01-17T00:00:00"/>
    <n v="1"/>
    <n v="0"/>
    <n v="1"/>
    <x v="2"/>
    <b v="1"/>
    <n v="1"/>
    <n v="2"/>
    <n v="0.18"/>
    <n v="0.16669999999999999"/>
    <n v="0.43"/>
    <n v="0.25369999999999998"/>
    <n v="0"/>
    <n v="8"/>
    <n v="8"/>
    <b v="1"/>
    <s v="January"/>
    <s v="Monday"/>
    <s v="Weekday"/>
    <s v="Spring"/>
    <x v="1"/>
    <s v="Off Peak"/>
    <s v="Low"/>
    <s v="Medium"/>
  </r>
  <r>
    <n v="376"/>
    <d v="2011-01-17T00:00:00"/>
    <n v="1"/>
    <n v="0"/>
    <n v="1"/>
    <x v="3"/>
    <b v="1"/>
    <n v="1"/>
    <n v="2"/>
    <n v="0.18"/>
    <n v="0.18179999999999999"/>
    <n v="0.43"/>
    <n v="0.19400000000000001"/>
    <n v="0"/>
    <n v="2"/>
    <n v="2"/>
    <b v="1"/>
    <s v="January"/>
    <s v="Monday"/>
    <s v="Weekday"/>
    <s v="Spring"/>
    <x v="1"/>
    <s v="Off Peak"/>
    <s v="Low"/>
    <s v="Medium"/>
  </r>
  <r>
    <n v="377"/>
    <d v="2011-01-17T00:00:00"/>
    <n v="1"/>
    <n v="0"/>
    <n v="1"/>
    <x v="4"/>
    <b v="1"/>
    <n v="1"/>
    <n v="2"/>
    <n v="0.18"/>
    <n v="0.19700000000000001"/>
    <n v="0.43"/>
    <n v="0.1343"/>
    <n v="1"/>
    <n v="2"/>
    <n v="3"/>
    <b v="1"/>
    <s v="January"/>
    <s v="Monday"/>
    <s v="Weekday"/>
    <s v="Spring"/>
    <x v="1"/>
    <s v="Off Peak"/>
    <s v="Low"/>
    <s v="Medium"/>
  </r>
  <r>
    <n v="378"/>
    <d v="2011-01-17T00:00:00"/>
    <n v="1"/>
    <n v="0"/>
    <n v="1"/>
    <x v="5"/>
    <b v="1"/>
    <n v="1"/>
    <n v="2"/>
    <n v="0.18"/>
    <n v="0.19700000000000001"/>
    <n v="0.43"/>
    <n v="0.16420000000000001"/>
    <n v="0"/>
    <n v="1"/>
    <n v="1"/>
    <b v="1"/>
    <s v="January"/>
    <s v="Monday"/>
    <s v="Weekday"/>
    <s v="Spring"/>
    <x v="1"/>
    <s v="Off Peak"/>
    <s v="Low"/>
    <s v="Medium"/>
  </r>
  <r>
    <n v="379"/>
    <d v="2011-01-17T00:00:00"/>
    <n v="1"/>
    <n v="0"/>
    <n v="1"/>
    <x v="6"/>
    <b v="1"/>
    <n v="1"/>
    <n v="2"/>
    <n v="0.18"/>
    <n v="0.18179999999999999"/>
    <n v="0.43"/>
    <n v="0.19400000000000001"/>
    <n v="0"/>
    <n v="5"/>
    <n v="5"/>
    <b v="1"/>
    <s v="January"/>
    <s v="Monday"/>
    <s v="Weekday"/>
    <s v="Spring"/>
    <x v="1"/>
    <s v="Off Peak"/>
    <s v="Low"/>
    <s v="Medium"/>
  </r>
  <r>
    <n v="380"/>
    <d v="2011-01-17T00:00:00"/>
    <n v="1"/>
    <n v="0"/>
    <n v="1"/>
    <x v="7"/>
    <b v="1"/>
    <n v="1"/>
    <n v="2"/>
    <n v="0.16"/>
    <n v="0.18179999999999999"/>
    <n v="0.5"/>
    <n v="0.1343"/>
    <n v="4"/>
    <n v="9"/>
    <n v="13"/>
    <b v="1"/>
    <s v="January"/>
    <s v="Monday"/>
    <s v="Weekday"/>
    <s v="Spring"/>
    <x v="1"/>
    <s v="Morning Peak"/>
    <s v="Low"/>
    <s v="Medium"/>
  </r>
  <r>
    <n v="381"/>
    <d v="2011-01-17T00:00:00"/>
    <n v="1"/>
    <n v="0"/>
    <n v="1"/>
    <x v="8"/>
    <b v="1"/>
    <n v="1"/>
    <n v="2"/>
    <n v="0.16"/>
    <n v="0.1515"/>
    <n v="0.47"/>
    <n v="0.22389999999999999"/>
    <n v="3"/>
    <n v="30"/>
    <n v="33"/>
    <b v="1"/>
    <s v="January"/>
    <s v="Monday"/>
    <s v="Weekday"/>
    <s v="Spring"/>
    <x v="1"/>
    <s v="Morning Peak"/>
    <s v="Low"/>
    <s v="Medium"/>
  </r>
  <r>
    <n v="382"/>
    <d v="2011-01-17T00:00:00"/>
    <n v="1"/>
    <n v="0"/>
    <n v="1"/>
    <x v="9"/>
    <b v="1"/>
    <n v="1"/>
    <n v="2"/>
    <n v="0.16"/>
    <n v="0.1515"/>
    <n v="0.47"/>
    <n v="0.22389999999999999"/>
    <n v="8"/>
    <n v="39"/>
    <n v="47"/>
    <b v="1"/>
    <s v="January"/>
    <s v="Monday"/>
    <s v="Weekday"/>
    <s v="Spring"/>
    <x v="1"/>
    <s v="Morning Peak"/>
    <s v="Low"/>
    <s v="Medium"/>
  </r>
  <r>
    <n v="383"/>
    <d v="2011-01-17T00:00:00"/>
    <n v="1"/>
    <n v="0"/>
    <n v="1"/>
    <x v="10"/>
    <b v="1"/>
    <n v="1"/>
    <n v="2"/>
    <n v="0.16"/>
    <n v="0.1515"/>
    <n v="0.5"/>
    <n v="0.25369999999999998"/>
    <n v="7"/>
    <n v="50"/>
    <n v="57"/>
    <b v="1"/>
    <s v="January"/>
    <s v="Monday"/>
    <s v="Weekday"/>
    <s v="Spring"/>
    <x v="1"/>
    <s v="Off Peak"/>
    <s v="Low"/>
    <s v="Medium"/>
  </r>
  <r>
    <n v="384"/>
    <d v="2011-01-17T00:00:00"/>
    <n v="1"/>
    <n v="0"/>
    <n v="1"/>
    <x v="11"/>
    <b v="1"/>
    <n v="1"/>
    <n v="2"/>
    <n v="0.16"/>
    <n v="0.1515"/>
    <n v="0.55000000000000004"/>
    <n v="0.19400000000000001"/>
    <n v="9"/>
    <n v="55"/>
    <n v="64"/>
    <b v="1"/>
    <s v="January"/>
    <s v="Monday"/>
    <s v="Weekday"/>
    <s v="Spring"/>
    <x v="1"/>
    <s v="Off Peak"/>
    <s v="Low"/>
    <s v="Medium"/>
  </r>
  <r>
    <n v="385"/>
    <d v="2011-01-17T00:00:00"/>
    <n v="1"/>
    <n v="0"/>
    <n v="1"/>
    <x v="12"/>
    <b v="1"/>
    <n v="1"/>
    <n v="2"/>
    <n v="0.18"/>
    <n v="0.19700000000000001"/>
    <n v="0.47"/>
    <n v="0.1343"/>
    <n v="10"/>
    <n v="70"/>
    <n v="80"/>
    <b v="1"/>
    <s v="January"/>
    <s v="Monday"/>
    <s v="Weekday"/>
    <s v="Spring"/>
    <x v="1"/>
    <s v="Off Peak"/>
    <s v="Low"/>
    <s v="Medium"/>
  </r>
  <r>
    <n v="386"/>
    <d v="2011-01-17T00:00:00"/>
    <n v="1"/>
    <n v="0"/>
    <n v="1"/>
    <x v="13"/>
    <b v="1"/>
    <n v="1"/>
    <n v="2"/>
    <n v="0.18"/>
    <n v="0.19700000000000001"/>
    <n v="0.47"/>
    <n v="0.1343"/>
    <n v="13"/>
    <n v="80"/>
    <n v="93"/>
    <b v="1"/>
    <s v="January"/>
    <s v="Monday"/>
    <s v="Weekday"/>
    <s v="Spring"/>
    <x v="1"/>
    <s v="Off Peak"/>
    <s v="Low"/>
    <s v="Medium"/>
  </r>
  <r>
    <n v="387"/>
    <d v="2011-01-17T00:00:00"/>
    <n v="1"/>
    <n v="0"/>
    <n v="1"/>
    <x v="14"/>
    <b v="1"/>
    <n v="1"/>
    <n v="2"/>
    <n v="0.18"/>
    <n v="0.21210000000000001"/>
    <n v="0.43"/>
    <n v="0.1045"/>
    <n v="12"/>
    <n v="74"/>
    <n v="86"/>
    <b v="1"/>
    <s v="January"/>
    <s v="Monday"/>
    <s v="Weekday"/>
    <s v="Spring"/>
    <x v="1"/>
    <s v="Off Peak"/>
    <s v="Low"/>
    <s v="Medium"/>
  </r>
  <r>
    <n v="388"/>
    <d v="2011-01-17T00:00:00"/>
    <n v="1"/>
    <n v="0"/>
    <n v="1"/>
    <x v="15"/>
    <b v="1"/>
    <n v="1"/>
    <n v="2"/>
    <n v="0.2"/>
    <n v="0.21210000000000001"/>
    <n v="0.47"/>
    <n v="0.16420000000000001"/>
    <n v="21"/>
    <n v="72"/>
    <n v="93"/>
    <b v="1"/>
    <s v="January"/>
    <s v="Monday"/>
    <s v="Weekday"/>
    <s v="Spring"/>
    <x v="1"/>
    <s v="Off Peak"/>
    <s v="Low"/>
    <s v="Medium"/>
  </r>
  <r>
    <n v="389"/>
    <d v="2011-01-17T00:00:00"/>
    <n v="1"/>
    <n v="0"/>
    <n v="1"/>
    <x v="16"/>
    <b v="1"/>
    <n v="1"/>
    <n v="2"/>
    <n v="0.2"/>
    <n v="0.21210000000000001"/>
    <n v="0.47"/>
    <n v="0.16420000000000001"/>
    <n v="6"/>
    <n v="76"/>
    <n v="82"/>
    <b v="1"/>
    <s v="January"/>
    <s v="Monday"/>
    <s v="Weekday"/>
    <s v="Spring"/>
    <x v="1"/>
    <s v="Off Peak"/>
    <s v="Low"/>
    <s v="Medium"/>
  </r>
  <r>
    <n v="390"/>
    <d v="2011-01-17T00:00:00"/>
    <n v="1"/>
    <n v="0"/>
    <n v="1"/>
    <x v="17"/>
    <b v="1"/>
    <n v="1"/>
    <n v="1"/>
    <n v="0.2"/>
    <n v="0.19700000000000001"/>
    <n v="0.51"/>
    <n v="0.19400000000000001"/>
    <n v="4"/>
    <n v="67"/>
    <n v="71"/>
    <b v="1"/>
    <s v="January"/>
    <s v="Monday"/>
    <s v="Weekday"/>
    <s v="Spring"/>
    <x v="0"/>
    <s v="Evening Peak"/>
    <s v="Low"/>
    <s v="Medium"/>
  </r>
  <r>
    <n v="391"/>
    <d v="2011-01-17T00:00:00"/>
    <n v="1"/>
    <n v="0"/>
    <n v="1"/>
    <x v="18"/>
    <b v="1"/>
    <n v="1"/>
    <n v="2"/>
    <n v="0.18"/>
    <n v="0.16669999999999999"/>
    <n v="0.55000000000000004"/>
    <n v="0.25369999999999998"/>
    <n v="7"/>
    <n v="85"/>
    <n v="92"/>
    <b v="1"/>
    <s v="January"/>
    <s v="Monday"/>
    <s v="Weekday"/>
    <s v="Spring"/>
    <x v="1"/>
    <s v="Evening Peak"/>
    <s v="Low"/>
    <s v="Medium"/>
  </r>
  <r>
    <n v="392"/>
    <d v="2011-01-17T00:00:00"/>
    <n v="1"/>
    <n v="0"/>
    <n v="1"/>
    <x v="19"/>
    <b v="1"/>
    <n v="1"/>
    <n v="3"/>
    <n v="0.18"/>
    <n v="0.18179999999999999"/>
    <n v="0.59"/>
    <n v="0.19400000000000001"/>
    <n v="2"/>
    <n v="58"/>
    <n v="60"/>
    <b v="1"/>
    <s v="January"/>
    <s v="Monday"/>
    <s v="Weekday"/>
    <s v="Spring"/>
    <x v="2"/>
    <s v="Evening Peak"/>
    <s v="Low"/>
    <s v="Medium"/>
  </r>
  <r>
    <n v="393"/>
    <d v="2011-01-17T00:00:00"/>
    <n v="1"/>
    <n v="0"/>
    <n v="1"/>
    <x v="20"/>
    <b v="1"/>
    <n v="1"/>
    <n v="3"/>
    <n v="0.16"/>
    <n v="0.1515"/>
    <n v="0.8"/>
    <n v="0.19400000000000001"/>
    <n v="4"/>
    <n v="29"/>
    <n v="33"/>
    <b v="1"/>
    <s v="January"/>
    <s v="Monday"/>
    <s v="Weekday"/>
    <s v="Spring"/>
    <x v="2"/>
    <s v="Evening Peak"/>
    <s v="Low"/>
    <s v="High"/>
  </r>
  <r>
    <n v="394"/>
    <d v="2011-01-17T00:00:00"/>
    <n v="1"/>
    <n v="0"/>
    <n v="1"/>
    <x v="21"/>
    <b v="1"/>
    <n v="1"/>
    <n v="3"/>
    <n v="0.16"/>
    <n v="0.1515"/>
    <n v="0.8"/>
    <n v="0.19400000000000001"/>
    <n v="3"/>
    <n v="24"/>
    <n v="27"/>
    <b v="1"/>
    <s v="January"/>
    <s v="Monday"/>
    <s v="Weekday"/>
    <s v="Spring"/>
    <x v="2"/>
    <s v="Off Peak"/>
    <s v="Low"/>
    <s v="High"/>
  </r>
  <r>
    <n v="395"/>
    <d v="2011-01-17T00:00:00"/>
    <n v="1"/>
    <n v="0"/>
    <n v="1"/>
    <x v="22"/>
    <b v="1"/>
    <n v="1"/>
    <n v="3"/>
    <n v="0.14000000000000001"/>
    <n v="0.1212"/>
    <n v="0.93"/>
    <n v="0.25369999999999998"/>
    <n v="0"/>
    <n v="13"/>
    <n v="13"/>
    <b v="1"/>
    <s v="January"/>
    <s v="Monday"/>
    <s v="Weekday"/>
    <s v="Spring"/>
    <x v="2"/>
    <s v="Off Peak"/>
    <s v="Low"/>
    <s v="High"/>
  </r>
  <r>
    <n v="396"/>
    <d v="2011-01-17T00:00:00"/>
    <n v="1"/>
    <n v="0"/>
    <n v="1"/>
    <x v="23"/>
    <b v="1"/>
    <n v="1"/>
    <n v="3"/>
    <n v="0.16"/>
    <n v="0.13639999999999999"/>
    <n v="0.86"/>
    <n v="0.28360000000000002"/>
    <n v="1"/>
    <n v="3"/>
    <n v="4"/>
    <b v="1"/>
    <s v="January"/>
    <s v="Monday"/>
    <s v="Weekday"/>
    <s v="Spring"/>
    <x v="2"/>
    <s v="Off Peak"/>
    <s v="Low"/>
    <s v="High"/>
  </r>
  <r>
    <n v="397"/>
    <d v="2011-01-18T00:00:00"/>
    <n v="1"/>
    <n v="0"/>
    <n v="1"/>
    <x v="12"/>
    <b v="0"/>
    <n v="2"/>
    <n v="2"/>
    <n v="0.2"/>
    <n v="0.18179999999999999"/>
    <n v="0.86"/>
    <n v="0.32840000000000003"/>
    <n v="0"/>
    <n v="3"/>
    <n v="3"/>
    <b v="1"/>
    <s v="January"/>
    <s v="Tuesday"/>
    <s v="Weekday"/>
    <s v="Spring"/>
    <x v="1"/>
    <s v="Off Peak"/>
    <s v="Low"/>
    <s v="High"/>
  </r>
  <r>
    <n v="398"/>
    <d v="2011-01-18T00:00:00"/>
    <n v="1"/>
    <n v="0"/>
    <n v="1"/>
    <x v="13"/>
    <b v="0"/>
    <n v="2"/>
    <n v="2"/>
    <n v="0.2"/>
    <n v="0.19700000000000001"/>
    <n v="0.86"/>
    <n v="0.22389999999999999"/>
    <n v="0"/>
    <n v="22"/>
    <n v="22"/>
    <b v="1"/>
    <s v="January"/>
    <s v="Tuesday"/>
    <s v="Weekday"/>
    <s v="Spring"/>
    <x v="1"/>
    <s v="Off Peak"/>
    <s v="Low"/>
    <s v="High"/>
  </r>
  <r>
    <n v="399"/>
    <d v="2011-01-18T00:00:00"/>
    <n v="1"/>
    <n v="0"/>
    <n v="1"/>
    <x v="14"/>
    <b v="0"/>
    <n v="2"/>
    <n v="2"/>
    <n v="0.22"/>
    <n v="0.2273"/>
    <n v="0.8"/>
    <n v="0.16420000000000001"/>
    <n v="2"/>
    <n v="26"/>
    <n v="28"/>
    <b v="1"/>
    <s v="January"/>
    <s v="Tuesday"/>
    <s v="Weekday"/>
    <s v="Spring"/>
    <x v="1"/>
    <s v="Off Peak"/>
    <s v="Low"/>
    <s v="High"/>
  </r>
  <r>
    <n v="400"/>
    <d v="2011-01-18T00:00:00"/>
    <n v="1"/>
    <n v="0"/>
    <n v="1"/>
    <x v="15"/>
    <b v="0"/>
    <n v="2"/>
    <n v="2"/>
    <n v="0.22"/>
    <n v="0.2273"/>
    <n v="0.87"/>
    <n v="0.16420000000000001"/>
    <n v="3"/>
    <n v="32"/>
    <n v="35"/>
    <b v="1"/>
    <s v="January"/>
    <s v="Tuesday"/>
    <s v="Weekday"/>
    <s v="Spring"/>
    <x v="1"/>
    <s v="Off Peak"/>
    <s v="Low"/>
    <s v="High"/>
  </r>
  <r>
    <n v="401"/>
    <d v="2011-01-18T00:00:00"/>
    <n v="1"/>
    <n v="0"/>
    <n v="1"/>
    <x v="16"/>
    <b v="0"/>
    <n v="2"/>
    <n v="2"/>
    <n v="0.22"/>
    <n v="0.2273"/>
    <n v="0.87"/>
    <n v="0.19400000000000001"/>
    <n v="0"/>
    <n v="61"/>
    <n v="61"/>
    <b v="1"/>
    <s v="January"/>
    <s v="Tuesday"/>
    <s v="Weekday"/>
    <s v="Spring"/>
    <x v="1"/>
    <s v="Off Peak"/>
    <s v="Low"/>
    <s v="High"/>
  </r>
  <r>
    <n v="402"/>
    <d v="2011-01-18T00:00:00"/>
    <n v="1"/>
    <n v="0"/>
    <n v="1"/>
    <x v="17"/>
    <b v="0"/>
    <n v="2"/>
    <n v="2"/>
    <n v="0.22"/>
    <n v="0.2273"/>
    <n v="0.82"/>
    <n v="0.19400000000000001"/>
    <n v="1"/>
    <n v="124"/>
    <n v="125"/>
    <b v="1"/>
    <s v="January"/>
    <s v="Tuesday"/>
    <s v="Weekday"/>
    <s v="Spring"/>
    <x v="1"/>
    <s v="Evening Peak"/>
    <s v="Low"/>
    <s v="High"/>
  </r>
  <r>
    <n v="403"/>
    <d v="2011-01-18T00:00:00"/>
    <n v="1"/>
    <n v="0"/>
    <n v="1"/>
    <x v="18"/>
    <b v="0"/>
    <n v="2"/>
    <n v="2"/>
    <n v="0.22"/>
    <n v="0.2273"/>
    <n v="0.8"/>
    <n v="0.16420000000000001"/>
    <n v="1"/>
    <n v="132"/>
    <n v="133"/>
    <b v="1"/>
    <s v="January"/>
    <s v="Tuesday"/>
    <s v="Weekday"/>
    <s v="Spring"/>
    <x v="1"/>
    <s v="Evening Peak"/>
    <s v="Low"/>
    <s v="High"/>
  </r>
  <r>
    <n v="404"/>
    <d v="2011-01-18T00:00:00"/>
    <n v="1"/>
    <n v="0"/>
    <n v="1"/>
    <x v="19"/>
    <b v="0"/>
    <n v="2"/>
    <n v="2"/>
    <n v="0.22"/>
    <n v="0.2273"/>
    <n v="0.8"/>
    <n v="0.1343"/>
    <n v="1"/>
    <n v="98"/>
    <n v="99"/>
    <b v="1"/>
    <s v="January"/>
    <s v="Tuesday"/>
    <s v="Weekday"/>
    <s v="Spring"/>
    <x v="1"/>
    <s v="Evening Peak"/>
    <s v="Low"/>
    <s v="High"/>
  </r>
  <r>
    <n v="405"/>
    <d v="2011-01-18T00:00:00"/>
    <n v="1"/>
    <n v="0"/>
    <n v="1"/>
    <x v="20"/>
    <b v="0"/>
    <n v="2"/>
    <n v="2"/>
    <n v="0.22"/>
    <n v="0.2727"/>
    <n v="0.87"/>
    <n v="0"/>
    <n v="0"/>
    <n v="83"/>
    <n v="83"/>
    <b v="1"/>
    <s v="January"/>
    <s v="Tuesday"/>
    <s v="Weekday"/>
    <s v="Spring"/>
    <x v="1"/>
    <s v="Evening Peak"/>
    <s v="Low"/>
    <s v="High"/>
  </r>
  <r>
    <n v="406"/>
    <d v="2011-01-18T00:00:00"/>
    <n v="1"/>
    <n v="0"/>
    <n v="1"/>
    <x v="21"/>
    <b v="0"/>
    <n v="2"/>
    <n v="2"/>
    <n v="0.22"/>
    <n v="0.2424"/>
    <n v="0.93"/>
    <n v="0.1045"/>
    <n v="0"/>
    <n v="41"/>
    <n v="41"/>
    <b v="1"/>
    <s v="January"/>
    <s v="Tuesday"/>
    <s v="Weekday"/>
    <s v="Spring"/>
    <x v="1"/>
    <s v="Off Peak"/>
    <s v="Low"/>
    <s v="High"/>
  </r>
  <r>
    <n v="407"/>
    <d v="2011-01-18T00:00:00"/>
    <n v="1"/>
    <n v="0"/>
    <n v="1"/>
    <x v="22"/>
    <b v="0"/>
    <n v="2"/>
    <n v="2"/>
    <n v="0.22"/>
    <n v="0.2576"/>
    <n v="0.93"/>
    <n v="8.9599999999999999E-2"/>
    <n v="0"/>
    <n v="33"/>
    <n v="33"/>
    <b v="1"/>
    <s v="January"/>
    <s v="Tuesday"/>
    <s v="Weekday"/>
    <s v="Spring"/>
    <x v="1"/>
    <s v="Off Peak"/>
    <s v="Low"/>
    <s v="High"/>
  </r>
  <r>
    <n v="408"/>
    <d v="2011-01-18T00:00:00"/>
    <n v="1"/>
    <n v="0"/>
    <n v="1"/>
    <x v="23"/>
    <b v="0"/>
    <n v="2"/>
    <n v="2"/>
    <n v="0.22"/>
    <n v="0.2727"/>
    <n v="0.93"/>
    <n v="0"/>
    <n v="1"/>
    <n v="19"/>
    <n v="20"/>
    <b v="1"/>
    <s v="January"/>
    <s v="Tuesday"/>
    <s v="Weekday"/>
    <s v="Spring"/>
    <x v="1"/>
    <s v="Off Peak"/>
    <s v="Low"/>
    <s v="High"/>
  </r>
  <r>
    <n v="409"/>
    <d v="2011-01-19T00:00:00"/>
    <n v="1"/>
    <n v="0"/>
    <n v="1"/>
    <x v="0"/>
    <b v="0"/>
    <n v="3"/>
    <n v="2"/>
    <n v="0.22"/>
    <n v="0.2727"/>
    <n v="0.93"/>
    <n v="0"/>
    <n v="0"/>
    <n v="3"/>
    <n v="3"/>
    <b v="1"/>
    <s v="January"/>
    <s v="Wednesday"/>
    <s v="Weekday"/>
    <s v="Spring"/>
    <x v="1"/>
    <s v="Off Peak"/>
    <s v="Low"/>
    <s v="High"/>
  </r>
  <r>
    <n v="410"/>
    <d v="2011-01-19T00:00:00"/>
    <n v="1"/>
    <n v="0"/>
    <n v="1"/>
    <x v="1"/>
    <b v="0"/>
    <n v="3"/>
    <n v="3"/>
    <n v="0.22"/>
    <n v="0.2273"/>
    <n v="0.93"/>
    <n v="0.1343"/>
    <n v="1"/>
    <n v="6"/>
    <n v="7"/>
    <b v="1"/>
    <s v="January"/>
    <s v="Wednesday"/>
    <s v="Weekday"/>
    <s v="Spring"/>
    <x v="2"/>
    <s v="Off Peak"/>
    <s v="Low"/>
    <s v="High"/>
  </r>
  <r>
    <n v="411"/>
    <d v="2011-01-19T00:00:00"/>
    <n v="1"/>
    <n v="0"/>
    <n v="1"/>
    <x v="2"/>
    <b v="0"/>
    <n v="3"/>
    <n v="3"/>
    <n v="0.22"/>
    <n v="0.2273"/>
    <n v="0.93"/>
    <n v="0.1343"/>
    <n v="0"/>
    <n v="3"/>
    <n v="3"/>
    <b v="1"/>
    <s v="January"/>
    <s v="Wednesday"/>
    <s v="Weekday"/>
    <s v="Spring"/>
    <x v="2"/>
    <s v="Off Peak"/>
    <s v="Low"/>
    <s v="High"/>
  </r>
  <r>
    <n v="412"/>
    <d v="2011-01-19T00:00:00"/>
    <n v="1"/>
    <n v="0"/>
    <n v="1"/>
    <x v="4"/>
    <b v="0"/>
    <n v="3"/>
    <n v="3"/>
    <n v="0.22"/>
    <n v="0.2273"/>
    <n v="0.93"/>
    <n v="0.1343"/>
    <n v="1"/>
    <n v="1"/>
    <n v="2"/>
    <b v="1"/>
    <s v="January"/>
    <s v="Wednesday"/>
    <s v="Weekday"/>
    <s v="Spring"/>
    <x v="2"/>
    <s v="Off Peak"/>
    <s v="Low"/>
    <s v="High"/>
  </r>
  <r>
    <n v="413"/>
    <d v="2011-01-19T00:00:00"/>
    <n v="1"/>
    <n v="0"/>
    <n v="1"/>
    <x v="5"/>
    <b v="0"/>
    <n v="3"/>
    <n v="2"/>
    <n v="0.22"/>
    <n v="0.2576"/>
    <n v="0.93"/>
    <n v="8.9599999999999999E-2"/>
    <n v="0"/>
    <n v="7"/>
    <n v="7"/>
    <b v="1"/>
    <s v="January"/>
    <s v="Wednesday"/>
    <s v="Weekday"/>
    <s v="Spring"/>
    <x v="1"/>
    <s v="Off Peak"/>
    <s v="Low"/>
    <s v="High"/>
  </r>
  <r>
    <n v="414"/>
    <d v="2011-01-19T00:00:00"/>
    <n v="1"/>
    <n v="0"/>
    <n v="1"/>
    <x v="6"/>
    <b v="0"/>
    <n v="3"/>
    <n v="2"/>
    <n v="0.22"/>
    <n v="0.2576"/>
    <n v="0.93"/>
    <n v="8.9599999999999999E-2"/>
    <n v="0"/>
    <n v="32"/>
    <n v="32"/>
    <b v="1"/>
    <s v="January"/>
    <s v="Wednesday"/>
    <s v="Weekday"/>
    <s v="Spring"/>
    <x v="1"/>
    <s v="Off Peak"/>
    <s v="Low"/>
    <s v="High"/>
  </r>
  <r>
    <n v="415"/>
    <d v="2011-01-19T00:00:00"/>
    <n v="1"/>
    <n v="0"/>
    <n v="1"/>
    <x v="7"/>
    <b v="0"/>
    <n v="3"/>
    <n v="2"/>
    <n v="0.24"/>
    <n v="0.2576"/>
    <n v="0.92"/>
    <n v="0.1045"/>
    <n v="1"/>
    <n v="89"/>
    <n v="90"/>
    <b v="1"/>
    <s v="January"/>
    <s v="Wednesday"/>
    <s v="Weekday"/>
    <s v="Spring"/>
    <x v="1"/>
    <s v="Morning Peak"/>
    <s v="Low"/>
    <s v="High"/>
  </r>
  <r>
    <n v="416"/>
    <d v="2011-01-19T00:00:00"/>
    <n v="1"/>
    <n v="0"/>
    <n v="1"/>
    <x v="8"/>
    <b v="0"/>
    <n v="3"/>
    <n v="2"/>
    <n v="0.24"/>
    <n v="0.2576"/>
    <n v="0.93"/>
    <n v="0.1045"/>
    <n v="1"/>
    <n v="196"/>
    <n v="197"/>
    <b v="1"/>
    <s v="January"/>
    <s v="Wednesday"/>
    <s v="Weekday"/>
    <s v="Spring"/>
    <x v="1"/>
    <s v="Morning Peak"/>
    <s v="Low"/>
    <s v="High"/>
  </r>
  <r>
    <n v="417"/>
    <d v="2011-01-19T00:00:00"/>
    <n v="1"/>
    <n v="0"/>
    <n v="1"/>
    <x v="9"/>
    <b v="0"/>
    <n v="3"/>
    <n v="2"/>
    <n v="0.24"/>
    <n v="0.2576"/>
    <n v="0.93"/>
    <n v="0.1045"/>
    <n v="2"/>
    <n v="107"/>
    <n v="109"/>
    <b v="1"/>
    <s v="January"/>
    <s v="Wednesday"/>
    <s v="Weekday"/>
    <s v="Spring"/>
    <x v="1"/>
    <s v="Morning Peak"/>
    <s v="Low"/>
    <s v="High"/>
  </r>
  <r>
    <n v="418"/>
    <d v="2011-01-19T00:00:00"/>
    <n v="1"/>
    <n v="0"/>
    <n v="1"/>
    <x v="10"/>
    <b v="0"/>
    <n v="3"/>
    <n v="2"/>
    <n v="0.26"/>
    <n v="0.2727"/>
    <n v="0.93"/>
    <n v="0.1343"/>
    <n v="1"/>
    <n v="46"/>
    <n v="47"/>
    <b v="1"/>
    <s v="January"/>
    <s v="Wednesday"/>
    <s v="Weekday"/>
    <s v="Spring"/>
    <x v="1"/>
    <s v="Off Peak"/>
    <s v="Low"/>
    <s v="High"/>
  </r>
  <r>
    <n v="419"/>
    <d v="2011-01-19T00:00:00"/>
    <n v="1"/>
    <n v="0"/>
    <n v="1"/>
    <x v="11"/>
    <b v="0"/>
    <n v="3"/>
    <n v="2"/>
    <n v="0.28000000000000003"/>
    <n v="0.30299999999999999"/>
    <n v="0.87"/>
    <n v="8.9599999999999999E-2"/>
    <n v="5"/>
    <n v="47"/>
    <n v="52"/>
    <b v="1"/>
    <s v="January"/>
    <s v="Wednesday"/>
    <s v="Weekday"/>
    <s v="Spring"/>
    <x v="1"/>
    <s v="Off Peak"/>
    <s v="Low"/>
    <s v="High"/>
  </r>
  <r>
    <n v="420"/>
    <d v="2011-01-19T00:00:00"/>
    <n v="1"/>
    <n v="0"/>
    <n v="1"/>
    <x v="12"/>
    <b v="0"/>
    <n v="3"/>
    <n v="2"/>
    <n v="0.3"/>
    <n v="0.31819999999999998"/>
    <n v="0.81"/>
    <n v="8.9599999999999999E-2"/>
    <n v="5"/>
    <n v="65"/>
    <n v="70"/>
    <b v="1"/>
    <s v="January"/>
    <s v="Wednesday"/>
    <s v="Weekday"/>
    <s v="Spring"/>
    <x v="1"/>
    <s v="Off Peak"/>
    <s v="Medium"/>
    <s v="High"/>
  </r>
  <r>
    <n v="421"/>
    <d v="2011-01-19T00:00:00"/>
    <n v="1"/>
    <n v="0"/>
    <n v="1"/>
    <x v="13"/>
    <b v="0"/>
    <n v="3"/>
    <n v="1"/>
    <n v="0.4"/>
    <n v="0.40910000000000002"/>
    <n v="0.62"/>
    <n v="0.28360000000000002"/>
    <n v="11"/>
    <n v="67"/>
    <n v="78"/>
    <b v="1"/>
    <s v="January"/>
    <s v="Wednesday"/>
    <s v="Weekday"/>
    <s v="Spring"/>
    <x v="0"/>
    <s v="Off Peak"/>
    <s v="Medium"/>
    <s v="Medium"/>
  </r>
  <r>
    <n v="422"/>
    <d v="2011-01-19T00:00:00"/>
    <n v="1"/>
    <n v="0"/>
    <n v="1"/>
    <x v="14"/>
    <b v="0"/>
    <n v="3"/>
    <n v="1"/>
    <n v="0.4"/>
    <n v="0.40910000000000002"/>
    <n v="0.57999999999999996"/>
    <n v="0.25369999999999998"/>
    <n v="7"/>
    <n v="68"/>
    <n v="75"/>
    <b v="1"/>
    <s v="January"/>
    <s v="Wednesday"/>
    <s v="Weekday"/>
    <s v="Spring"/>
    <x v="0"/>
    <s v="Off Peak"/>
    <s v="Medium"/>
    <s v="Medium"/>
  </r>
  <r>
    <n v="423"/>
    <d v="2011-01-19T00:00:00"/>
    <n v="1"/>
    <n v="0"/>
    <n v="1"/>
    <x v="15"/>
    <b v="0"/>
    <n v="3"/>
    <n v="1"/>
    <n v="0.4"/>
    <n v="0.40910000000000002"/>
    <n v="0.54"/>
    <n v="0.28360000000000002"/>
    <n v="4"/>
    <n v="78"/>
    <n v="82"/>
    <b v="1"/>
    <s v="January"/>
    <s v="Wednesday"/>
    <s v="Weekday"/>
    <s v="Spring"/>
    <x v="0"/>
    <s v="Off Peak"/>
    <s v="Medium"/>
    <s v="Medium"/>
  </r>
  <r>
    <n v="424"/>
    <d v="2011-01-19T00:00:00"/>
    <n v="1"/>
    <n v="0"/>
    <n v="1"/>
    <x v="16"/>
    <b v="0"/>
    <n v="3"/>
    <n v="1"/>
    <n v="0.38"/>
    <n v="0.39389999999999997"/>
    <n v="0.57999999999999996"/>
    <n v="0.3881"/>
    <n v="10"/>
    <n v="94"/>
    <n v="104"/>
    <b v="1"/>
    <s v="January"/>
    <s v="Wednesday"/>
    <s v="Weekday"/>
    <s v="Spring"/>
    <x v="0"/>
    <s v="Off Peak"/>
    <s v="Medium"/>
    <s v="Medium"/>
  </r>
  <r>
    <n v="425"/>
    <d v="2011-01-19T00:00:00"/>
    <n v="1"/>
    <n v="0"/>
    <n v="1"/>
    <x v="17"/>
    <b v="0"/>
    <n v="3"/>
    <n v="1"/>
    <n v="0.36"/>
    <n v="0.33329999999999999"/>
    <n v="0.56999999999999995"/>
    <n v="0.32840000000000003"/>
    <n v="7"/>
    <n v="190"/>
    <n v="197"/>
    <b v="1"/>
    <s v="January"/>
    <s v="Wednesday"/>
    <s v="Weekday"/>
    <s v="Spring"/>
    <x v="0"/>
    <s v="Evening Peak"/>
    <s v="Medium"/>
    <s v="Medium"/>
  </r>
  <r>
    <n v="426"/>
    <d v="2011-01-19T00:00:00"/>
    <n v="1"/>
    <n v="0"/>
    <n v="1"/>
    <x v="18"/>
    <b v="0"/>
    <n v="3"/>
    <n v="1"/>
    <n v="0.34"/>
    <n v="0.31819999999999998"/>
    <n v="0.61"/>
    <n v="0.28360000000000002"/>
    <n v="5"/>
    <n v="156"/>
    <n v="161"/>
    <b v="1"/>
    <s v="January"/>
    <s v="Wednesday"/>
    <s v="Weekday"/>
    <s v="Spring"/>
    <x v="0"/>
    <s v="Evening Peak"/>
    <s v="Medium"/>
    <s v="Medium"/>
  </r>
  <r>
    <n v="427"/>
    <d v="2011-01-19T00:00:00"/>
    <n v="1"/>
    <n v="0"/>
    <n v="1"/>
    <x v="19"/>
    <b v="0"/>
    <n v="3"/>
    <n v="1"/>
    <n v="0.32"/>
    <n v="0.28789999999999999"/>
    <n v="0.56999999999999995"/>
    <n v="0.41789999999999999"/>
    <n v="4"/>
    <n v="108"/>
    <n v="112"/>
    <b v="1"/>
    <s v="January"/>
    <s v="Wednesday"/>
    <s v="Weekday"/>
    <s v="Spring"/>
    <x v="0"/>
    <s v="Evening Peak"/>
    <s v="Medium"/>
    <s v="Medium"/>
  </r>
  <r>
    <n v="428"/>
    <d v="2011-01-19T00:00:00"/>
    <n v="1"/>
    <n v="0"/>
    <n v="1"/>
    <x v="20"/>
    <b v="0"/>
    <n v="3"/>
    <n v="1"/>
    <n v="0.32"/>
    <n v="0.30299999999999999"/>
    <n v="0.49"/>
    <n v="0.29849999999999999"/>
    <n v="2"/>
    <n v="74"/>
    <n v="76"/>
    <b v="1"/>
    <s v="January"/>
    <s v="Wednesday"/>
    <s v="Weekday"/>
    <s v="Spring"/>
    <x v="0"/>
    <s v="Evening Peak"/>
    <s v="Medium"/>
    <s v="Medium"/>
  </r>
  <r>
    <n v="429"/>
    <d v="2011-01-19T00:00:00"/>
    <n v="1"/>
    <n v="0"/>
    <n v="1"/>
    <x v="21"/>
    <b v="0"/>
    <n v="3"/>
    <n v="1"/>
    <n v="0.32"/>
    <n v="0.28789999999999999"/>
    <n v="0.49"/>
    <n v="0.41789999999999999"/>
    <n v="4"/>
    <n v="55"/>
    <n v="59"/>
    <b v="1"/>
    <s v="January"/>
    <s v="Wednesday"/>
    <s v="Weekday"/>
    <s v="Spring"/>
    <x v="0"/>
    <s v="Off Peak"/>
    <s v="Medium"/>
    <s v="Medium"/>
  </r>
  <r>
    <n v="430"/>
    <d v="2011-01-19T00:00:00"/>
    <n v="1"/>
    <n v="0"/>
    <n v="1"/>
    <x v="22"/>
    <b v="0"/>
    <n v="3"/>
    <n v="1"/>
    <n v="0.3"/>
    <n v="0.30299999999999999"/>
    <n v="0.52"/>
    <n v="0.16420000000000001"/>
    <n v="6"/>
    <n v="53"/>
    <n v="59"/>
    <b v="1"/>
    <s v="January"/>
    <s v="Wednesday"/>
    <s v="Weekday"/>
    <s v="Spring"/>
    <x v="0"/>
    <s v="Off Peak"/>
    <s v="Medium"/>
    <s v="Medium"/>
  </r>
  <r>
    <n v="431"/>
    <d v="2011-01-19T00:00:00"/>
    <n v="1"/>
    <n v="0"/>
    <n v="1"/>
    <x v="23"/>
    <b v="0"/>
    <n v="3"/>
    <n v="1"/>
    <n v="0.3"/>
    <n v="0.2727"/>
    <n v="0.52"/>
    <n v="0.4627"/>
    <n v="1"/>
    <n v="27"/>
    <n v="28"/>
    <b v="1"/>
    <s v="January"/>
    <s v="Wednesday"/>
    <s v="Weekday"/>
    <s v="Spring"/>
    <x v="0"/>
    <s v="Off Peak"/>
    <s v="Medium"/>
    <s v="Medium"/>
  </r>
  <r>
    <n v="432"/>
    <d v="2011-01-20T00:00:00"/>
    <n v="1"/>
    <n v="0"/>
    <n v="1"/>
    <x v="0"/>
    <b v="0"/>
    <n v="4"/>
    <n v="1"/>
    <n v="0.26"/>
    <n v="0.2273"/>
    <n v="0.56000000000000005"/>
    <n v="0.3881"/>
    <n v="5"/>
    <n v="8"/>
    <n v="13"/>
    <b v="1"/>
    <s v="January"/>
    <s v="Thursday"/>
    <s v="Weekday"/>
    <s v="Spring"/>
    <x v="0"/>
    <s v="Off Peak"/>
    <s v="Low"/>
    <s v="Medium"/>
  </r>
  <r>
    <n v="433"/>
    <d v="2011-01-20T00:00:00"/>
    <n v="1"/>
    <n v="0"/>
    <n v="1"/>
    <x v="1"/>
    <b v="0"/>
    <n v="4"/>
    <n v="1"/>
    <n v="0.26"/>
    <n v="0.2727"/>
    <n v="0.56000000000000005"/>
    <n v="0"/>
    <n v="2"/>
    <n v="3"/>
    <n v="5"/>
    <b v="1"/>
    <s v="January"/>
    <s v="Thursday"/>
    <s v="Weekday"/>
    <s v="Spring"/>
    <x v="0"/>
    <s v="Off Peak"/>
    <s v="Low"/>
    <s v="Medium"/>
  </r>
  <r>
    <n v="434"/>
    <d v="2011-01-20T00:00:00"/>
    <n v="1"/>
    <n v="0"/>
    <n v="1"/>
    <x v="2"/>
    <b v="0"/>
    <n v="4"/>
    <n v="1"/>
    <n v="0.26"/>
    <n v="0.2727"/>
    <n v="0.56000000000000005"/>
    <n v="0"/>
    <n v="0"/>
    <n v="2"/>
    <n v="2"/>
    <b v="1"/>
    <s v="January"/>
    <s v="Thursday"/>
    <s v="Weekday"/>
    <s v="Spring"/>
    <x v="0"/>
    <s v="Off Peak"/>
    <s v="Low"/>
    <s v="Medium"/>
  </r>
  <r>
    <n v="435"/>
    <d v="2011-01-20T00:00:00"/>
    <n v="1"/>
    <n v="0"/>
    <n v="1"/>
    <x v="3"/>
    <b v="0"/>
    <n v="4"/>
    <n v="1"/>
    <n v="0.26"/>
    <n v="0.2576"/>
    <n v="0.56000000000000005"/>
    <n v="0.16420000000000001"/>
    <n v="0"/>
    <n v="1"/>
    <n v="1"/>
    <b v="1"/>
    <s v="January"/>
    <s v="Thursday"/>
    <s v="Weekday"/>
    <s v="Spring"/>
    <x v="0"/>
    <s v="Off Peak"/>
    <s v="Low"/>
    <s v="Medium"/>
  </r>
  <r>
    <n v="436"/>
    <d v="2011-01-20T00:00:00"/>
    <n v="1"/>
    <n v="0"/>
    <n v="1"/>
    <x v="4"/>
    <b v="0"/>
    <n v="4"/>
    <n v="1"/>
    <n v="0.26"/>
    <n v="0.2576"/>
    <n v="0.56000000000000005"/>
    <n v="0.16420000000000001"/>
    <n v="0"/>
    <n v="1"/>
    <n v="1"/>
    <b v="1"/>
    <s v="January"/>
    <s v="Thursday"/>
    <s v="Weekday"/>
    <s v="Spring"/>
    <x v="0"/>
    <s v="Off Peak"/>
    <s v="Low"/>
    <s v="Medium"/>
  </r>
  <r>
    <n v="437"/>
    <d v="2011-01-20T00:00:00"/>
    <n v="1"/>
    <n v="0"/>
    <n v="1"/>
    <x v="5"/>
    <b v="0"/>
    <n v="4"/>
    <n v="1"/>
    <n v="0.24"/>
    <n v="0.2273"/>
    <n v="0.6"/>
    <n v="0.22389999999999999"/>
    <n v="0"/>
    <n v="6"/>
    <n v="6"/>
    <b v="1"/>
    <s v="January"/>
    <s v="Thursday"/>
    <s v="Weekday"/>
    <s v="Spring"/>
    <x v="0"/>
    <s v="Off Peak"/>
    <s v="Low"/>
    <s v="Medium"/>
  </r>
  <r>
    <n v="438"/>
    <d v="2011-01-20T00:00:00"/>
    <n v="1"/>
    <n v="0"/>
    <n v="1"/>
    <x v="6"/>
    <b v="0"/>
    <n v="4"/>
    <n v="1"/>
    <n v="0.22"/>
    <n v="0.21210000000000001"/>
    <n v="0.6"/>
    <n v="0.22389999999999999"/>
    <n v="0"/>
    <n v="35"/>
    <n v="35"/>
    <b v="1"/>
    <s v="January"/>
    <s v="Thursday"/>
    <s v="Weekday"/>
    <s v="Spring"/>
    <x v="0"/>
    <s v="Off Peak"/>
    <s v="Low"/>
    <s v="Medium"/>
  </r>
  <r>
    <n v="439"/>
    <d v="2011-01-20T00:00:00"/>
    <n v="1"/>
    <n v="0"/>
    <n v="1"/>
    <x v="7"/>
    <b v="0"/>
    <n v="4"/>
    <n v="1"/>
    <n v="0.22"/>
    <n v="0.21210000000000001"/>
    <n v="0.55000000000000004"/>
    <n v="0.22389999999999999"/>
    <n v="1"/>
    <n v="100"/>
    <n v="101"/>
    <b v="1"/>
    <s v="January"/>
    <s v="Thursday"/>
    <s v="Weekday"/>
    <s v="Spring"/>
    <x v="0"/>
    <s v="Morning Peak"/>
    <s v="Low"/>
    <s v="Medium"/>
  </r>
  <r>
    <n v="440"/>
    <d v="2011-01-20T00:00:00"/>
    <n v="1"/>
    <n v="0"/>
    <n v="1"/>
    <x v="8"/>
    <b v="0"/>
    <n v="4"/>
    <n v="1"/>
    <n v="0.22"/>
    <n v="0.21210000000000001"/>
    <n v="0.55000000000000004"/>
    <n v="0.28360000000000002"/>
    <n v="2"/>
    <n v="247"/>
    <n v="249"/>
    <b v="1"/>
    <s v="January"/>
    <s v="Thursday"/>
    <s v="Weekday"/>
    <s v="Spring"/>
    <x v="0"/>
    <s v="Morning Peak"/>
    <s v="Low"/>
    <s v="Medium"/>
  </r>
  <r>
    <n v="441"/>
    <d v="2011-01-20T00:00:00"/>
    <n v="1"/>
    <n v="0"/>
    <n v="1"/>
    <x v="9"/>
    <b v="0"/>
    <n v="4"/>
    <n v="2"/>
    <n v="0.24"/>
    <n v="0.2273"/>
    <n v="0.52"/>
    <n v="0.22389999999999999"/>
    <n v="3"/>
    <n v="140"/>
    <n v="143"/>
    <b v="1"/>
    <s v="January"/>
    <s v="Thursday"/>
    <s v="Weekday"/>
    <s v="Spring"/>
    <x v="1"/>
    <s v="Morning Peak"/>
    <s v="Low"/>
    <s v="Medium"/>
  </r>
  <r>
    <n v="442"/>
    <d v="2011-01-20T00:00:00"/>
    <n v="1"/>
    <n v="0"/>
    <n v="1"/>
    <x v="10"/>
    <b v="0"/>
    <n v="4"/>
    <n v="1"/>
    <n v="0.26"/>
    <n v="0.2273"/>
    <n v="0.48"/>
    <n v="0.29849999999999999"/>
    <n v="1"/>
    <n v="56"/>
    <n v="57"/>
    <b v="1"/>
    <s v="January"/>
    <s v="Thursday"/>
    <s v="Weekday"/>
    <s v="Spring"/>
    <x v="0"/>
    <s v="Off Peak"/>
    <s v="Low"/>
    <s v="Medium"/>
  </r>
  <r>
    <n v="443"/>
    <d v="2011-01-20T00:00:00"/>
    <n v="1"/>
    <n v="0"/>
    <n v="1"/>
    <x v="11"/>
    <b v="0"/>
    <n v="4"/>
    <n v="2"/>
    <n v="0.28000000000000003"/>
    <n v="0.2727"/>
    <n v="0.45"/>
    <n v="0.16420000000000001"/>
    <n v="5"/>
    <n v="63"/>
    <n v="68"/>
    <b v="1"/>
    <s v="January"/>
    <s v="Thursday"/>
    <s v="Weekday"/>
    <s v="Spring"/>
    <x v="1"/>
    <s v="Off Peak"/>
    <s v="Low"/>
    <s v="Medium"/>
  </r>
  <r>
    <n v="444"/>
    <d v="2011-01-20T00:00:00"/>
    <n v="1"/>
    <n v="0"/>
    <n v="1"/>
    <x v="12"/>
    <b v="0"/>
    <n v="4"/>
    <n v="2"/>
    <n v="0.3"/>
    <n v="0.33329999999999999"/>
    <n v="0.42"/>
    <n v="0"/>
    <n v="7"/>
    <n v="77"/>
    <n v="84"/>
    <b v="1"/>
    <s v="January"/>
    <s v="Thursday"/>
    <s v="Weekday"/>
    <s v="Spring"/>
    <x v="1"/>
    <s v="Off Peak"/>
    <s v="Medium"/>
    <s v="Medium"/>
  </r>
  <r>
    <n v="445"/>
    <d v="2011-01-20T00:00:00"/>
    <n v="1"/>
    <n v="0"/>
    <n v="1"/>
    <x v="13"/>
    <b v="0"/>
    <n v="4"/>
    <n v="2"/>
    <n v="0.28000000000000003"/>
    <n v="0.28789999999999999"/>
    <n v="0.45"/>
    <n v="0.1045"/>
    <n v="12"/>
    <n v="86"/>
    <n v="98"/>
    <b v="1"/>
    <s v="January"/>
    <s v="Thursday"/>
    <s v="Weekday"/>
    <s v="Spring"/>
    <x v="1"/>
    <s v="Off Peak"/>
    <s v="Low"/>
    <s v="Medium"/>
  </r>
  <r>
    <n v="446"/>
    <d v="2011-01-20T00:00:00"/>
    <n v="1"/>
    <n v="0"/>
    <n v="1"/>
    <x v="14"/>
    <b v="0"/>
    <n v="4"/>
    <n v="2"/>
    <n v="0.3"/>
    <n v="0.30299999999999999"/>
    <n v="0.45"/>
    <n v="0.1343"/>
    <n v="6"/>
    <n v="75"/>
    <n v="81"/>
    <b v="1"/>
    <s v="January"/>
    <s v="Thursday"/>
    <s v="Weekday"/>
    <s v="Spring"/>
    <x v="1"/>
    <s v="Off Peak"/>
    <s v="Medium"/>
    <s v="Medium"/>
  </r>
  <r>
    <n v="447"/>
    <d v="2011-01-20T00:00:00"/>
    <n v="1"/>
    <n v="0"/>
    <n v="1"/>
    <x v="15"/>
    <b v="0"/>
    <n v="4"/>
    <n v="2"/>
    <n v="0.32"/>
    <n v="0.31819999999999998"/>
    <n v="0.45"/>
    <n v="0.19400000000000001"/>
    <n v="8"/>
    <n v="62"/>
    <n v="70"/>
    <b v="1"/>
    <s v="January"/>
    <s v="Thursday"/>
    <s v="Weekday"/>
    <s v="Spring"/>
    <x v="1"/>
    <s v="Off Peak"/>
    <s v="Medium"/>
    <s v="Medium"/>
  </r>
  <r>
    <n v="448"/>
    <d v="2011-01-20T00:00:00"/>
    <n v="1"/>
    <n v="0"/>
    <n v="1"/>
    <x v="16"/>
    <b v="0"/>
    <n v="4"/>
    <n v="2"/>
    <n v="0.3"/>
    <n v="0.30299999999999999"/>
    <n v="0.49"/>
    <n v="0.1343"/>
    <n v="8"/>
    <n v="83"/>
    <n v="91"/>
    <b v="1"/>
    <s v="January"/>
    <s v="Thursday"/>
    <s v="Weekday"/>
    <s v="Spring"/>
    <x v="1"/>
    <s v="Off Peak"/>
    <s v="Medium"/>
    <s v="Medium"/>
  </r>
  <r>
    <n v="449"/>
    <d v="2011-01-20T00:00:00"/>
    <n v="1"/>
    <n v="0"/>
    <n v="1"/>
    <x v="17"/>
    <b v="0"/>
    <n v="4"/>
    <n v="2"/>
    <n v="0.3"/>
    <n v="0.31819999999999998"/>
    <n v="0.49"/>
    <n v="0.1045"/>
    <n v="8"/>
    <n v="207"/>
    <n v="215"/>
    <b v="1"/>
    <s v="January"/>
    <s v="Thursday"/>
    <s v="Weekday"/>
    <s v="Spring"/>
    <x v="1"/>
    <s v="Evening Peak"/>
    <s v="Medium"/>
    <s v="Medium"/>
  </r>
  <r>
    <n v="450"/>
    <d v="2011-01-20T00:00:00"/>
    <n v="1"/>
    <n v="0"/>
    <n v="1"/>
    <x v="18"/>
    <b v="0"/>
    <n v="4"/>
    <n v="2"/>
    <n v="0.26"/>
    <n v="0.2576"/>
    <n v="0.56000000000000005"/>
    <n v="0.19400000000000001"/>
    <n v="1"/>
    <n v="184"/>
    <n v="185"/>
    <b v="1"/>
    <s v="January"/>
    <s v="Thursday"/>
    <s v="Weekday"/>
    <s v="Spring"/>
    <x v="1"/>
    <s v="Evening Peak"/>
    <s v="Low"/>
    <s v="Medium"/>
  </r>
  <r>
    <n v="451"/>
    <d v="2011-01-20T00:00:00"/>
    <n v="1"/>
    <n v="0"/>
    <n v="1"/>
    <x v="19"/>
    <b v="0"/>
    <n v="4"/>
    <n v="1"/>
    <n v="0.26"/>
    <n v="0.2273"/>
    <n v="0.56000000000000005"/>
    <n v="0.32840000000000003"/>
    <n v="6"/>
    <n v="146"/>
    <n v="152"/>
    <b v="1"/>
    <s v="January"/>
    <s v="Thursday"/>
    <s v="Weekday"/>
    <s v="Spring"/>
    <x v="0"/>
    <s v="Evening Peak"/>
    <s v="Low"/>
    <s v="Medium"/>
  </r>
  <r>
    <n v="452"/>
    <d v="2011-01-20T00:00:00"/>
    <n v="1"/>
    <n v="0"/>
    <n v="1"/>
    <x v="20"/>
    <b v="0"/>
    <n v="4"/>
    <n v="2"/>
    <n v="0.26"/>
    <n v="0.2424"/>
    <n v="0.6"/>
    <n v="0.28360000000000002"/>
    <n v="2"/>
    <n v="124"/>
    <n v="126"/>
    <b v="1"/>
    <s v="January"/>
    <s v="Thursday"/>
    <s v="Weekday"/>
    <s v="Spring"/>
    <x v="1"/>
    <s v="Evening Peak"/>
    <s v="Low"/>
    <s v="Medium"/>
  </r>
  <r>
    <n v="453"/>
    <d v="2011-01-20T00:00:00"/>
    <n v="1"/>
    <n v="0"/>
    <n v="1"/>
    <x v="21"/>
    <b v="0"/>
    <n v="4"/>
    <n v="2"/>
    <n v="0.24"/>
    <n v="0.2273"/>
    <n v="0.6"/>
    <n v="0.25369999999999998"/>
    <n v="3"/>
    <n v="54"/>
    <n v="57"/>
    <b v="1"/>
    <s v="January"/>
    <s v="Thursday"/>
    <s v="Weekday"/>
    <s v="Spring"/>
    <x v="1"/>
    <s v="Off Peak"/>
    <s v="Low"/>
    <s v="Medium"/>
  </r>
  <r>
    <n v="454"/>
    <d v="2011-01-20T00:00:00"/>
    <n v="1"/>
    <n v="0"/>
    <n v="1"/>
    <x v="22"/>
    <b v="0"/>
    <n v="4"/>
    <n v="2"/>
    <n v="0.24"/>
    <n v="0.21210000000000001"/>
    <n v="0.65"/>
    <n v="0.28360000000000002"/>
    <n v="0"/>
    <n v="56"/>
    <n v="56"/>
    <b v="1"/>
    <s v="January"/>
    <s v="Thursday"/>
    <s v="Weekday"/>
    <s v="Spring"/>
    <x v="1"/>
    <s v="Off Peak"/>
    <s v="Low"/>
    <s v="Medium"/>
  </r>
  <r>
    <n v="455"/>
    <d v="2011-01-20T00:00:00"/>
    <n v="1"/>
    <n v="0"/>
    <n v="1"/>
    <x v="23"/>
    <b v="0"/>
    <n v="4"/>
    <n v="2"/>
    <n v="0.24"/>
    <n v="0.21210000000000001"/>
    <n v="0.65"/>
    <n v="0.32840000000000003"/>
    <n v="3"/>
    <n v="28"/>
    <n v="31"/>
    <b v="1"/>
    <s v="January"/>
    <s v="Thursday"/>
    <s v="Weekday"/>
    <s v="Spring"/>
    <x v="1"/>
    <s v="Off Peak"/>
    <s v="Low"/>
    <s v="Medium"/>
  </r>
  <r>
    <n v="456"/>
    <d v="2011-01-21T00:00:00"/>
    <n v="1"/>
    <n v="0"/>
    <n v="1"/>
    <x v="0"/>
    <b v="0"/>
    <n v="5"/>
    <n v="2"/>
    <n v="0.24"/>
    <n v="0.2273"/>
    <n v="0.7"/>
    <n v="0.25369999999999998"/>
    <n v="1"/>
    <n v="20"/>
    <n v="21"/>
    <b v="1"/>
    <s v="January"/>
    <s v="Friday"/>
    <s v="Weekday"/>
    <s v="Spring"/>
    <x v="1"/>
    <s v="Off Peak"/>
    <s v="Low"/>
    <s v="High"/>
  </r>
  <r>
    <n v="457"/>
    <d v="2011-01-21T00:00:00"/>
    <n v="1"/>
    <n v="0"/>
    <n v="1"/>
    <x v="1"/>
    <b v="0"/>
    <n v="5"/>
    <n v="2"/>
    <n v="0.24"/>
    <n v="0.2273"/>
    <n v="0.7"/>
    <n v="0.25369999999999998"/>
    <n v="0"/>
    <n v="6"/>
    <n v="6"/>
    <b v="1"/>
    <s v="January"/>
    <s v="Friday"/>
    <s v="Weekday"/>
    <s v="Spring"/>
    <x v="1"/>
    <s v="Off Peak"/>
    <s v="Low"/>
    <s v="High"/>
  </r>
  <r>
    <n v="458"/>
    <d v="2011-01-21T00:00:00"/>
    <n v="1"/>
    <n v="0"/>
    <n v="1"/>
    <x v="2"/>
    <b v="0"/>
    <n v="5"/>
    <n v="3"/>
    <n v="0.24"/>
    <n v="0.2424"/>
    <n v="0.75"/>
    <n v="0.16420000000000001"/>
    <n v="0"/>
    <n v="2"/>
    <n v="2"/>
    <b v="1"/>
    <s v="January"/>
    <s v="Friday"/>
    <s v="Weekday"/>
    <s v="Spring"/>
    <x v="2"/>
    <s v="Off Peak"/>
    <s v="Low"/>
    <s v="High"/>
  </r>
  <r>
    <n v="459"/>
    <d v="2011-01-21T00:00:00"/>
    <n v="1"/>
    <n v="0"/>
    <n v="1"/>
    <x v="3"/>
    <b v="0"/>
    <n v="5"/>
    <n v="3"/>
    <n v="0.22"/>
    <n v="0.21210000000000001"/>
    <n v="0.8"/>
    <n v="0.29849999999999999"/>
    <n v="0"/>
    <n v="1"/>
    <n v="1"/>
    <b v="1"/>
    <s v="January"/>
    <s v="Friday"/>
    <s v="Weekday"/>
    <s v="Spring"/>
    <x v="2"/>
    <s v="Off Peak"/>
    <s v="Low"/>
    <s v="High"/>
  </r>
  <r>
    <n v="460"/>
    <d v="2011-01-21T00:00:00"/>
    <n v="1"/>
    <n v="0"/>
    <n v="1"/>
    <x v="4"/>
    <b v="0"/>
    <n v="5"/>
    <n v="2"/>
    <n v="0.22"/>
    <n v="0.2576"/>
    <n v="0.87"/>
    <n v="8.9599999999999999E-2"/>
    <n v="0"/>
    <n v="1"/>
    <n v="1"/>
    <b v="1"/>
    <s v="January"/>
    <s v="Friday"/>
    <s v="Weekday"/>
    <s v="Spring"/>
    <x v="1"/>
    <s v="Off Peak"/>
    <s v="Low"/>
    <s v="High"/>
  </r>
  <r>
    <n v="461"/>
    <d v="2011-01-21T00:00:00"/>
    <n v="1"/>
    <n v="0"/>
    <n v="1"/>
    <x v="5"/>
    <b v="0"/>
    <n v="5"/>
    <n v="1"/>
    <n v="0.24"/>
    <n v="0.19700000000000001"/>
    <n v="0.6"/>
    <n v="0.41789999999999999"/>
    <n v="1"/>
    <n v="4"/>
    <n v="5"/>
    <b v="1"/>
    <s v="January"/>
    <s v="Friday"/>
    <s v="Weekday"/>
    <s v="Spring"/>
    <x v="0"/>
    <s v="Off Peak"/>
    <s v="Low"/>
    <s v="Medium"/>
  </r>
  <r>
    <n v="462"/>
    <d v="2011-01-21T00:00:00"/>
    <n v="1"/>
    <n v="0"/>
    <n v="1"/>
    <x v="6"/>
    <b v="0"/>
    <n v="5"/>
    <n v="1"/>
    <n v="0.22"/>
    <n v="0.21210000000000001"/>
    <n v="0.55000000000000004"/>
    <n v="0.25369999999999998"/>
    <n v="0"/>
    <n v="27"/>
    <n v="27"/>
    <b v="1"/>
    <s v="January"/>
    <s v="Friday"/>
    <s v="Weekday"/>
    <s v="Spring"/>
    <x v="0"/>
    <s v="Off Peak"/>
    <s v="Low"/>
    <s v="Medium"/>
  </r>
  <r>
    <n v="463"/>
    <d v="2011-01-21T00:00:00"/>
    <n v="1"/>
    <n v="0"/>
    <n v="1"/>
    <x v="7"/>
    <b v="0"/>
    <n v="5"/>
    <n v="1"/>
    <n v="0.2"/>
    <n v="0.18179999999999999"/>
    <n v="0.51"/>
    <n v="0.28360000000000002"/>
    <n v="2"/>
    <n v="66"/>
    <n v="68"/>
    <b v="1"/>
    <s v="January"/>
    <s v="Friday"/>
    <s v="Weekday"/>
    <s v="Spring"/>
    <x v="0"/>
    <s v="Morning Peak"/>
    <s v="Low"/>
    <s v="Medium"/>
  </r>
  <r>
    <n v="464"/>
    <d v="2011-01-21T00:00:00"/>
    <n v="1"/>
    <n v="0"/>
    <n v="1"/>
    <x v="8"/>
    <b v="0"/>
    <n v="5"/>
    <n v="1"/>
    <n v="0.2"/>
    <n v="0.18179999999999999"/>
    <n v="0.47"/>
    <n v="0.32840000000000003"/>
    <n v="7"/>
    <n v="210"/>
    <n v="217"/>
    <b v="1"/>
    <s v="January"/>
    <s v="Friday"/>
    <s v="Weekday"/>
    <s v="Spring"/>
    <x v="0"/>
    <s v="Morning Peak"/>
    <s v="Low"/>
    <s v="Medium"/>
  </r>
  <r>
    <n v="465"/>
    <d v="2011-01-21T00:00:00"/>
    <n v="1"/>
    <n v="0"/>
    <n v="1"/>
    <x v="9"/>
    <b v="0"/>
    <n v="5"/>
    <n v="1"/>
    <n v="0.2"/>
    <n v="0.18179999999999999"/>
    <n v="0.51"/>
    <n v="0.35820000000000002"/>
    <n v="7"/>
    <n v="159"/>
    <n v="166"/>
    <b v="1"/>
    <s v="January"/>
    <s v="Friday"/>
    <s v="Weekday"/>
    <s v="Spring"/>
    <x v="0"/>
    <s v="Morning Peak"/>
    <s v="Low"/>
    <s v="Medium"/>
  </r>
  <r>
    <n v="466"/>
    <d v="2011-01-21T00:00:00"/>
    <n v="1"/>
    <n v="0"/>
    <n v="1"/>
    <x v="10"/>
    <b v="0"/>
    <n v="5"/>
    <n v="1"/>
    <n v="0.2"/>
    <n v="0.16669999999999999"/>
    <n v="0.47"/>
    <n v="0.4627"/>
    <n v="6"/>
    <n v="57"/>
    <n v="63"/>
    <b v="1"/>
    <s v="January"/>
    <s v="Friday"/>
    <s v="Weekday"/>
    <s v="Spring"/>
    <x v="0"/>
    <s v="Off Peak"/>
    <s v="Low"/>
    <s v="Medium"/>
  </r>
  <r>
    <n v="467"/>
    <d v="2011-01-21T00:00:00"/>
    <n v="1"/>
    <n v="0"/>
    <n v="1"/>
    <x v="11"/>
    <b v="0"/>
    <n v="5"/>
    <n v="1"/>
    <n v="0.22"/>
    <n v="0.18179999999999999"/>
    <n v="0.41"/>
    <n v="0.4627"/>
    <n v="6"/>
    <n v="53"/>
    <n v="59"/>
    <b v="1"/>
    <s v="January"/>
    <s v="Friday"/>
    <s v="Weekday"/>
    <s v="Spring"/>
    <x v="0"/>
    <s v="Off Peak"/>
    <s v="Low"/>
    <s v="Medium"/>
  </r>
  <r>
    <n v="468"/>
    <d v="2011-01-21T00:00:00"/>
    <n v="1"/>
    <n v="0"/>
    <n v="1"/>
    <x v="12"/>
    <b v="0"/>
    <n v="5"/>
    <n v="1"/>
    <n v="0.22"/>
    <n v="0.18179999999999999"/>
    <n v="0.27"/>
    <n v="0.58209999999999995"/>
    <n v="11"/>
    <n v="67"/>
    <n v="78"/>
    <b v="1"/>
    <s v="January"/>
    <s v="Friday"/>
    <s v="Weekday"/>
    <s v="Spring"/>
    <x v="0"/>
    <s v="Off Peak"/>
    <s v="Low"/>
    <s v="Low"/>
  </r>
  <r>
    <n v="469"/>
    <d v="2011-01-21T00:00:00"/>
    <n v="1"/>
    <n v="0"/>
    <n v="1"/>
    <x v="13"/>
    <b v="0"/>
    <n v="5"/>
    <n v="1"/>
    <n v="0.2"/>
    <n v="0.1515"/>
    <n v="0.21"/>
    <n v="0.58209999999999995"/>
    <n v="8"/>
    <n v="65"/>
    <n v="73"/>
    <b v="1"/>
    <s v="January"/>
    <s v="Friday"/>
    <s v="Weekday"/>
    <s v="Spring"/>
    <x v="0"/>
    <s v="Off Peak"/>
    <s v="Low"/>
    <s v="Low"/>
  </r>
  <r>
    <n v="470"/>
    <d v="2011-01-21T00:00:00"/>
    <n v="1"/>
    <n v="0"/>
    <n v="1"/>
    <x v="14"/>
    <b v="0"/>
    <n v="5"/>
    <n v="1"/>
    <n v="0.2"/>
    <n v="0.1515"/>
    <n v="0.25"/>
    <n v="0.52239999999999998"/>
    <n v="6"/>
    <n v="56"/>
    <n v="62"/>
    <b v="1"/>
    <s v="January"/>
    <s v="Friday"/>
    <s v="Weekday"/>
    <s v="Spring"/>
    <x v="0"/>
    <s v="Off Peak"/>
    <s v="Low"/>
    <s v="Low"/>
  </r>
  <r>
    <n v="471"/>
    <d v="2011-01-21T00:00:00"/>
    <n v="1"/>
    <n v="0"/>
    <n v="1"/>
    <x v="15"/>
    <b v="0"/>
    <n v="5"/>
    <n v="1"/>
    <n v="0.16"/>
    <n v="0.1212"/>
    <n v="0.26"/>
    <n v="0.44779999999999998"/>
    <n v="4"/>
    <n v="61"/>
    <n v="65"/>
    <b v="1"/>
    <s v="January"/>
    <s v="Friday"/>
    <s v="Weekday"/>
    <s v="Spring"/>
    <x v="0"/>
    <s v="Off Peak"/>
    <s v="Low"/>
    <s v="Low"/>
  </r>
  <r>
    <n v="472"/>
    <d v="2011-01-21T00:00:00"/>
    <n v="1"/>
    <n v="0"/>
    <n v="1"/>
    <x v="16"/>
    <b v="0"/>
    <n v="5"/>
    <n v="1"/>
    <n v="0.16"/>
    <n v="0.13639999999999999"/>
    <n v="0.26"/>
    <n v="0.35820000000000002"/>
    <n v="0"/>
    <n v="97"/>
    <n v="97"/>
    <b v="1"/>
    <s v="January"/>
    <s v="Friday"/>
    <s v="Weekday"/>
    <s v="Spring"/>
    <x v="0"/>
    <s v="Off Peak"/>
    <s v="Low"/>
    <s v="Low"/>
  </r>
  <r>
    <n v="473"/>
    <d v="2011-01-21T00:00:00"/>
    <n v="1"/>
    <n v="0"/>
    <n v="1"/>
    <x v="17"/>
    <b v="0"/>
    <n v="5"/>
    <n v="1"/>
    <n v="0.14000000000000001"/>
    <n v="0.1212"/>
    <n v="0.28000000000000003"/>
    <n v="0.35820000000000002"/>
    <n v="10"/>
    <n v="151"/>
    <n v="161"/>
    <b v="1"/>
    <s v="January"/>
    <s v="Friday"/>
    <s v="Weekday"/>
    <s v="Spring"/>
    <x v="0"/>
    <s v="Evening Peak"/>
    <s v="Low"/>
    <s v="Low"/>
  </r>
  <r>
    <n v="474"/>
    <d v="2011-01-21T00:00:00"/>
    <n v="1"/>
    <n v="0"/>
    <n v="1"/>
    <x v="18"/>
    <b v="0"/>
    <n v="5"/>
    <n v="1"/>
    <n v="0.12"/>
    <n v="0.1212"/>
    <n v="0.3"/>
    <n v="0.25369999999999998"/>
    <n v="1"/>
    <n v="119"/>
    <n v="120"/>
    <b v="1"/>
    <s v="January"/>
    <s v="Friday"/>
    <s v="Weekday"/>
    <s v="Spring"/>
    <x v="0"/>
    <s v="Evening Peak"/>
    <s v="Low"/>
    <s v="Low"/>
  </r>
  <r>
    <n v="475"/>
    <d v="2011-01-21T00:00:00"/>
    <n v="1"/>
    <n v="0"/>
    <n v="1"/>
    <x v="19"/>
    <b v="0"/>
    <n v="5"/>
    <n v="1"/>
    <n v="0.12"/>
    <n v="0.1061"/>
    <n v="0.3"/>
    <n v="0.32840000000000003"/>
    <n v="3"/>
    <n v="93"/>
    <n v="96"/>
    <b v="1"/>
    <s v="January"/>
    <s v="Friday"/>
    <s v="Weekday"/>
    <s v="Spring"/>
    <x v="0"/>
    <s v="Evening Peak"/>
    <s v="Low"/>
    <s v="Low"/>
  </r>
  <r>
    <n v="476"/>
    <d v="2011-01-21T00:00:00"/>
    <n v="1"/>
    <n v="0"/>
    <n v="1"/>
    <x v="20"/>
    <b v="0"/>
    <n v="5"/>
    <n v="1"/>
    <n v="0.1"/>
    <n v="7.5800000000000006E-2"/>
    <n v="0.33"/>
    <n v="0.41789999999999999"/>
    <n v="1"/>
    <n v="52"/>
    <n v="53"/>
    <b v="1"/>
    <s v="January"/>
    <s v="Friday"/>
    <s v="Weekday"/>
    <s v="Spring"/>
    <x v="0"/>
    <s v="Evening Peak"/>
    <s v="Low"/>
    <s v="Low"/>
  </r>
  <r>
    <n v="477"/>
    <d v="2011-01-21T00:00:00"/>
    <n v="1"/>
    <n v="0"/>
    <n v="1"/>
    <x v="21"/>
    <b v="0"/>
    <n v="5"/>
    <n v="1"/>
    <n v="0.08"/>
    <n v="7.5800000000000006E-2"/>
    <n v="0.38"/>
    <n v="0.28360000000000002"/>
    <n v="0"/>
    <n v="41"/>
    <n v="41"/>
    <b v="1"/>
    <s v="January"/>
    <s v="Friday"/>
    <s v="Weekday"/>
    <s v="Spring"/>
    <x v="0"/>
    <s v="Off Peak"/>
    <s v="Low"/>
    <s v="Low"/>
  </r>
  <r>
    <n v="478"/>
    <d v="2011-01-21T00:00:00"/>
    <n v="1"/>
    <n v="0"/>
    <n v="1"/>
    <x v="22"/>
    <b v="0"/>
    <n v="5"/>
    <n v="1"/>
    <n v="0.06"/>
    <n v="3.0300000000000001E-2"/>
    <n v="0.41"/>
    <n v="0.3881"/>
    <n v="1"/>
    <n v="33"/>
    <n v="34"/>
    <b v="1"/>
    <s v="January"/>
    <s v="Friday"/>
    <s v="Weekday"/>
    <s v="Spring"/>
    <x v="0"/>
    <s v="Off Peak"/>
    <s v="Low"/>
    <s v="Medium"/>
  </r>
  <r>
    <n v="479"/>
    <d v="2011-01-21T00:00:00"/>
    <n v="1"/>
    <n v="0"/>
    <n v="1"/>
    <x v="23"/>
    <b v="0"/>
    <n v="5"/>
    <n v="1"/>
    <n v="0.06"/>
    <n v="4.5499999999999999E-2"/>
    <n v="0.38"/>
    <n v="0.32840000000000003"/>
    <n v="0"/>
    <n v="27"/>
    <n v="27"/>
    <b v="1"/>
    <s v="January"/>
    <s v="Friday"/>
    <s v="Weekday"/>
    <s v="Spring"/>
    <x v="0"/>
    <s v="Off Peak"/>
    <s v="Low"/>
    <s v="Low"/>
  </r>
  <r>
    <n v="480"/>
    <d v="2011-01-22T00:00:00"/>
    <n v="1"/>
    <n v="0"/>
    <n v="1"/>
    <x v="0"/>
    <b v="0"/>
    <n v="6"/>
    <n v="1"/>
    <n v="0.04"/>
    <n v="3.0300000000000001E-2"/>
    <n v="0.45"/>
    <n v="0.25369999999999998"/>
    <n v="0"/>
    <n v="13"/>
    <n v="13"/>
    <b v="1"/>
    <s v="January"/>
    <s v="Saturday"/>
    <s v="Weekend"/>
    <s v="Spring"/>
    <x v="0"/>
    <s v="Off Peak"/>
    <s v="Low"/>
    <s v="Medium"/>
  </r>
  <r>
    <n v="481"/>
    <d v="2011-01-22T00:00:00"/>
    <n v="1"/>
    <n v="0"/>
    <n v="1"/>
    <x v="1"/>
    <b v="0"/>
    <n v="6"/>
    <n v="2"/>
    <n v="0.04"/>
    <n v="0"/>
    <n v="0.41"/>
    <n v="0.3881"/>
    <n v="3"/>
    <n v="9"/>
    <n v="12"/>
    <b v="1"/>
    <s v="January"/>
    <s v="Saturday"/>
    <s v="Weekend"/>
    <s v="Spring"/>
    <x v="1"/>
    <s v="Off Peak"/>
    <s v="Low"/>
    <s v="Medium"/>
  </r>
  <r>
    <n v="482"/>
    <d v="2011-01-22T00:00:00"/>
    <n v="1"/>
    <n v="0"/>
    <n v="1"/>
    <x v="2"/>
    <b v="0"/>
    <n v="6"/>
    <n v="2"/>
    <n v="0.04"/>
    <n v="3.0300000000000001E-2"/>
    <n v="0.41"/>
    <n v="0.25369999999999998"/>
    <n v="0"/>
    <n v="11"/>
    <n v="11"/>
    <b v="1"/>
    <s v="January"/>
    <s v="Saturday"/>
    <s v="Weekend"/>
    <s v="Spring"/>
    <x v="1"/>
    <s v="Off Peak"/>
    <s v="Low"/>
    <s v="Medium"/>
  </r>
  <r>
    <n v="483"/>
    <d v="2011-01-22T00:00:00"/>
    <n v="1"/>
    <n v="0"/>
    <n v="1"/>
    <x v="3"/>
    <b v="0"/>
    <n v="6"/>
    <n v="2"/>
    <n v="0.04"/>
    <n v="3.0300000000000001E-2"/>
    <n v="0.41"/>
    <n v="0.28360000000000002"/>
    <n v="1"/>
    <n v="6"/>
    <n v="7"/>
    <b v="1"/>
    <s v="January"/>
    <s v="Saturday"/>
    <s v="Weekend"/>
    <s v="Spring"/>
    <x v="1"/>
    <s v="Off Peak"/>
    <s v="Low"/>
    <s v="Medium"/>
  </r>
  <r>
    <n v="484"/>
    <d v="2011-01-22T00:00:00"/>
    <n v="1"/>
    <n v="0"/>
    <n v="1"/>
    <x v="4"/>
    <b v="0"/>
    <n v="6"/>
    <n v="2"/>
    <n v="0.02"/>
    <n v="1.52E-2"/>
    <n v="0.48"/>
    <n v="0.29849999999999999"/>
    <n v="0"/>
    <n v="3"/>
    <n v="3"/>
    <b v="1"/>
    <s v="January"/>
    <s v="Saturday"/>
    <s v="Weekend"/>
    <s v="Spring"/>
    <x v="1"/>
    <s v="Off Peak"/>
    <s v="Low"/>
    <s v="Medium"/>
  </r>
  <r>
    <n v="485"/>
    <d v="2011-01-22T00:00:00"/>
    <n v="1"/>
    <n v="0"/>
    <n v="1"/>
    <x v="6"/>
    <b v="0"/>
    <n v="6"/>
    <n v="2"/>
    <n v="0.02"/>
    <n v="3.0300000000000001E-2"/>
    <n v="0.44"/>
    <n v="0.22389999999999999"/>
    <n v="0"/>
    <n v="2"/>
    <n v="2"/>
    <b v="1"/>
    <s v="January"/>
    <s v="Saturday"/>
    <s v="Weekend"/>
    <s v="Spring"/>
    <x v="1"/>
    <s v="Off Peak"/>
    <s v="Low"/>
    <s v="Medium"/>
  </r>
  <r>
    <n v="486"/>
    <d v="2011-01-22T00:00:00"/>
    <n v="1"/>
    <n v="0"/>
    <n v="1"/>
    <x v="7"/>
    <b v="0"/>
    <n v="6"/>
    <n v="1"/>
    <n v="0.02"/>
    <n v="1.52E-2"/>
    <n v="0.44"/>
    <n v="0.28360000000000002"/>
    <n v="0"/>
    <n v="8"/>
    <n v="8"/>
    <b v="1"/>
    <s v="January"/>
    <s v="Saturday"/>
    <s v="Weekend"/>
    <s v="Spring"/>
    <x v="0"/>
    <s v="Morning Peak"/>
    <s v="Low"/>
    <s v="Medium"/>
  </r>
  <r>
    <n v="487"/>
    <d v="2011-01-22T00:00:00"/>
    <n v="1"/>
    <n v="0"/>
    <n v="1"/>
    <x v="8"/>
    <b v="0"/>
    <n v="6"/>
    <n v="1"/>
    <n v="0.02"/>
    <n v="0"/>
    <n v="0.44"/>
    <n v="0.32840000000000003"/>
    <n v="1"/>
    <n v="26"/>
    <n v="27"/>
    <b v="1"/>
    <s v="January"/>
    <s v="Saturday"/>
    <s v="Weekend"/>
    <s v="Spring"/>
    <x v="0"/>
    <s v="Morning Peak"/>
    <s v="Low"/>
    <s v="Medium"/>
  </r>
  <r>
    <n v="488"/>
    <d v="2011-01-22T00:00:00"/>
    <n v="1"/>
    <n v="0"/>
    <n v="1"/>
    <x v="9"/>
    <b v="0"/>
    <n v="6"/>
    <n v="1"/>
    <n v="0.04"/>
    <n v="3.0300000000000001E-2"/>
    <n v="0.41"/>
    <n v="0.25369999999999998"/>
    <n v="3"/>
    <n v="37"/>
    <n v="40"/>
    <b v="1"/>
    <s v="January"/>
    <s v="Saturday"/>
    <s v="Weekend"/>
    <s v="Spring"/>
    <x v="0"/>
    <s v="Morning Peak"/>
    <s v="Low"/>
    <s v="Medium"/>
  </r>
  <r>
    <n v="489"/>
    <d v="2011-01-22T00:00:00"/>
    <n v="1"/>
    <n v="0"/>
    <n v="1"/>
    <x v="10"/>
    <b v="0"/>
    <n v="6"/>
    <n v="2"/>
    <n v="0.04"/>
    <n v="6.0600000000000001E-2"/>
    <n v="0.41"/>
    <n v="0.16420000000000001"/>
    <n v="3"/>
    <n v="50"/>
    <n v="53"/>
    <b v="1"/>
    <s v="January"/>
    <s v="Saturday"/>
    <s v="Weekend"/>
    <s v="Spring"/>
    <x v="1"/>
    <s v="Off Peak"/>
    <s v="Low"/>
    <s v="Medium"/>
  </r>
  <r>
    <n v="490"/>
    <d v="2011-01-22T00:00:00"/>
    <n v="1"/>
    <n v="0"/>
    <n v="1"/>
    <x v="11"/>
    <b v="0"/>
    <n v="6"/>
    <n v="2"/>
    <n v="0.06"/>
    <n v="7.5800000000000006E-2"/>
    <n v="0.38"/>
    <n v="0.1343"/>
    <n v="4"/>
    <n v="59"/>
    <n v="63"/>
    <b v="1"/>
    <s v="January"/>
    <s v="Saturday"/>
    <s v="Weekend"/>
    <s v="Spring"/>
    <x v="1"/>
    <s v="Off Peak"/>
    <s v="Low"/>
    <s v="Low"/>
  </r>
  <r>
    <n v="491"/>
    <d v="2011-01-22T00:00:00"/>
    <n v="1"/>
    <n v="0"/>
    <n v="1"/>
    <x v="12"/>
    <b v="0"/>
    <n v="6"/>
    <n v="2"/>
    <n v="0.06"/>
    <n v="0.1061"/>
    <n v="0.38"/>
    <n v="0.1045"/>
    <n v="10"/>
    <n v="60"/>
    <n v="70"/>
    <b v="1"/>
    <s v="January"/>
    <s v="Saturday"/>
    <s v="Weekend"/>
    <s v="Spring"/>
    <x v="1"/>
    <s v="Off Peak"/>
    <s v="Low"/>
    <s v="Low"/>
  </r>
  <r>
    <n v="492"/>
    <d v="2011-01-22T00:00:00"/>
    <n v="1"/>
    <n v="0"/>
    <n v="1"/>
    <x v="13"/>
    <b v="0"/>
    <n v="6"/>
    <n v="1"/>
    <n v="0.08"/>
    <n v="0.16669999999999999"/>
    <n v="0.35"/>
    <n v="0"/>
    <n v="12"/>
    <n v="72"/>
    <n v="84"/>
    <b v="1"/>
    <s v="January"/>
    <s v="Saturday"/>
    <s v="Weekend"/>
    <s v="Spring"/>
    <x v="0"/>
    <s v="Off Peak"/>
    <s v="Low"/>
    <s v="Low"/>
  </r>
  <r>
    <n v="493"/>
    <d v="2011-01-22T00:00:00"/>
    <n v="1"/>
    <n v="0"/>
    <n v="1"/>
    <x v="14"/>
    <b v="0"/>
    <n v="6"/>
    <n v="1"/>
    <n v="0.1"/>
    <n v="0.13639999999999999"/>
    <n v="0.33"/>
    <n v="0.1045"/>
    <n v="11"/>
    <n v="64"/>
    <n v="75"/>
    <b v="1"/>
    <s v="January"/>
    <s v="Saturday"/>
    <s v="Weekend"/>
    <s v="Spring"/>
    <x v="0"/>
    <s v="Off Peak"/>
    <s v="Low"/>
    <s v="Low"/>
  </r>
  <r>
    <n v="494"/>
    <d v="2011-01-22T00:00:00"/>
    <n v="1"/>
    <n v="0"/>
    <n v="1"/>
    <x v="15"/>
    <b v="0"/>
    <n v="6"/>
    <n v="1"/>
    <n v="0.12"/>
    <n v="0.1515"/>
    <n v="0.28000000000000003"/>
    <n v="0"/>
    <n v="10"/>
    <n v="93"/>
    <n v="103"/>
    <b v="1"/>
    <s v="January"/>
    <s v="Saturday"/>
    <s v="Weekend"/>
    <s v="Spring"/>
    <x v="0"/>
    <s v="Off Peak"/>
    <s v="Low"/>
    <s v="Low"/>
  </r>
  <r>
    <n v="495"/>
    <d v="2011-01-22T00:00:00"/>
    <n v="1"/>
    <n v="0"/>
    <n v="1"/>
    <x v="16"/>
    <b v="0"/>
    <n v="6"/>
    <n v="1"/>
    <n v="0.12"/>
    <n v="0.13639999999999999"/>
    <n v="0.28000000000000003"/>
    <n v="0.19400000000000001"/>
    <n v="11"/>
    <n v="72"/>
    <n v="83"/>
    <b v="1"/>
    <s v="January"/>
    <s v="Saturday"/>
    <s v="Weekend"/>
    <s v="Spring"/>
    <x v="0"/>
    <s v="Off Peak"/>
    <s v="Low"/>
    <s v="Low"/>
  </r>
  <r>
    <n v="496"/>
    <d v="2011-01-22T00:00:00"/>
    <n v="1"/>
    <n v="0"/>
    <n v="1"/>
    <x v="17"/>
    <b v="0"/>
    <n v="6"/>
    <n v="1"/>
    <n v="0.12"/>
    <n v="0.19700000000000001"/>
    <n v="0.28000000000000003"/>
    <n v="0"/>
    <n v="8"/>
    <n v="59"/>
    <n v="67"/>
    <b v="1"/>
    <s v="January"/>
    <s v="Saturday"/>
    <s v="Weekend"/>
    <s v="Spring"/>
    <x v="0"/>
    <s v="Evening Peak"/>
    <s v="Low"/>
    <s v="Low"/>
  </r>
  <r>
    <n v="497"/>
    <d v="2011-01-22T00:00:00"/>
    <n v="1"/>
    <n v="0"/>
    <n v="1"/>
    <x v="18"/>
    <b v="0"/>
    <n v="6"/>
    <n v="1"/>
    <n v="0.08"/>
    <n v="9.0899999999999995E-2"/>
    <n v="0.35"/>
    <n v="0.19400000000000001"/>
    <n v="0"/>
    <n v="54"/>
    <n v="54"/>
    <b v="1"/>
    <s v="January"/>
    <s v="Saturday"/>
    <s v="Weekend"/>
    <s v="Spring"/>
    <x v="0"/>
    <s v="Evening Peak"/>
    <s v="Low"/>
    <s v="Low"/>
  </r>
  <r>
    <n v="498"/>
    <d v="2011-01-22T00:00:00"/>
    <n v="1"/>
    <n v="0"/>
    <n v="1"/>
    <x v="19"/>
    <b v="0"/>
    <n v="6"/>
    <n v="1"/>
    <n v="0.08"/>
    <n v="0.1061"/>
    <n v="0.35"/>
    <n v="0.1343"/>
    <n v="6"/>
    <n v="53"/>
    <n v="59"/>
    <b v="1"/>
    <s v="January"/>
    <s v="Saturday"/>
    <s v="Weekend"/>
    <s v="Spring"/>
    <x v="0"/>
    <s v="Evening Peak"/>
    <s v="Low"/>
    <s v="Low"/>
  </r>
  <r>
    <n v="499"/>
    <d v="2011-01-22T00:00:00"/>
    <n v="1"/>
    <n v="0"/>
    <n v="1"/>
    <x v="20"/>
    <b v="0"/>
    <n v="6"/>
    <n v="1"/>
    <n v="0.06"/>
    <n v="7.5800000000000006E-2"/>
    <n v="0.45"/>
    <n v="0.16420000000000001"/>
    <n v="1"/>
    <n v="44"/>
    <n v="45"/>
    <b v="1"/>
    <s v="January"/>
    <s v="Saturday"/>
    <s v="Weekend"/>
    <s v="Spring"/>
    <x v="0"/>
    <s v="Evening Peak"/>
    <s v="Low"/>
    <s v="Medium"/>
  </r>
  <r>
    <n v="500"/>
    <d v="2011-01-22T00:00:00"/>
    <n v="1"/>
    <n v="0"/>
    <n v="1"/>
    <x v="21"/>
    <b v="0"/>
    <n v="6"/>
    <n v="1"/>
    <n v="0.06"/>
    <n v="0.1061"/>
    <n v="0.41"/>
    <n v="8.9599999999999999E-2"/>
    <n v="0"/>
    <n v="39"/>
    <n v="39"/>
    <b v="1"/>
    <s v="January"/>
    <s v="Saturday"/>
    <s v="Weekend"/>
    <s v="Spring"/>
    <x v="0"/>
    <s v="Off Peak"/>
    <s v="Low"/>
    <s v="Medium"/>
  </r>
  <r>
    <n v="501"/>
    <d v="2011-01-22T00:00:00"/>
    <n v="1"/>
    <n v="0"/>
    <n v="1"/>
    <x v="22"/>
    <b v="0"/>
    <n v="6"/>
    <n v="1"/>
    <n v="0.06"/>
    <n v="0.1515"/>
    <n v="0.49"/>
    <n v="0"/>
    <n v="7"/>
    <n v="23"/>
    <n v="30"/>
    <b v="1"/>
    <s v="January"/>
    <s v="Saturday"/>
    <s v="Weekend"/>
    <s v="Spring"/>
    <x v="0"/>
    <s v="Off Peak"/>
    <s v="Low"/>
    <s v="Medium"/>
  </r>
  <r>
    <n v="502"/>
    <d v="2011-01-22T00:00:00"/>
    <n v="1"/>
    <n v="0"/>
    <n v="1"/>
    <x v="23"/>
    <b v="0"/>
    <n v="6"/>
    <n v="1"/>
    <n v="0.04"/>
    <n v="7.5800000000000006E-2"/>
    <n v="0.56999999999999995"/>
    <n v="0.1045"/>
    <n v="2"/>
    <n v="31"/>
    <n v="33"/>
    <b v="1"/>
    <s v="January"/>
    <s v="Saturday"/>
    <s v="Weekend"/>
    <s v="Spring"/>
    <x v="0"/>
    <s v="Off Peak"/>
    <s v="Low"/>
    <s v="Medium"/>
  </r>
  <r>
    <n v="503"/>
    <d v="2011-01-23T00:00:00"/>
    <n v="1"/>
    <n v="0"/>
    <n v="1"/>
    <x v="0"/>
    <b v="0"/>
    <n v="0"/>
    <n v="1"/>
    <n v="0.04"/>
    <n v="7.5800000000000006E-2"/>
    <n v="0.56999999999999995"/>
    <n v="0.1045"/>
    <n v="2"/>
    <n v="20"/>
    <n v="22"/>
    <b v="1"/>
    <s v="January"/>
    <s v="Sunday"/>
    <s v="Weekend"/>
    <s v="Spring"/>
    <x v="0"/>
    <s v="Off Peak"/>
    <s v="Low"/>
    <s v="Medium"/>
  </r>
  <r>
    <n v="504"/>
    <d v="2011-01-23T00:00:00"/>
    <n v="1"/>
    <n v="0"/>
    <n v="1"/>
    <x v="1"/>
    <b v="0"/>
    <n v="0"/>
    <n v="1"/>
    <n v="0.04"/>
    <n v="7.5800000000000006E-2"/>
    <n v="0.56999999999999995"/>
    <n v="0.1045"/>
    <n v="1"/>
    <n v="12"/>
    <n v="13"/>
    <b v="1"/>
    <s v="January"/>
    <s v="Sunday"/>
    <s v="Weekend"/>
    <s v="Spring"/>
    <x v="0"/>
    <s v="Off Peak"/>
    <s v="Low"/>
    <s v="Medium"/>
  </r>
  <r>
    <n v="505"/>
    <d v="2011-01-23T00:00:00"/>
    <n v="1"/>
    <n v="0"/>
    <n v="1"/>
    <x v="2"/>
    <b v="0"/>
    <n v="0"/>
    <n v="1"/>
    <n v="0.02"/>
    <n v="6.0600000000000001E-2"/>
    <n v="0.62"/>
    <n v="0.1343"/>
    <n v="3"/>
    <n v="15"/>
    <n v="18"/>
    <b v="1"/>
    <s v="January"/>
    <s v="Sunday"/>
    <s v="Weekend"/>
    <s v="Spring"/>
    <x v="0"/>
    <s v="Off Peak"/>
    <s v="Low"/>
    <s v="Medium"/>
  </r>
  <r>
    <n v="506"/>
    <d v="2011-01-23T00:00:00"/>
    <n v="1"/>
    <n v="0"/>
    <n v="1"/>
    <x v="3"/>
    <b v="0"/>
    <n v="0"/>
    <n v="1"/>
    <n v="0.02"/>
    <n v="6.0600000000000001E-2"/>
    <n v="0.62"/>
    <n v="0.1343"/>
    <n v="1"/>
    <n v="4"/>
    <n v="5"/>
    <b v="1"/>
    <s v="January"/>
    <s v="Sunday"/>
    <s v="Weekend"/>
    <s v="Spring"/>
    <x v="0"/>
    <s v="Off Peak"/>
    <s v="Low"/>
    <s v="Medium"/>
  </r>
  <r>
    <n v="507"/>
    <d v="2011-01-23T00:00:00"/>
    <n v="1"/>
    <n v="0"/>
    <n v="1"/>
    <x v="5"/>
    <b v="0"/>
    <n v="0"/>
    <n v="2"/>
    <n v="0.04"/>
    <n v="7.5800000000000006E-2"/>
    <n v="0.56999999999999995"/>
    <n v="0.1045"/>
    <n v="0"/>
    <n v="3"/>
    <n v="3"/>
    <b v="1"/>
    <s v="January"/>
    <s v="Sunday"/>
    <s v="Weekend"/>
    <s v="Spring"/>
    <x v="1"/>
    <s v="Off Peak"/>
    <s v="Low"/>
    <s v="Medium"/>
  </r>
  <r>
    <n v="508"/>
    <d v="2011-01-23T00:00:00"/>
    <n v="1"/>
    <n v="0"/>
    <n v="1"/>
    <x v="6"/>
    <b v="0"/>
    <n v="0"/>
    <n v="2"/>
    <n v="0.04"/>
    <n v="7.5800000000000006E-2"/>
    <n v="0.56999999999999995"/>
    <n v="0.1045"/>
    <n v="0"/>
    <n v="1"/>
    <n v="1"/>
    <b v="1"/>
    <s v="January"/>
    <s v="Sunday"/>
    <s v="Weekend"/>
    <s v="Spring"/>
    <x v="1"/>
    <s v="Off Peak"/>
    <s v="Low"/>
    <s v="Medium"/>
  </r>
  <r>
    <n v="509"/>
    <d v="2011-01-23T00:00:00"/>
    <n v="1"/>
    <n v="0"/>
    <n v="1"/>
    <x v="7"/>
    <b v="0"/>
    <n v="0"/>
    <n v="1"/>
    <n v="0.08"/>
    <n v="0.1061"/>
    <n v="0.57999999999999996"/>
    <n v="0.16420000000000001"/>
    <n v="1"/>
    <n v="1"/>
    <n v="2"/>
    <b v="1"/>
    <s v="January"/>
    <s v="Sunday"/>
    <s v="Weekend"/>
    <s v="Spring"/>
    <x v="0"/>
    <s v="Morning Peak"/>
    <s v="Low"/>
    <s v="Medium"/>
  </r>
  <r>
    <n v="510"/>
    <d v="2011-01-23T00:00:00"/>
    <n v="1"/>
    <n v="0"/>
    <n v="1"/>
    <x v="8"/>
    <b v="0"/>
    <n v="0"/>
    <n v="1"/>
    <n v="0.06"/>
    <n v="7.5800000000000006E-2"/>
    <n v="0.62"/>
    <n v="0.16420000000000001"/>
    <n v="2"/>
    <n v="17"/>
    <n v="19"/>
    <b v="1"/>
    <s v="January"/>
    <s v="Sunday"/>
    <s v="Weekend"/>
    <s v="Spring"/>
    <x v="0"/>
    <s v="Morning Peak"/>
    <s v="Low"/>
    <s v="Medium"/>
  </r>
  <r>
    <n v="511"/>
    <d v="2011-01-23T00:00:00"/>
    <n v="1"/>
    <n v="0"/>
    <n v="1"/>
    <x v="9"/>
    <b v="0"/>
    <n v="0"/>
    <n v="1"/>
    <n v="0.1"/>
    <n v="7.5800000000000006E-2"/>
    <n v="0.54"/>
    <n v="0.35820000000000002"/>
    <n v="3"/>
    <n v="25"/>
    <n v="28"/>
    <b v="1"/>
    <s v="January"/>
    <s v="Sunday"/>
    <s v="Weekend"/>
    <s v="Spring"/>
    <x v="0"/>
    <s v="Morning Peak"/>
    <s v="Low"/>
    <s v="Medium"/>
  </r>
  <r>
    <n v="512"/>
    <d v="2011-01-23T00:00:00"/>
    <n v="1"/>
    <n v="0"/>
    <n v="1"/>
    <x v="10"/>
    <b v="0"/>
    <n v="0"/>
    <n v="1"/>
    <n v="0.14000000000000001"/>
    <n v="0.1061"/>
    <n v="0.46"/>
    <n v="0.3881"/>
    <n v="7"/>
    <n v="51"/>
    <n v="58"/>
    <b v="1"/>
    <s v="January"/>
    <s v="Sunday"/>
    <s v="Weekend"/>
    <s v="Spring"/>
    <x v="0"/>
    <s v="Off Peak"/>
    <s v="Low"/>
    <s v="Medium"/>
  </r>
  <r>
    <n v="513"/>
    <d v="2011-01-23T00:00:00"/>
    <n v="1"/>
    <n v="0"/>
    <n v="1"/>
    <x v="11"/>
    <b v="0"/>
    <n v="0"/>
    <n v="1"/>
    <n v="0.14000000000000001"/>
    <n v="0.13639999999999999"/>
    <n v="0.43"/>
    <n v="0.22389999999999999"/>
    <n v="22"/>
    <n v="77"/>
    <n v="99"/>
    <b v="1"/>
    <s v="January"/>
    <s v="Sunday"/>
    <s v="Weekend"/>
    <s v="Spring"/>
    <x v="0"/>
    <s v="Off Peak"/>
    <s v="Low"/>
    <s v="Medium"/>
  </r>
  <r>
    <n v="514"/>
    <d v="2011-01-23T00:00:00"/>
    <n v="1"/>
    <n v="0"/>
    <n v="1"/>
    <x v="12"/>
    <b v="0"/>
    <n v="0"/>
    <n v="1"/>
    <n v="0.16"/>
    <n v="0.1212"/>
    <n v="0.37"/>
    <n v="0.4627"/>
    <n v="24"/>
    <n v="92"/>
    <n v="116"/>
    <b v="1"/>
    <s v="January"/>
    <s v="Sunday"/>
    <s v="Weekend"/>
    <s v="Spring"/>
    <x v="0"/>
    <s v="Off Peak"/>
    <s v="Low"/>
    <s v="Low"/>
  </r>
  <r>
    <n v="515"/>
    <d v="2011-01-23T00:00:00"/>
    <n v="1"/>
    <n v="0"/>
    <n v="1"/>
    <x v="13"/>
    <b v="0"/>
    <n v="0"/>
    <n v="1"/>
    <n v="0.14000000000000001"/>
    <n v="0.1061"/>
    <n v="0.33"/>
    <n v="0.3881"/>
    <n v="12"/>
    <n v="75"/>
    <n v="87"/>
    <b v="1"/>
    <s v="January"/>
    <s v="Sunday"/>
    <s v="Weekend"/>
    <s v="Spring"/>
    <x v="0"/>
    <s v="Off Peak"/>
    <s v="Low"/>
    <s v="Low"/>
  </r>
  <r>
    <n v="516"/>
    <d v="2011-01-23T00:00:00"/>
    <n v="1"/>
    <n v="0"/>
    <n v="1"/>
    <x v="14"/>
    <b v="0"/>
    <n v="0"/>
    <n v="1"/>
    <n v="0.16"/>
    <n v="0.13639999999999999"/>
    <n v="0.28000000000000003"/>
    <n v="0.35820000000000002"/>
    <n v="17"/>
    <n v="93"/>
    <n v="110"/>
    <b v="1"/>
    <s v="January"/>
    <s v="Sunday"/>
    <s v="Weekend"/>
    <s v="Spring"/>
    <x v="0"/>
    <s v="Off Peak"/>
    <s v="Low"/>
    <s v="Low"/>
  </r>
  <r>
    <n v="517"/>
    <d v="2011-01-23T00:00:00"/>
    <n v="1"/>
    <n v="0"/>
    <n v="1"/>
    <x v="15"/>
    <b v="0"/>
    <n v="0"/>
    <n v="1"/>
    <n v="0.16"/>
    <n v="0.13639999999999999"/>
    <n v="0.28000000000000003"/>
    <n v="0.35820000000000002"/>
    <n v="13"/>
    <n v="64"/>
    <n v="77"/>
    <b v="1"/>
    <s v="January"/>
    <s v="Sunday"/>
    <s v="Weekend"/>
    <s v="Spring"/>
    <x v="0"/>
    <s v="Off Peak"/>
    <s v="Low"/>
    <s v="Low"/>
  </r>
  <r>
    <n v="518"/>
    <d v="2011-01-23T00:00:00"/>
    <n v="1"/>
    <n v="0"/>
    <n v="1"/>
    <x v="16"/>
    <b v="0"/>
    <n v="0"/>
    <n v="1"/>
    <n v="0.16"/>
    <n v="0.13639999999999999"/>
    <n v="0.26"/>
    <n v="0.32840000000000003"/>
    <n v="9"/>
    <n v="56"/>
    <n v="65"/>
    <b v="1"/>
    <s v="January"/>
    <s v="Sunday"/>
    <s v="Weekend"/>
    <s v="Spring"/>
    <x v="0"/>
    <s v="Off Peak"/>
    <s v="Low"/>
    <s v="Low"/>
  </r>
  <r>
    <n v="519"/>
    <d v="2011-01-23T00:00:00"/>
    <n v="1"/>
    <n v="0"/>
    <n v="1"/>
    <x v="17"/>
    <b v="0"/>
    <n v="0"/>
    <n v="1"/>
    <n v="0.14000000000000001"/>
    <n v="0.1061"/>
    <n v="0.26"/>
    <n v="0.3881"/>
    <n v="5"/>
    <n v="50"/>
    <n v="55"/>
    <b v="1"/>
    <s v="January"/>
    <s v="Sunday"/>
    <s v="Weekend"/>
    <s v="Spring"/>
    <x v="0"/>
    <s v="Evening Peak"/>
    <s v="Low"/>
    <s v="Low"/>
  </r>
  <r>
    <n v="520"/>
    <d v="2011-01-23T00:00:00"/>
    <n v="1"/>
    <n v="0"/>
    <n v="1"/>
    <x v="18"/>
    <b v="0"/>
    <n v="0"/>
    <n v="1"/>
    <n v="0.12"/>
    <n v="0.1212"/>
    <n v="0.3"/>
    <n v="0.25369999999999998"/>
    <n v="5"/>
    <n v="44"/>
    <n v="49"/>
    <b v="1"/>
    <s v="January"/>
    <s v="Sunday"/>
    <s v="Weekend"/>
    <s v="Spring"/>
    <x v="0"/>
    <s v="Evening Peak"/>
    <s v="Low"/>
    <s v="Low"/>
  </r>
  <r>
    <n v="521"/>
    <d v="2011-01-23T00:00:00"/>
    <n v="1"/>
    <n v="0"/>
    <n v="1"/>
    <x v="19"/>
    <b v="0"/>
    <n v="0"/>
    <n v="1"/>
    <n v="0.12"/>
    <n v="0.1212"/>
    <n v="0.3"/>
    <n v="0.28360000000000002"/>
    <n v="5"/>
    <n v="45"/>
    <n v="50"/>
    <b v="1"/>
    <s v="January"/>
    <s v="Sunday"/>
    <s v="Weekend"/>
    <s v="Spring"/>
    <x v="0"/>
    <s v="Evening Peak"/>
    <s v="Low"/>
    <s v="Low"/>
  </r>
  <r>
    <n v="522"/>
    <d v="2011-01-23T00:00:00"/>
    <n v="1"/>
    <n v="0"/>
    <n v="1"/>
    <x v="20"/>
    <b v="0"/>
    <n v="0"/>
    <n v="1"/>
    <n v="0.1"/>
    <n v="0.1061"/>
    <n v="0.36"/>
    <n v="0.25369999999999998"/>
    <n v="4"/>
    <n v="31"/>
    <n v="35"/>
    <b v="1"/>
    <s v="January"/>
    <s v="Sunday"/>
    <s v="Weekend"/>
    <s v="Spring"/>
    <x v="0"/>
    <s v="Evening Peak"/>
    <s v="Low"/>
    <s v="Low"/>
  </r>
  <r>
    <n v="523"/>
    <d v="2011-01-23T00:00:00"/>
    <n v="1"/>
    <n v="0"/>
    <n v="1"/>
    <x v="21"/>
    <b v="0"/>
    <n v="0"/>
    <n v="1"/>
    <n v="0.1"/>
    <n v="0.1061"/>
    <n v="0.36"/>
    <n v="0.19400000000000001"/>
    <n v="5"/>
    <n v="20"/>
    <n v="25"/>
    <b v="1"/>
    <s v="January"/>
    <s v="Sunday"/>
    <s v="Weekend"/>
    <s v="Spring"/>
    <x v="0"/>
    <s v="Off Peak"/>
    <s v="Low"/>
    <s v="Low"/>
  </r>
  <r>
    <n v="524"/>
    <d v="2011-01-23T00:00:00"/>
    <n v="1"/>
    <n v="0"/>
    <n v="1"/>
    <x v="22"/>
    <b v="0"/>
    <n v="0"/>
    <n v="1"/>
    <n v="0.08"/>
    <n v="9.0899999999999995E-2"/>
    <n v="0.38"/>
    <n v="0.19400000000000001"/>
    <n v="5"/>
    <n v="23"/>
    <n v="28"/>
    <b v="1"/>
    <s v="January"/>
    <s v="Sunday"/>
    <s v="Weekend"/>
    <s v="Spring"/>
    <x v="0"/>
    <s v="Off Peak"/>
    <s v="Low"/>
    <s v="Low"/>
  </r>
  <r>
    <n v="525"/>
    <d v="2011-01-23T00:00:00"/>
    <n v="1"/>
    <n v="0"/>
    <n v="1"/>
    <x v="23"/>
    <b v="0"/>
    <n v="0"/>
    <n v="1"/>
    <n v="0.06"/>
    <n v="6.0600000000000001E-2"/>
    <n v="0.41"/>
    <n v="0.22389999999999999"/>
    <n v="4"/>
    <n v="17"/>
    <n v="21"/>
    <b v="1"/>
    <s v="January"/>
    <s v="Sunday"/>
    <s v="Weekend"/>
    <s v="Spring"/>
    <x v="0"/>
    <s v="Off Peak"/>
    <s v="Low"/>
    <s v="Medium"/>
  </r>
  <r>
    <n v="526"/>
    <d v="2011-01-24T00:00:00"/>
    <n v="1"/>
    <n v="0"/>
    <n v="1"/>
    <x v="0"/>
    <b v="0"/>
    <n v="1"/>
    <n v="1"/>
    <n v="0.06"/>
    <n v="6.0600000000000001E-2"/>
    <n v="0.41"/>
    <n v="0.19400000000000001"/>
    <n v="0"/>
    <n v="7"/>
    <n v="7"/>
    <b v="1"/>
    <s v="January"/>
    <s v="Monday"/>
    <s v="Weekday"/>
    <s v="Spring"/>
    <x v="0"/>
    <s v="Off Peak"/>
    <s v="Low"/>
    <s v="Medium"/>
  </r>
  <r>
    <n v="527"/>
    <d v="2011-01-24T00:00:00"/>
    <n v="1"/>
    <n v="0"/>
    <n v="1"/>
    <x v="1"/>
    <b v="0"/>
    <n v="1"/>
    <n v="1"/>
    <n v="0.04"/>
    <n v="4.5499999999999999E-2"/>
    <n v="0.45"/>
    <n v="0.19400000000000001"/>
    <n v="0"/>
    <n v="1"/>
    <n v="1"/>
    <b v="1"/>
    <s v="January"/>
    <s v="Monday"/>
    <s v="Weekday"/>
    <s v="Spring"/>
    <x v="0"/>
    <s v="Off Peak"/>
    <s v="Low"/>
    <s v="Medium"/>
  </r>
  <r>
    <n v="528"/>
    <d v="2011-01-24T00:00:00"/>
    <n v="1"/>
    <n v="0"/>
    <n v="1"/>
    <x v="3"/>
    <b v="0"/>
    <n v="1"/>
    <n v="1"/>
    <n v="0.04"/>
    <n v="3.0300000000000001E-2"/>
    <n v="0.45"/>
    <n v="0.25369999999999998"/>
    <n v="0"/>
    <n v="1"/>
    <n v="1"/>
    <b v="1"/>
    <s v="January"/>
    <s v="Monday"/>
    <s v="Weekday"/>
    <s v="Spring"/>
    <x v="0"/>
    <s v="Off Peak"/>
    <s v="Low"/>
    <s v="Medium"/>
  </r>
  <r>
    <n v="529"/>
    <d v="2011-01-24T00:00:00"/>
    <n v="1"/>
    <n v="0"/>
    <n v="1"/>
    <x v="4"/>
    <b v="0"/>
    <n v="1"/>
    <n v="1"/>
    <n v="0.02"/>
    <n v="6.0600000000000001E-2"/>
    <n v="0.48"/>
    <n v="0.1343"/>
    <n v="0"/>
    <n v="1"/>
    <n v="1"/>
    <b v="1"/>
    <s v="January"/>
    <s v="Monday"/>
    <s v="Weekday"/>
    <s v="Spring"/>
    <x v="0"/>
    <s v="Off Peak"/>
    <s v="Low"/>
    <s v="Medium"/>
  </r>
  <r>
    <n v="530"/>
    <d v="2011-01-24T00:00:00"/>
    <n v="1"/>
    <n v="0"/>
    <n v="1"/>
    <x v="5"/>
    <b v="0"/>
    <n v="1"/>
    <n v="1"/>
    <n v="0.02"/>
    <n v="6.0600000000000001E-2"/>
    <n v="0.48"/>
    <n v="0.1343"/>
    <n v="0"/>
    <n v="5"/>
    <n v="5"/>
    <b v="1"/>
    <s v="January"/>
    <s v="Monday"/>
    <s v="Weekday"/>
    <s v="Spring"/>
    <x v="0"/>
    <s v="Off Peak"/>
    <s v="Low"/>
    <s v="Medium"/>
  </r>
  <r>
    <n v="531"/>
    <d v="2011-01-24T00:00:00"/>
    <n v="1"/>
    <n v="0"/>
    <n v="1"/>
    <x v="6"/>
    <b v="0"/>
    <n v="1"/>
    <n v="1"/>
    <n v="0.02"/>
    <n v="7.5800000000000006E-2"/>
    <n v="0.48"/>
    <n v="8.9599999999999999E-2"/>
    <n v="0"/>
    <n v="15"/>
    <n v="15"/>
    <b v="1"/>
    <s v="January"/>
    <s v="Monday"/>
    <s v="Weekday"/>
    <s v="Spring"/>
    <x v="0"/>
    <s v="Off Peak"/>
    <s v="Low"/>
    <s v="Medium"/>
  </r>
  <r>
    <n v="532"/>
    <d v="2011-01-24T00:00:00"/>
    <n v="1"/>
    <n v="0"/>
    <n v="1"/>
    <x v="7"/>
    <b v="0"/>
    <n v="1"/>
    <n v="1"/>
    <n v="0.02"/>
    <n v="0.1212"/>
    <n v="0.48"/>
    <n v="0"/>
    <n v="5"/>
    <n v="79"/>
    <n v="84"/>
    <b v="1"/>
    <s v="January"/>
    <s v="Monday"/>
    <s v="Weekday"/>
    <s v="Spring"/>
    <x v="0"/>
    <s v="Morning Peak"/>
    <s v="Low"/>
    <s v="Medium"/>
  </r>
  <r>
    <n v="533"/>
    <d v="2011-01-24T00:00:00"/>
    <n v="1"/>
    <n v="0"/>
    <n v="1"/>
    <x v="8"/>
    <b v="0"/>
    <n v="1"/>
    <n v="1"/>
    <n v="0.04"/>
    <n v="0.13639999999999999"/>
    <n v="0.49"/>
    <n v="0"/>
    <n v="6"/>
    <n v="171"/>
    <n v="177"/>
    <b v="1"/>
    <s v="January"/>
    <s v="Monday"/>
    <s v="Weekday"/>
    <s v="Spring"/>
    <x v="0"/>
    <s v="Morning Peak"/>
    <s v="Low"/>
    <s v="Medium"/>
  </r>
  <r>
    <n v="534"/>
    <d v="2011-01-24T00:00:00"/>
    <n v="1"/>
    <n v="0"/>
    <n v="1"/>
    <x v="9"/>
    <b v="0"/>
    <n v="1"/>
    <n v="1"/>
    <n v="0.06"/>
    <n v="0.1515"/>
    <n v="0.41"/>
    <n v="0"/>
    <n v="4"/>
    <n v="98"/>
    <n v="102"/>
    <b v="1"/>
    <s v="January"/>
    <s v="Monday"/>
    <s v="Weekday"/>
    <s v="Spring"/>
    <x v="0"/>
    <s v="Morning Peak"/>
    <s v="Low"/>
    <s v="Medium"/>
  </r>
  <r>
    <n v="535"/>
    <d v="2011-01-24T00:00:00"/>
    <n v="1"/>
    <n v="0"/>
    <n v="1"/>
    <x v="10"/>
    <b v="0"/>
    <n v="1"/>
    <n v="1"/>
    <n v="0.1"/>
    <n v="0.13639999999999999"/>
    <n v="0.42"/>
    <n v="0"/>
    <n v="6"/>
    <n v="34"/>
    <n v="40"/>
    <b v="1"/>
    <s v="January"/>
    <s v="Monday"/>
    <s v="Weekday"/>
    <s v="Spring"/>
    <x v="0"/>
    <s v="Off Peak"/>
    <s v="Low"/>
    <s v="Medium"/>
  </r>
  <r>
    <n v="536"/>
    <d v="2011-01-24T00:00:00"/>
    <n v="1"/>
    <n v="0"/>
    <n v="1"/>
    <x v="11"/>
    <b v="0"/>
    <n v="1"/>
    <n v="1"/>
    <n v="0.1"/>
    <n v="0.1212"/>
    <n v="0.46"/>
    <n v="0.1343"/>
    <n v="3"/>
    <n v="43"/>
    <n v="46"/>
    <b v="1"/>
    <s v="January"/>
    <s v="Monday"/>
    <s v="Weekday"/>
    <s v="Spring"/>
    <x v="0"/>
    <s v="Off Peak"/>
    <s v="Low"/>
    <s v="Medium"/>
  </r>
  <r>
    <n v="537"/>
    <d v="2011-01-24T00:00:00"/>
    <n v="1"/>
    <n v="0"/>
    <n v="1"/>
    <x v="12"/>
    <b v="0"/>
    <n v="1"/>
    <n v="2"/>
    <n v="0.12"/>
    <n v="0.13639999999999999"/>
    <n v="0.42"/>
    <n v="0.19400000000000001"/>
    <n v="11"/>
    <n v="52"/>
    <n v="63"/>
    <b v="1"/>
    <s v="January"/>
    <s v="Monday"/>
    <s v="Weekday"/>
    <s v="Spring"/>
    <x v="1"/>
    <s v="Off Peak"/>
    <s v="Low"/>
    <s v="Medium"/>
  </r>
  <r>
    <n v="538"/>
    <d v="2011-01-24T00:00:00"/>
    <n v="1"/>
    <n v="0"/>
    <n v="1"/>
    <x v="13"/>
    <b v="0"/>
    <n v="1"/>
    <n v="2"/>
    <n v="0.14000000000000001"/>
    <n v="0.13639999999999999"/>
    <n v="0.43"/>
    <n v="0.22389999999999999"/>
    <n v="6"/>
    <n v="54"/>
    <n v="60"/>
    <b v="1"/>
    <s v="January"/>
    <s v="Monday"/>
    <s v="Weekday"/>
    <s v="Spring"/>
    <x v="1"/>
    <s v="Off Peak"/>
    <s v="Low"/>
    <s v="Medium"/>
  </r>
  <r>
    <n v="539"/>
    <d v="2011-01-24T00:00:00"/>
    <n v="1"/>
    <n v="0"/>
    <n v="1"/>
    <x v="14"/>
    <b v="0"/>
    <n v="1"/>
    <n v="2"/>
    <n v="0.14000000000000001"/>
    <n v="0.13639999999999999"/>
    <n v="0.46"/>
    <n v="0.22389999999999999"/>
    <n v="2"/>
    <n v="43"/>
    <n v="45"/>
    <b v="1"/>
    <s v="January"/>
    <s v="Monday"/>
    <s v="Weekday"/>
    <s v="Spring"/>
    <x v="1"/>
    <s v="Off Peak"/>
    <s v="Low"/>
    <s v="Medium"/>
  </r>
  <r>
    <n v="540"/>
    <d v="2011-01-24T00:00:00"/>
    <n v="1"/>
    <n v="0"/>
    <n v="1"/>
    <x v="15"/>
    <b v="0"/>
    <n v="1"/>
    <n v="1"/>
    <n v="0.16"/>
    <n v="0.16669999999999999"/>
    <n v="0.4"/>
    <n v="0.16420000000000001"/>
    <n v="7"/>
    <n v="50"/>
    <n v="57"/>
    <b v="1"/>
    <s v="January"/>
    <s v="Monday"/>
    <s v="Weekday"/>
    <s v="Spring"/>
    <x v="0"/>
    <s v="Off Peak"/>
    <s v="Low"/>
    <s v="Medium"/>
  </r>
  <r>
    <n v="541"/>
    <d v="2011-01-24T00:00:00"/>
    <n v="1"/>
    <n v="0"/>
    <n v="1"/>
    <x v="16"/>
    <b v="0"/>
    <n v="1"/>
    <n v="1"/>
    <n v="0.16"/>
    <n v="0.1515"/>
    <n v="0.47"/>
    <n v="0.25369999999999998"/>
    <n v="4"/>
    <n v="66"/>
    <n v="70"/>
    <b v="1"/>
    <s v="January"/>
    <s v="Monday"/>
    <s v="Weekday"/>
    <s v="Spring"/>
    <x v="0"/>
    <s v="Off Peak"/>
    <s v="Low"/>
    <s v="Medium"/>
  </r>
  <r>
    <n v="542"/>
    <d v="2011-01-24T00:00:00"/>
    <n v="1"/>
    <n v="0"/>
    <n v="1"/>
    <x v="17"/>
    <b v="0"/>
    <n v="1"/>
    <n v="1"/>
    <n v="0.14000000000000001"/>
    <n v="0.1212"/>
    <n v="0.5"/>
    <n v="0.25369999999999998"/>
    <n v="6"/>
    <n v="178"/>
    <n v="184"/>
    <b v="1"/>
    <s v="January"/>
    <s v="Monday"/>
    <s v="Weekday"/>
    <s v="Spring"/>
    <x v="0"/>
    <s v="Evening Peak"/>
    <s v="Low"/>
    <s v="Medium"/>
  </r>
  <r>
    <n v="543"/>
    <d v="2011-01-24T00:00:00"/>
    <n v="1"/>
    <n v="0"/>
    <n v="1"/>
    <x v="18"/>
    <b v="0"/>
    <n v="1"/>
    <n v="1"/>
    <n v="0.14000000000000001"/>
    <n v="0.13639999999999999"/>
    <n v="0.59"/>
    <n v="0.19400000000000001"/>
    <n v="8"/>
    <n v="145"/>
    <n v="153"/>
    <b v="1"/>
    <s v="January"/>
    <s v="Monday"/>
    <s v="Weekday"/>
    <s v="Spring"/>
    <x v="0"/>
    <s v="Evening Peak"/>
    <s v="Low"/>
    <s v="Medium"/>
  </r>
  <r>
    <n v="544"/>
    <d v="2011-01-24T00:00:00"/>
    <n v="1"/>
    <n v="0"/>
    <n v="1"/>
    <x v="19"/>
    <b v="0"/>
    <n v="1"/>
    <n v="1"/>
    <n v="0.14000000000000001"/>
    <n v="0.1515"/>
    <n v="0.54"/>
    <n v="0.16420000000000001"/>
    <n v="5"/>
    <n v="101"/>
    <n v="106"/>
    <b v="1"/>
    <s v="January"/>
    <s v="Monday"/>
    <s v="Weekday"/>
    <s v="Spring"/>
    <x v="0"/>
    <s v="Evening Peak"/>
    <s v="Low"/>
    <s v="Medium"/>
  </r>
  <r>
    <n v="545"/>
    <d v="2011-01-24T00:00:00"/>
    <n v="1"/>
    <n v="0"/>
    <n v="1"/>
    <x v="20"/>
    <b v="0"/>
    <n v="1"/>
    <n v="1"/>
    <n v="0.14000000000000001"/>
    <n v="0.13639999999999999"/>
    <n v="0.59"/>
    <n v="0.19400000000000001"/>
    <n v="1"/>
    <n v="80"/>
    <n v="81"/>
    <b v="1"/>
    <s v="January"/>
    <s v="Monday"/>
    <s v="Weekday"/>
    <s v="Spring"/>
    <x v="0"/>
    <s v="Evening Peak"/>
    <s v="Low"/>
    <s v="Medium"/>
  </r>
  <r>
    <n v="546"/>
    <d v="2011-01-24T00:00:00"/>
    <n v="1"/>
    <n v="0"/>
    <n v="1"/>
    <x v="21"/>
    <b v="0"/>
    <n v="1"/>
    <n v="1"/>
    <n v="0.14000000000000001"/>
    <n v="0.1515"/>
    <n v="0.63"/>
    <n v="0.16420000000000001"/>
    <n v="6"/>
    <n v="53"/>
    <n v="59"/>
    <b v="1"/>
    <s v="January"/>
    <s v="Monday"/>
    <s v="Weekday"/>
    <s v="Spring"/>
    <x v="0"/>
    <s v="Off Peak"/>
    <s v="Low"/>
    <s v="Medium"/>
  </r>
  <r>
    <n v="547"/>
    <d v="2011-01-24T00:00:00"/>
    <n v="1"/>
    <n v="0"/>
    <n v="1"/>
    <x v="22"/>
    <b v="0"/>
    <n v="1"/>
    <n v="2"/>
    <n v="0.14000000000000001"/>
    <n v="0.13639999999999999"/>
    <n v="0.63"/>
    <n v="0.22389999999999999"/>
    <n v="3"/>
    <n v="32"/>
    <n v="35"/>
    <b v="1"/>
    <s v="January"/>
    <s v="Monday"/>
    <s v="Weekday"/>
    <s v="Spring"/>
    <x v="1"/>
    <s v="Off Peak"/>
    <s v="Low"/>
    <s v="Medium"/>
  </r>
  <r>
    <n v="548"/>
    <d v="2011-01-24T00:00:00"/>
    <n v="1"/>
    <n v="0"/>
    <n v="1"/>
    <x v="23"/>
    <b v="0"/>
    <n v="1"/>
    <n v="2"/>
    <n v="0.16"/>
    <n v="0.1515"/>
    <n v="0.64"/>
    <n v="0.25369999999999998"/>
    <n v="3"/>
    <n v="21"/>
    <n v="24"/>
    <b v="1"/>
    <s v="January"/>
    <s v="Monday"/>
    <s v="Weekday"/>
    <s v="Spring"/>
    <x v="1"/>
    <s v="Off Peak"/>
    <s v="Low"/>
    <s v="Medium"/>
  </r>
  <r>
    <n v="549"/>
    <d v="2011-01-25T00:00:00"/>
    <n v="1"/>
    <n v="0"/>
    <n v="1"/>
    <x v="0"/>
    <b v="0"/>
    <n v="2"/>
    <n v="2"/>
    <n v="0.16"/>
    <n v="0.13639999999999999"/>
    <n v="0.69"/>
    <n v="0.28360000000000002"/>
    <n v="3"/>
    <n v="6"/>
    <n v="9"/>
    <b v="1"/>
    <s v="January"/>
    <s v="Tuesday"/>
    <s v="Weekday"/>
    <s v="Spring"/>
    <x v="1"/>
    <s v="Off Peak"/>
    <s v="Low"/>
    <s v="Medium"/>
  </r>
  <r>
    <n v="550"/>
    <d v="2011-01-25T00:00:00"/>
    <n v="1"/>
    <n v="0"/>
    <n v="1"/>
    <x v="1"/>
    <b v="0"/>
    <n v="2"/>
    <n v="2"/>
    <n v="0.16"/>
    <n v="0.16669999999999999"/>
    <n v="0.69"/>
    <n v="0.16420000000000001"/>
    <n v="0"/>
    <n v="5"/>
    <n v="5"/>
    <b v="1"/>
    <s v="January"/>
    <s v="Tuesday"/>
    <s v="Weekday"/>
    <s v="Spring"/>
    <x v="1"/>
    <s v="Off Peak"/>
    <s v="Low"/>
    <s v="Medium"/>
  </r>
  <r>
    <n v="551"/>
    <d v="2011-01-25T00:00:00"/>
    <n v="1"/>
    <n v="0"/>
    <n v="1"/>
    <x v="2"/>
    <b v="0"/>
    <n v="2"/>
    <n v="1"/>
    <n v="0.16"/>
    <n v="0.1515"/>
    <n v="0.69"/>
    <n v="0.22389999999999999"/>
    <n v="0"/>
    <n v="2"/>
    <n v="2"/>
    <b v="1"/>
    <s v="January"/>
    <s v="Tuesday"/>
    <s v="Weekday"/>
    <s v="Spring"/>
    <x v="0"/>
    <s v="Off Peak"/>
    <s v="Low"/>
    <s v="Medium"/>
  </r>
  <r>
    <n v="552"/>
    <d v="2011-01-25T00:00:00"/>
    <n v="1"/>
    <n v="0"/>
    <n v="1"/>
    <x v="4"/>
    <b v="0"/>
    <n v="2"/>
    <n v="1"/>
    <n v="0.14000000000000001"/>
    <n v="0.16669999999999999"/>
    <n v="0.74"/>
    <n v="0.1045"/>
    <n v="0"/>
    <n v="1"/>
    <n v="1"/>
    <b v="1"/>
    <s v="January"/>
    <s v="Tuesday"/>
    <s v="Weekday"/>
    <s v="Spring"/>
    <x v="0"/>
    <s v="Off Peak"/>
    <s v="Low"/>
    <s v="High"/>
  </r>
  <r>
    <n v="553"/>
    <d v="2011-01-25T00:00:00"/>
    <n v="1"/>
    <n v="0"/>
    <n v="1"/>
    <x v="5"/>
    <b v="0"/>
    <n v="2"/>
    <n v="1"/>
    <n v="0.14000000000000001"/>
    <n v="0.13639999999999999"/>
    <n v="0.74"/>
    <n v="0.22389999999999999"/>
    <n v="0"/>
    <n v="9"/>
    <n v="9"/>
    <b v="1"/>
    <s v="January"/>
    <s v="Tuesday"/>
    <s v="Weekday"/>
    <s v="Spring"/>
    <x v="0"/>
    <s v="Off Peak"/>
    <s v="Low"/>
    <s v="High"/>
  </r>
  <r>
    <n v="554"/>
    <d v="2011-01-25T00:00:00"/>
    <n v="1"/>
    <n v="0"/>
    <n v="1"/>
    <x v="6"/>
    <b v="0"/>
    <n v="2"/>
    <n v="1"/>
    <n v="0.16"/>
    <n v="0.18179999999999999"/>
    <n v="0.74"/>
    <n v="0.1045"/>
    <n v="1"/>
    <n v="35"/>
    <n v="36"/>
    <b v="1"/>
    <s v="January"/>
    <s v="Tuesday"/>
    <s v="Weekday"/>
    <s v="Spring"/>
    <x v="0"/>
    <s v="Off Peak"/>
    <s v="Low"/>
    <s v="High"/>
  </r>
  <r>
    <n v="555"/>
    <d v="2011-01-25T00:00:00"/>
    <n v="1"/>
    <n v="0"/>
    <n v="1"/>
    <x v="7"/>
    <b v="0"/>
    <n v="2"/>
    <n v="1"/>
    <n v="0.16"/>
    <n v="0.1515"/>
    <n v="0.74"/>
    <n v="0.22389999999999999"/>
    <n v="5"/>
    <n v="103"/>
    <n v="108"/>
    <b v="1"/>
    <s v="January"/>
    <s v="Tuesday"/>
    <s v="Weekday"/>
    <s v="Spring"/>
    <x v="0"/>
    <s v="Morning Peak"/>
    <s v="Low"/>
    <s v="High"/>
  </r>
  <r>
    <n v="556"/>
    <d v="2011-01-25T00:00:00"/>
    <n v="1"/>
    <n v="0"/>
    <n v="1"/>
    <x v="8"/>
    <b v="0"/>
    <n v="2"/>
    <n v="2"/>
    <n v="0.16"/>
    <n v="0.18179999999999999"/>
    <n v="0.74"/>
    <n v="0.1343"/>
    <n v="5"/>
    <n v="233"/>
    <n v="238"/>
    <b v="1"/>
    <s v="January"/>
    <s v="Tuesday"/>
    <s v="Weekday"/>
    <s v="Spring"/>
    <x v="1"/>
    <s v="Morning Peak"/>
    <s v="Low"/>
    <s v="High"/>
  </r>
  <r>
    <n v="557"/>
    <d v="2011-01-25T00:00:00"/>
    <n v="1"/>
    <n v="0"/>
    <n v="1"/>
    <x v="9"/>
    <b v="0"/>
    <n v="2"/>
    <n v="2"/>
    <n v="0.2"/>
    <n v="0.2273"/>
    <n v="0.64"/>
    <n v="8.9599999999999999E-2"/>
    <n v="10"/>
    <n v="134"/>
    <n v="144"/>
    <b v="1"/>
    <s v="January"/>
    <s v="Tuesday"/>
    <s v="Weekday"/>
    <s v="Spring"/>
    <x v="1"/>
    <s v="Morning Peak"/>
    <s v="Low"/>
    <s v="Medium"/>
  </r>
  <r>
    <n v="558"/>
    <d v="2011-01-25T00:00:00"/>
    <n v="1"/>
    <n v="0"/>
    <n v="1"/>
    <x v="10"/>
    <b v="0"/>
    <n v="2"/>
    <n v="2"/>
    <n v="0.22"/>
    <n v="0.2424"/>
    <n v="0.6"/>
    <n v="0.1045"/>
    <n v="6"/>
    <n v="49"/>
    <n v="55"/>
    <b v="1"/>
    <s v="January"/>
    <s v="Tuesday"/>
    <s v="Weekday"/>
    <s v="Spring"/>
    <x v="1"/>
    <s v="Off Peak"/>
    <s v="Low"/>
    <s v="Medium"/>
  </r>
  <r>
    <n v="559"/>
    <d v="2011-01-25T00:00:00"/>
    <n v="1"/>
    <n v="0"/>
    <n v="1"/>
    <x v="11"/>
    <b v="0"/>
    <n v="2"/>
    <n v="2"/>
    <n v="0.24"/>
    <n v="0.2424"/>
    <n v="0.6"/>
    <n v="0.1343"/>
    <n v="6"/>
    <n v="55"/>
    <n v="61"/>
    <b v="1"/>
    <s v="January"/>
    <s v="Tuesday"/>
    <s v="Weekday"/>
    <s v="Spring"/>
    <x v="1"/>
    <s v="Off Peak"/>
    <s v="Low"/>
    <s v="Medium"/>
  </r>
  <r>
    <n v="560"/>
    <d v="2011-01-25T00:00:00"/>
    <n v="1"/>
    <n v="0"/>
    <n v="1"/>
    <x v="12"/>
    <b v="0"/>
    <n v="2"/>
    <n v="2"/>
    <n v="0.26"/>
    <n v="0.28789999999999999"/>
    <n v="0.56000000000000005"/>
    <n v="8.9599999999999999E-2"/>
    <n v="21"/>
    <n v="85"/>
    <n v="106"/>
    <b v="1"/>
    <s v="January"/>
    <s v="Tuesday"/>
    <s v="Weekday"/>
    <s v="Spring"/>
    <x v="1"/>
    <s v="Off Peak"/>
    <s v="Low"/>
    <s v="Medium"/>
  </r>
  <r>
    <n v="561"/>
    <d v="2011-01-25T00:00:00"/>
    <n v="1"/>
    <n v="0"/>
    <n v="1"/>
    <x v="13"/>
    <b v="0"/>
    <n v="2"/>
    <n v="2"/>
    <n v="0.26"/>
    <n v="0.2727"/>
    <n v="0.56000000000000005"/>
    <n v="0.1343"/>
    <n v="21"/>
    <n v="72"/>
    <n v="93"/>
    <b v="1"/>
    <s v="January"/>
    <s v="Tuesday"/>
    <s v="Weekday"/>
    <s v="Spring"/>
    <x v="1"/>
    <s v="Off Peak"/>
    <s v="Low"/>
    <s v="Medium"/>
  </r>
  <r>
    <n v="562"/>
    <d v="2011-01-25T00:00:00"/>
    <n v="1"/>
    <n v="0"/>
    <n v="1"/>
    <x v="14"/>
    <b v="0"/>
    <n v="2"/>
    <n v="2"/>
    <n v="0.3"/>
    <n v="0.33329999999999999"/>
    <n v="0.45"/>
    <n v="0"/>
    <n v="11"/>
    <n v="57"/>
    <n v="68"/>
    <b v="1"/>
    <s v="January"/>
    <s v="Tuesday"/>
    <s v="Weekday"/>
    <s v="Spring"/>
    <x v="1"/>
    <s v="Off Peak"/>
    <s v="Medium"/>
    <s v="Medium"/>
  </r>
  <r>
    <n v="563"/>
    <d v="2011-01-25T00:00:00"/>
    <n v="1"/>
    <n v="0"/>
    <n v="1"/>
    <x v="15"/>
    <b v="0"/>
    <n v="2"/>
    <n v="2"/>
    <n v="0.32"/>
    <n v="0.34849999999999998"/>
    <n v="0.42"/>
    <n v="0"/>
    <n v="21"/>
    <n v="63"/>
    <n v="84"/>
    <b v="1"/>
    <s v="January"/>
    <s v="Tuesday"/>
    <s v="Weekday"/>
    <s v="Spring"/>
    <x v="1"/>
    <s v="Off Peak"/>
    <s v="Medium"/>
    <s v="Medium"/>
  </r>
  <r>
    <n v="564"/>
    <d v="2011-01-25T00:00:00"/>
    <n v="1"/>
    <n v="0"/>
    <n v="1"/>
    <x v="16"/>
    <b v="0"/>
    <n v="2"/>
    <n v="2"/>
    <n v="0.32"/>
    <n v="0.34849999999999998"/>
    <n v="0.42"/>
    <n v="0"/>
    <n v="14"/>
    <n v="102"/>
    <n v="116"/>
    <b v="1"/>
    <s v="January"/>
    <s v="Tuesday"/>
    <s v="Weekday"/>
    <s v="Spring"/>
    <x v="1"/>
    <s v="Off Peak"/>
    <s v="Medium"/>
    <s v="Medium"/>
  </r>
  <r>
    <n v="565"/>
    <d v="2011-01-25T00:00:00"/>
    <n v="1"/>
    <n v="0"/>
    <n v="1"/>
    <x v="17"/>
    <b v="0"/>
    <n v="2"/>
    <n v="1"/>
    <n v="0.3"/>
    <n v="0.33329999999999999"/>
    <n v="0.45"/>
    <n v="0"/>
    <n v="14"/>
    <n v="208"/>
    <n v="222"/>
    <b v="1"/>
    <s v="January"/>
    <s v="Tuesday"/>
    <s v="Weekday"/>
    <s v="Spring"/>
    <x v="0"/>
    <s v="Evening Peak"/>
    <s v="Medium"/>
    <s v="Medium"/>
  </r>
  <r>
    <n v="566"/>
    <d v="2011-01-25T00:00:00"/>
    <n v="1"/>
    <n v="0"/>
    <n v="1"/>
    <x v="18"/>
    <b v="0"/>
    <n v="2"/>
    <n v="2"/>
    <n v="0.3"/>
    <n v="0.31819999999999998"/>
    <n v="0.49"/>
    <n v="8.9599999999999999E-2"/>
    <n v="7"/>
    <n v="218"/>
    <n v="225"/>
    <b v="1"/>
    <s v="January"/>
    <s v="Tuesday"/>
    <s v="Weekday"/>
    <s v="Spring"/>
    <x v="1"/>
    <s v="Evening Peak"/>
    <s v="Medium"/>
    <s v="Medium"/>
  </r>
  <r>
    <n v="567"/>
    <d v="2011-01-25T00:00:00"/>
    <n v="1"/>
    <n v="0"/>
    <n v="1"/>
    <x v="19"/>
    <b v="0"/>
    <n v="2"/>
    <n v="2"/>
    <n v="0.26"/>
    <n v="0.2576"/>
    <n v="0.65"/>
    <n v="0.16420000000000001"/>
    <n v="13"/>
    <n v="133"/>
    <n v="146"/>
    <b v="1"/>
    <s v="January"/>
    <s v="Tuesday"/>
    <s v="Weekday"/>
    <s v="Spring"/>
    <x v="1"/>
    <s v="Evening Peak"/>
    <s v="Low"/>
    <s v="Medium"/>
  </r>
  <r>
    <n v="568"/>
    <d v="2011-01-25T00:00:00"/>
    <n v="1"/>
    <n v="0"/>
    <n v="1"/>
    <x v="20"/>
    <b v="0"/>
    <n v="2"/>
    <n v="1"/>
    <n v="0.24"/>
    <n v="0.2273"/>
    <n v="0.65"/>
    <n v="0.19400000000000001"/>
    <n v="16"/>
    <n v="103"/>
    <n v="119"/>
    <b v="1"/>
    <s v="January"/>
    <s v="Tuesday"/>
    <s v="Weekday"/>
    <s v="Spring"/>
    <x v="0"/>
    <s v="Evening Peak"/>
    <s v="Low"/>
    <s v="Medium"/>
  </r>
  <r>
    <n v="569"/>
    <d v="2011-01-25T00:00:00"/>
    <n v="1"/>
    <n v="0"/>
    <n v="1"/>
    <x v="21"/>
    <b v="0"/>
    <n v="2"/>
    <n v="1"/>
    <n v="0.24"/>
    <n v="0.2273"/>
    <n v="0.65"/>
    <n v="0.19400000000000001"/>
    <n v="5"/>
    <n v="40"/>
    <n v="45"/>
    <b v="1"/>
    <s v="January"/>
    <s v="Tuesday"/>
    <s v="Weekday"/>
    <s v="Spring"/>
    <x v="0"/>
    <s v="Off Peak"/>
    <s v="Low"/>
    <s v="Medium"/>
  </r>
  <r>
    <n v="570"/>
    <d v="2011-01-25T00:00:00"/>
    <n v="1"/>
    <n v="0"/>
    <n v="1"/>
    <x v="22"/>
    <b v="0"/>
    <n v="2"/>
    <n v="1"/>
    <n v="0.22"/>
    <n v="0.2273"/>
    <n v="0.64"/>
    <n v="0.16420000000000001"/>
    <n v="4"/>
    <n v="49"/>
    <n v="53"/>
    <b v="1"/>
    <s v="January"/>
    <s v="Tuesday"/>
    <s v="Weekday"/>
    <s v="Spring"/>
    <x v="0"/>
    <s v="Off Peak"/>
    <s v="Low"/>
    <s v="Medium"/>
  </r>
  <r>
    <n v="571"/>
    <d v="2011-01-25T00:00:00"/>
    <n v="1"/>
    <n v="0"/>
    <n v="1"/>
    <x v="23"/>
    <b v="0"/>
    <n v="2"/>
    <n v="2"/>
    <n v="0.22"/>
    <n v="0.2273"/>
    <n v="0.64"/>
    <n v="0.16420000000000001"/>
    <n v="3"/>
    <n v="37"/>
    <n v="40"/>
    <b v="1"/>
    <s v="January"/>
    <s v="Tuesday"/>
    <s v="Weekday"/>
    <s v="Spring"/>
    <x v="1"/>
    <s v="Off Peak"/>
    <s v="Low"/>
    <s v="Medium"/>
  </r>
  <r>
    <n v="572"/>
    <d v="2011-01-26T00:00:00"/>
    <n v="1"/>
    <n v="0"/>
    <n v="1"/>
    <x v="0"/>
    <b v="0"/>
    <n v="3"/>
    <n v="2"/>
    <n v="0.22"/>
    <n v="0.2273"/>
    <n v="0.69"/>
    <n v="0.1343"/>
    <n v="3"/>
    <n v="14"/>
    <n v="17"/>
    <b v="1"/>
    <s v="January"/>
    <s v="Wednesday"/>
    <s v="Weekday"/>
    <s v="Spring"/>
    <x v="1"/>
    <s v="Off Peak"/>
    <s v="Low"/>
    <s v="Medium"/>
  </r>
  <r>
    <n v="573"/>
    <d v="2011-01-26T00:00:00"/>
    <n v="1"/>
    <n v="0"/>
    <n v="1"/>
    <x v="1"/>
    <b v="0"/>
    <n v="3"/>
    <n v="2"/>
    <n v="0.24"/>
    <n v="0.2424"/>
    <n v="0.65"/>
    <n v="0.1343"/>
    <n v="0"/>
    <n v="5"/>
    <n v="5"/>
    <b v="1"/>
    <s v="January"/>
    <s v="Wednesday"/>
    <s v="Weekday"/>
    <s v="Spring"/>
    <x v="1"/>
    <s v="Off Peak"/>
    <s v="Low"/>
    <s v="Medium"/>
  </r>
  <r>
    <n v="574"/>
    <d v="2011-01-26T00:00:00"/>
    <n v="1"/>
    <n v="0"/>
    <n v="1"/>
    <x v="2"/>
    <b v="0"/>
    <n v="3"/>
    <n v="3"/>
    <n v="0.22"/>
    <n v="0.2273"/>
    <n v="0.69"/>
    <n v="0.19400000000000001"/>
    <n v="3"/>
    <n v="7"/>
    <n v="10"/>
    <b v="1"/>
    <s v="January"/>
    <s v="Wednesday"/>
    <s v="Weekday"/>
    <s v="Spring"/>
    <x v="2"/>
    <s v="Off Peak"/>
    <s v="Low"/>
    <s v="Medium"/>
  </r>
  <r>
    <n v="575"/>
    <d v="2011-01-26T00:00:00"/>
    <n v="1"/>
    <n v="0"/>
    <n v="1"/>
    <x v="5"/>
    <b v="0"/>
    <n v="3"/>
    <n v="3"/>
    <n v="0.2"/>
    <n v="0.18179999999999999"/>
    <n v="0.86"/>
    <n v="0.28360000000000002"/>
    <n v="0"/>
    <n v="1"/>
    <n v="1"/>
    <b v="1"/>
    <s v="January"/>
    <s v="Wednesday"/>
    <s v="Weekday"/>
    <s v="Spring"/>
    <x v="2"/>
    <s v="Off Peak"/>
    <s v="Low"/>
    <s v="High"/>
  </r>
  <r>
    <n v="576"/>
    <d v="2011-01-26T00:00:00"/>
    <n v="1"/>
    <n v="0"/>
    <n v="1"/>
    <x v="6"/>
    <b v="0"/>
    <n v="3"/>
    <n v="3"/>
    <n v="0.2"/>
    <n v="0.18179999999999999"/>
    <n v="0.86"/>
    <n v="0.28360000000000002"/>
    <n v="0"/>
    <n v="8"/>
    <n v="8"/>
    <b v="1"/>
    <s v="January"/>
    <s v="Wednesday"/>
    <s v="Weekday"/>
    <s v="Spring"/>
    <x v="2"/>
    <s v="Off Peak"/>
    <s v="Low"/>
    <s v="High"/>
  </r>
  <r>
    <n v="577"/>
    <d v="2011-01-26T00:00:00"/>
    <n v="1"/>
    <n v="0"/>
    <n v="1"/>
    <x v="7"/>
    <b v="0"/>
    <n v="3"/>
    <n v="3"/>
    <n v="0.22"/>
    <n v="0.21210000000000001"/>
    <n v="0.87"/>
    <n v="0.29849999999999999"/>
    <n v="1"/>
    <n v="29"/>
    <n v="30"/>
    <b v="1"/>
    <s v="January"/>
    <s v="Wednesday"/>
    <s v="Weekday"/>
    <s v="Spring"/>
    <x v="2"/>
    <s v="Morning Peak"/>
    <s v="Low"/>
    <s v="High"/>
  </r>
  <r>
    <n v="578"/>
    <d v="2011-01-26T00:00:00"/>
    <n v="1"/>
    <n v="0"/>
    <n v="1"/>
    <x v="8"/>
    <b v="0"/>
    <n v="3"/>
    <n v="3"/>
    <n v="0.22"/>
    <n v="0.21210000000000001"/>
    <n v="0.87"/>
    <n v="0.29849999999999999"/>
    <n v="3"/>
    <n v="69"/>
    <n v="72"/>
    <b v="1"/>
    <s v="January"/>
    <s v="Wednesday"/>
    <s v="Weekday"/>
    <s v="Spring"/>
    <x v="2"/>
    <s v="Morning Peak"/>
    <s v="Low"/>
    <s v="High"/>
  </r>
  <r>
    <n v="579"/>
    <d v="2011-01-26T00:00:00"/>
    <n v="1"/>
    <n v="0"/>
    <n v="1"/>
    <x v="9"/>
    <b v="0"/>
    <n v="3"/>
    <n v="3"/>
    <n v="0.22"/>
    <n v="0.21210000000000001"/>
    <n v="0.87"/>
    <n v="0.29849999999999999"/>
    <n v="3"/>
    <n v="55"/>
    <n v="58"/>
    <b v="1"/>
    <s v="January"/>
    <s v="Wednesday"/>
    <s v="Weekday"/>
    <s v="Spring"/>
    <x v="2"/>
    <s v="Morning Peak"/>
    <s v="Low"/>
    <s v="High"/>
  </r>
  <r>
    <n v="580"/>
    <d v="2011-01-26T00:00:00"/>
    <n v="1"/>
    <n v="0"/>
    <n v="1"/>
    <x v="10"/>
    <b v="0"/>
    <n v="3"/>
    <n v="3"/>
    <n v="0.22"/>
    <n v="0.21210000000000001"/>
    <n v="0.93"/>
    <n v="0.28360000000000002"/>
    <n v="2"/>
    <n v="26"/>
    <n v="28"/>
    <b v="1"/>
    <s v="January"/>
    <s v="Wednesday"/>
    <s v="Weekday"/>
    <s v="Spring"/>
    <x v="2"/>
    <s v="Off Peak"/>
    <s v="Low"/>
    <s v="High"/>
  </r>
  <r>
    <n v="581"/>
    <d v="2011-01-26T00:00:00"/>
    <n v="1"/>
    <n v="0"/>
    <n v="1"/>
    <x v="11"/>
    <b v="0"/>
    <n v="3"/>
    <n v="3"/>
    <n v="0.22"/>
    <n v="0.19700000000000001"/>
    <n v="0.93"/>
    <n v="0.32840000000000003"/>
    <n v="6"/>
    <n v="35"/>
    <n v="41"/>
    <b v="1"/>
    <s v="January"/>
    <s v="Wednesday"/>
    <s v="Weekday"/>
    <s v="Spring"/>
    <x v="2"/>
    <s v="Off Peak"/>
    <s v="Low"/>
    <s v="High"/>
  </r>
  <r>
    <n v="582"/>
    <d v="2011-01-26T00:00:00"/>
    <n v="1"/>
    <n v="0"/>
    <n v="1"/>
    <x v="12"/>
    <b v="0"/>
    <n v="3"/>
    <n v="3"/>
    <n v="0.22"/>
    <n v="0.19700000000000001"/>
    <n v="0.93"/>
    <n v="0.32840000000000003"/>
    <n v="7"/>
    <n v="41"/>
    <n v="48"/>
    <b v="1"/>
    <s v="January"/>
    <s v="Wednesday"/>
    <s v="Weekday"/>
    <s v="Spring"/>
    <x v="2"/>
    <s v="Off Peak"/>
    <s v="Low"/>
    <s v="High"/>
  </r>
  <r>
    <n v="583"/>
    <d v="2011-01-26T00:00:00"/>
    <n v="1"/>
    <n v="0"/>
    <n v="1"/>
    <x v="13"/>
    <b v="0"/>
    <n v="3"/>
    <n v="3"/>
    <n v="0.22"/>
    <n v="0.19700000000000001"/>
    <n v="0.93"/>
    <n v="0.32840000000000003"/>
    <n v="4"/>
    <n v="43"/>
    <n v="47"/>
    <b v="1"/>
    <s v="January"/>
    <s v="Wednesday"/>
    <s v="Weekday"/>
    <s v="Spring"/>
    <x v="2"/>
    <s v="Off Peak"/>
    <s v="Low"/>
    <s v="High"/>
  </r>
  <r>
    <n v="584"/>
    <d v="2011-01-26T00:00:00"/>
    <n v="1"/>
    <n v="0"/>
    <n v="1"/>
    <x v="14"/>
    <b v="0"/>
    <n v="3"/>
    <n v="3"/>
    <n v="0.22"/>
    <n v="0.19700000000000001"/>
    <n v="0.93"/>
    <n v="0.35820000000000002"/>
    <n v="0"/>
    <n v="36"/>
    <n v="36"/>
    <b v="1"/>
    <s v="January"/>
    <s v="Wednesday"/>
    <s v="Weekday"/>
    <s v="Spring"/>
    <x v="2"/>
    <s v="Off Peak"/>
    <s v="Low"/>
    <s v="High"/>
  </r>
  <r>
    <n v="585"/>
    <d v="2011-01-26T00:00:00"/>
    <n v="1"/>
    <n v="0"/>
    <n v="1"/>
    <x v="15"/>
    <b v="0"/>
    <n v="3"/>
    <n v="3"/>
    <n v="0.22"/>
    <n v="0.18179999999999999"/>
    <n v="0.93"/>
    <n v="0.4627"/>
    <n v="1"/>
    <n v="42"/>
    <n v="43"/>
    <b v="1"/>
    <s v="January"/>
    <s v="Wednesday"/>
    <s v="Weekday"/>
    <s v="Spring"/>
    <x v="2"/>
    <s v="Off Peak"/>
    <s v="Low"/>
    <s v="High"/>
  </r>
  <r>
    <n v="586"/>
    <d v="2011-01-26T00:00:00"/>
    <n v="1"/>
    <n v="0"/>
    <n v="1"/>
    <x v="16"/>
    <b v="0"/>
    <n v="3"/>
    <n v="4"/>
    <n v="0.22"/>
    <n v="0.19700000000000001"/>
    <n v="0.93"/>
    <n v="0.32840000000000003"/>
    <n v="1"/>
    <n v="35"/>
    <n v="36"/>
    <b v="1"/>
    <s v="January"/>
    <s v="Wednesday"/>
    <s v="Weekday"/>
    <s v="Spring"/>
    <x v="3"/>
    <s v="Off Peak"/>
    <s v="Low"/>
    <s v="High"/>
  </r>
  <r>
    <n v="587"/>
    <d v="2011-01-26T00:00:00"/>
    <n v="1"/>
    <n v="0"/>
    <n v="1"/>
    <x v="17"/>
    <b v="0"/>
    <n v="3"/>
    <n v="3"/>
    <n v="0.2"/>
    <n v="0.18179999999999999"/>
    <n v="0.93"/>
    <n v="0.35820000000000002"/>
    <n v="0"/>
    <n v="26"/>
    <n v="26"/>
    <b v="1"/>
    <s v="January"/>
    <s v="Wednesday"/>
    <s v="Weekday"/>
    <s v="Spring"/>
    <x v="2"/>
    <s v="Evening Peak"/>
    <s v="Low"/>
    <s v="High"/>
  </r>
  <r>
    <n v="588"/>
    <d v="2011-01-27T00:00:00"/>
    <n v="1"/>
    <n v="0"/>
    <n v="1"/>
    <x v="16"/>
    <b v="0"/>
    <n v="4"/>
    <n v="1"/>
    <n v="0.22"/>
    <n v="0.2273"/>
    <n v="0.55000000000000004"/>
    <n v="0.19400000000000001"/>
    <n v="1"/>
    <n v="23"/>
    <n v="24"/>
    <b v="1"/>
    <s v="January"/>
    <s v="Thursday"/>
    <s v="Weekday"/>
    <s v="Spring"/>
    <x v="0"/>
    <s v="Off Peak"/>
    <s v="Low"/>
    <s v="Medium"/>
  </r>
  <r>
    <n v="589"/>
    <d v="2011-01-27T00:00:00"/>
    <n v="1"/>
    <n v="0"/>
    <n v="1"/>
    <x v="17"/>
    <b v="0"/>
    <n v="4"/>
    <n v="1"/>
    <n v="0.22"/>
    <n v="0.2424"/>
    <n v="0.55000000000000004"/>
    <n v="0.1045"/>
    <n v="2"/>
    <n v="82"/>
    <n v="84"/>
    <b v="1"/>
    <s v="January"/>
    <s v="Thursday"/>
    <s v="Weekday"/>
    <s v="Spring"/>
    <x v="0"/>
    <s v="Evening Peak"/>
    <s v="Low"/>
    <s v="Medium"/>
  </r>
  <r>
    <n v="590"/>
    <d v="2011-01-27T00:00:00"/>
    <n v="1"/>
    <n v="0"/>
    <n v="1"/>
    <x v="18"/>
    <b v="0"/>
    <n v="4"/>
    <n v="1"/>
    <n v="0.2"/>
    <n v="0.2273"/>
    <n v="0.69"/>
    <n v="8.9599999999999999E-2"/>
    <n v="3"/>
    <n v="101"/>
    <n v="104"/>
    <b v="1"/>
    <s v="January"/>
    <s v="Thursday"/>
    <s v="Weekday"/>
    <s v="Spring"/>
    <x v="0"/>
    <s v="Evening Peak"/>
    <s v="Low"/>
    <s v="Medium"/>
  </r>
  <r>
    <n v="591"/>
    <d v="2011-01-27T00:00:00"/>
    <n v="1"/>
    <n v="0"/>
    <n v="1"/>
    <x v="19"/>
    <b v="0"/>
    <n v="4"/>
    <n v="1"/>
    <n v="0.2"/>
    <n v="0.2273"/>
    <n v="0.69"/>
    <n v="8.9599999999999999E-2"/>
    <n v="3"/>
    <n v="76"/>
    <n v="79"/>
    <b v="1"/>
    <s v="January"/>
    <s v="Thursday"/>
    <s v="Weekday"/>
    <s v="Spring"/>
    <x v="0"/>
    <s v="Evening Peak"/>
    <s v="Low"/>
    <s v="Medium"/>
  </r>
  <r>
    <n v="592"/>
    <d v="2011-01-27T00:00:00"/>
    <n v="1"/>
    <n v="0"/>
    <n v="1"/>
    <x v="20"/>
    <b v="0"/>
    <n v="4"/>
    <n v="1"/>
    <n v="0.18"/>
    <n v="0.21210000000000001"/>
    <n v="0.74"/>
    <n v="8.9599999999999999E-2"/>
    <n v="4"/>
    <n v="55"/>
    <n v="59"/>
    <b v="1"/>
    <s v="January"/>
    <s v="Thursday"/>
    <s v="Weekday"/>
    <s v="Spring"/>
    <x v="0"/>
    <s v="Evening Peak"/>
    <s v="Low"/>
    <s v="High"/>
  </r>
  <r>
    <n v="593"/>
    <d v="2011-01-27T00:00:00"/>
    <n v="1"/>
    <n v="0"/>
    <n v="1"/>
    <x v="21"/>
    <b v="0"/>
    <n v="4"/>
    <n v="1"/>
    <n v="0.18"/>
    <n v="0.21210000000000001"/>
    <n v="0.74"/>
    <n v="8.9599999999999999E-2"/>
    <n v="2"/>
    <n v="36"/>
    <n v="38"/>
    <b v="1"/>
    <s v="January"/>
    <s v="Thursday"/>
    <s v="Weekday"/>
    <s v="Spring"/>
    <x v="0"/>
    <s v="Off Peak"/>
    <s v="Low"/>
    <s v="High"/>
  </r>
  <r>
    <n v="594"/>
    <d v="2011-01-27T00:00:00"/>
    <n v="1"/>
    <n v="0"/>
    <n v="1"/>
    <x v="22"/>
    <b v="0"/>
    <n v="4"/>
    <n v="1"/>
    <n v="0.18"/>
    <n v="0.21210000000000001"/>
    <n v="0.74"/>
    <n v="8.9599999999999999E-2"/>
    <n v="0"/>
    <n v="27"/>
    <n v="27"/>
    <b v="1"/>
    <s v="January"/>
    <s v="Thursday"/>
    <s v="Weekday"/>
    <s v="Spring"/>
    <x v="0"/>
    <s v="Off Peak"/>
    <s v="Low"/>
    <s v="High"/>
  </r>
  <r>
    <n v="595"/>
    <d v="2011-01-27T00:00:00"/>
    <n v="1"/>
    <n v="0"/>
    <n v="1"/>
    <x v="23"/>
    <b v="0"/>
    <n v="4"/>
    <n v="1"/>
    <n v="0.18"/>
    <n v="0.19700000000000001"/>
    <n v="0.8"/>
    <n v="0.16420000000000001"/>
    <n v="0"/>
    <n v="16"/>
    <n v="16"/>
    <b v="1"/>
    <s v="January"/>
    <s v="Thursday"/>
    <s v="Weekday"/>
    <s v="Spring"/>
    <x v="0"/>
    <s v="Off Peak"/>
    <s v="Low"/>
    <s v="High"/>
  </r>
  <r>
    <n v="596"/>
    <d v="2011-01-28T00:00:00"/>
    <n v="1"/>
    <n v="0"/>
    <n v="1"/>
    <x v="0"/>
    <b v="0"/>
    <n v="5"/>
    <n v="2"/>
    <n v="0.2"/>
    <n v="0.21210000000000001"/>
    <n v="0.75"/>
    <n v="0.1343"/>
    <n v="0"/>
    <n v="9"/>
    <n v="9"/>
    <b v="1"/>
    <s v="January"/>
    <s v="Friday"/>
    <s v="Weekday"/>
    <s v="Spring"/>
    <x v="1"/>
    <s v="Off Peak"/>
    <s v="Low"/>
    <s v="High"/>
  </r>
  <r>
    <n v="597"/>
    <d v="2011-01-28T00:00:00"/>
    <n v="1"/>
    <n v="0"/>
    <n v="1"/>
    <x v="1"/>
    <b v="0"/>
    <n v="5"/>
    <n v="2"/>
    <n v="0.2"/>
    <n v="0.21210000000000001"/>
    <n v="0.75"/>
    <n v="0.1343"/>
    <n v="1"/>
    <n v="2"/>
    <n v="3"/>
    <b v="1"/>
    <s v="January"/>
    <s v="Friday"/>
    <s v="Weekday"/>
    <s v="Spring"/>
    <x v="1"/>
    <s v="Off Peak"/>
    <s v="Low"/>
    <s v="High"/>
  </r>
  <r>
    <n v="598"/>
    <d v="2011-01-28T00:00:00"/>
    <n v="1"/>
    <n v="0"/>
    <n v="1"/>
    <x v="2"/>
    <b v="0"/>
    <n v="5"/>
    <n v="2"/>
    <n v="0.2"/>
    <n v="0.21210000000000001"/>
    <n v="0.75"/>
    <n v="0.16420000000000001"/>
    <n v="0"/>
    <n v="2"/>
    <n v="2"/>
    <b v="1"/>
    <s v="January"/>
    <s v="Friday"/>
    <s v="Weekday"/>
    <s v="Spring"/>
    <x v="1"/>
    <s v="Off Peak"/>
    <s v="Low"/>
    <s v="High"/>
  </r>
  <r>
    <n v="599"/>
    <d v="2011-01-28T00:00:00"/>
    <n v="1"/>
    <n v="0"/>
    <n v="1"/>
    <x v="3"/>
    <b v="0"/>
    <n v="5"/>
    <n v="2"/>
    <n v="0.2"/>
    <n v="0.2273"/>
    <n v="0.75"/>
    <n v="0.1045"/>
    <n v="1"/>
    <n v="0"/>
    <n v="1"/>
    <b v="1"/>
    <s v="January"/>
    <s v="Friday"/>
    <s v="Weekday"/>
    <s v="Spring"/>
    <x v="1"/>
    <s v="Off Peak"/>
    <s v="Low"/>
    <s v="High"/>
  </r>
  <r>
    <n v="600"/>
    <d v="2011-01-28T00:00:00"/>
    <n v="1"/>
    <n v="0"/>
    <n v="1"/>
    <x v="5"/>
    <b v="0"/>
    <n v="5"/>
    <n v="2"/>
    <n v="0.18"/>
    <n v="0.21210000000000001"/>
    <n v="0.8"/>
    <n v="0.1045"/>
    <n v="0"/>
    <n v="4"/>
    <n v="4"/>
    <b v="1"/>
    <s v="January"/>
    <s v="Friday"/>
    <s v="Weekday"/>
    <s v="Spring"/>
    <x v="1"/>
    <s v="Off Peak"/>
    <s v="Low"/>
    <s v="High"/>
  </r>
  <r>
    <n v="601"/>
    <d v="2011-01-28T00:00:00"/>
    <n v="1"/>
    <n v="0"/>
    <n v="1"/>
    <x v="6"/>
    <b v="0"/>
    <n v="5"/>
    <n v="2"/>
    <n v="0.18"/>
    <n v="0.19700000000000001"/>
    <n v="0.8"/>
    <n v="0.1343"/>
    <n v="0"/>
    <n v="16"/>
    <n v="16"/>
    <b v="1"/>
    <s v="January"/>
    <s v="Friday"/>
    <s v="Weekday"/>
    <s v="Spring"/>
    <x v="1"/>
    <s v="Off Peak"/>
    <s v="Low"/>
    <s v="High"/>
  </r>
  <r>
    <n v="602"/>
    <d v="2011-01-28T00:00:00"/>
    <n v="1"/>
    <n v="0"/>
    <n v="1"/>
    <x v="7"/>
    <b v="0"/>
    <n v="5"/>
    <n v="2"/>
    <n v="0.16"/>
    <n v="0.19700000000000001"/>
    <n v="0.86"/>
    <n v="8.9599999999999999E-2"/>
    <n v="2"/>
    <n v="58"/>
    <n v="60"/>
    <b v="1"/>
    <s v="January"/>
    <s v="Friday"/>
    <s v="Weekday"/>
    <s v="Spring"/>
    <x v="1"/>
    <s v="Morning Peak"/>
    <s v="Low"/>
    <s v="High"/>
  </r>
  <r>
    <n v="603"/>
    <d v="2011-01-28T00:00:00"/>
    <n v="1"/>
    <n v="0"/>
    <n v="1"/>
    <x v="8"/>
    <b v="0"/>
    <n v="5"/>
    <n v="2"/>
    <n v="0.16"/>
    <n v="0.19700000000000001"/>
    <n v="0.86"/>
    <n v="8.9599999999999999E-2"/>
    <n v="2"/>
    <n v="155"/>
    <n v="157"/>
    <b v="1"/>
    <s v="January"/>
    <s v="Friday"/>
    <s v="Weekday"/>
    <s v="Spring"/>
    <x v="1"/>
    <s v="Morning Peak"/>
    <s v="Low"/>
    <s v="High"/>
  </r>
  <r>
    <n v="604"/>
    <d v="2011-01-28T00:00:00"/>
    <n v="1"/>
    <n v="0"/>
    <n v="1"/>
    <x v="9"/>
    <b v="0"/>
    <n v="5"/>
    <n v="3"/>
    <n v="0.18"/>
    <n v="0.21210000000000001"/>
    <n v="0.86"/>
    <n v="8.9599999999999999E-2"/>
    <n v="6"/>
    <n v="95"/>
    <n v="101"/>
    <b v="1"/>
    <s v="January"/>
    <s v="Friday"/>
    <s v="Weekday"/>
    <s v="Spring"/>
    <x v="2"/>
    <s v="Morning Peak"/>
    <s v="Low"/>
    <s v="High"/>
  </r>
  <r>
    <n v="605"/>
    <d v="2011-01-28T00:00:00"/>
    <n v="1"/>
    <n v="0"/>
    <n v="1"/>
    <x v="10"/>
    <b v="0"/>
    <n v="5"/>
    <n v="3"/>
    <n v="0.18"/>
    <n v="0.21210000000000001"/>
    <n v="0.86"/>
    <n v="0.1045"/>
    <n v="0"/>
    <n v="49"/>
    <n v="49"/>
    <b v="1"/>
    <s v="January"/>
    <s v="Friday"/>
    <s v="Weekday"/>
    <s v="Spring"/>
    <x v="2"/>
    <s v="Off Peak"/>
    <s v="Low"/>
    <s v="High"/>
  </r>
  <r>
    <n v="606"/>
    <d v="2011-01-28T00:00:00"/>
    <n v="1"/>
    <n v="0"/>
    <n v="1"/>
    <x v="11"/>
    <b v="0"/>
    <n v="5"/>
    <n v="3"/>
    <n v="0.18"/>
    <n v="0.21210000000000001"/>
    <n v="0.93"/>
    <n v="0.1045"/>
    <n v="0"/>
    <n v="30"/>
    <n v="30"/>
    <b v="1"/>
    <s v="January"/>
    <s v="Friday"/>
    <s v="Weekday"/>
    <s v="Spring"/>
    <x v="2"/>
    <s v="Off Peak"/>
    <s v="Low"/>
    <s v="High"/>
  </r>
  <r>
    <n v="607"/>
    <d v="2011-01-28T00:00:00"/>
    <n v="1"/>
    <n v="0"/>
    <n v="1"/>
    <x v="12"/>
    <b v="0"/>
    <n v="5"/>
    <n v="3"/>
    <n v="0.18"/>
    <n v="0.21210000000000001"/>
    <n v="0.93"/>
    <n v="0.1045"/>
    <n v="1"/>
    <n v="28"/>
    <n v="29"/>
    <b v="1"/>
    <s v="January"/>
    <s v="Friday"/>
    <s v="Weekday"/>
    <s v="Spring"/>
    <x v="2"/>
    <s v="Off Peak"/>
    <s v="Low"/>
    <s v="High"/>
  </r>
  <r>
    <n v="608"/>
    <d v="2011-01-28T00:00:00"/>
    <n v="1"/>
    <n v="0"/>
    <n v="1"/>
    <x v="13"/>
    <b v="0"/>
    <n v="5"/>
    <n v="3"/>
    <n v="0.18"/>
    <n v="0.21210000000000001"/>
    <n v="0.93"/>
    <n v="0.1045"/>
    <n v="0"/>
    <n v="31"/>
    <n v="31"/>
    <b v="1"/>
    <s v="January"/>
    <s v="Friday"/>
    <s v="Weekday"/>
    <s v="Spring"/>
    <x v="2"/>
    <s v="Off Peak"/>
    <s v="Low"/>
    <s v="High"/>
  </r>
  <r>
    <n v="609"/>
    <d v="2011-01-28T00:00:00"/>
    <n v="1"/>
    <n v="0"/>
    <n v="1"/>
    <x v="14"/>
    <b v="0"/>
    <n v="5"/>
    <n v="3"/>
    <n v="0.22"/>
    <n v="0.2727"/>
    <n v="0.8"/>
    <n v="0"/>
    <n v="2"/>
    <n v="36"/>
    <n v="38"/>
    <b v="1"/>
    <s v="January"/>
    <s v="Friday"/>
    <s v="Weekday"/>
    <s v="Spring"/>
    <x v="2"/>
    <s v="Off Peak"/>
    <s v="Low"/>
    <s v="High"/>
  </r>
  <r>
    <n v="610"/>
    <d v="2011-01-28T00:00:00"/>
    <n v="1"/>
    <n v="0"/>
    <n v="1"/>
    <x v="15"/>
    <b v="0"/>
    <n v="5"/>
    <n v="2"/>
    <n v="0.2"/>
    <n v="0.2576"/>
    <n v="0.86"/>
    <n v="0"/>
    <n v="1"/>
    <n v="40"/>
    <n v="41"/>
    <b v="1"/>
    <s v="January"/>
    <s v="Friday"/>
    <s v="Weekday"/>
    <s v="Spring"/>
    <x v="1"/>
    <s v="Off Peak"/>
    <s v="Low"/>
    <s v="High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11">
  <r>
    <n v="1"/>
    <d v="2011-01-01T00:00:00"/>
    <n v="1"/>
    <n v="0"/>
    <n v="1"/>
    <n v="0"/>
    <b v="0"/>
    <n v="6"/>
    <n v="1"/>
    <n v="0.24"/>
    <n v="0.28789999999999999"/>
    <n v="0.81"/>
    <n v="0"/>
    <n v="3"/>
    <n v="13"/>
    <n v="16"/>
    <b v="1"/>
    <s v="January"/>
    <s v="Saturday"/>
    <s v="Weekend"/>
    <s v="Spring"/>
    <s v="Clear"/>
    <x v="0"/>
    <x v="0"/>
    <s v="High"/>
  </r>
  <r>
    <n v="2"/>
    <d v="2011-01-01T00:00:00"/>
    <n v="1"/>
    <n v="0"/>
    <n v="1"/>
    <n v="1"/>
    <b v="0"/>
    <n v="6"/>
    <n v="1"/>
    <n v="0.22"/>
    <n v="0.2727"/>
    <n v="0.8"/>
    <n v="0"/>
    <n v="8"/>
    <n v="32"/>
    <n v="40"/>
    <b v="1"/>
    <s v="January"/>
    <s v="Saturday"/>
    <s v="Weekend"/>
    <s v="Spring"/>
    <s v="Clear"/>
    <x v="0"/>
    <x v="0"/>
    <s v="High"/>
  </r>
  <r>
    <n v="3"/>
    <d v="2011-01-01T00:00:00"/>
    <n v="1"/>
    <n v="0"/>
    <n v="1"/>
    <n v="2"/>
    <b v="0"/>
    <n v="6"/>
    <n v="1"/>
    <n v="0.22"/>
    <n v="0.2727"/>
    <n v="0.8"/>
    <n v="0"/>
    <n v="5"/>
    <n v="27"/>
    <n v="32"/>
    <b v="1"/>
    <s v="January"/>
    <s v="Saturday"/>
    <s v="Weekend"/>
    <s v="Spring"/>
    <s v="Clear"/>
    <x v="0"/>
    <x v="0"/>
    <s v="High"/>
  </r>
  <r>
    <n v="4"/>
    <d v="2011-01-01T00:00:00"/>
    <n v="1"/>
    <n v="0"/>
    <n v="1"/>
    <n v="3"/>
    <b v="0"/>
    <n v="6"/>
    <n v="1"/>
    <n v="0.24"/>
    <n v="0.28789999999999999"/>
    <n v="0.75"/>
    <n v="0"/>
    <n v="3"/>
    <n v="10"/>
    <n v="13"/>
    <b v="1"/>
    <s v="January"/>
    <s v="Saturday"/>
    <s v="Weekend"/>
    <s v="Spring"/>
    <s v="Clear"/>
    <x v="0"/>
    <x v="0"/>
    <s v="High"/>
  </r>
  <r>
    <n v="5"/>
    <d v="2011-01-01T00:00:00"/>
    <n v="1"/>
    <n v="0"/>
    <n v="1"/>
    <n v="4"/>
    <b v="0"/>
    <n v="6"/>
    <n v="1"/>
    <n v="0.24"/>
    <n v="0.28789999999999999"/>
    <n v="0.75"/>
    <n v="0"/>
    <n v="0"/>
    <n v="1"/>
    <n v="1"/>
    <b v="1"/>
    <s v="January"/>
    <s v="Saturday"/>
    <s v="Weekend"/>
    <s v="Spring"/>
    <s v="Clear"/>
    <x v="0"/>
    <x v="0"/>
    <s v="High"/>
  </r>
  <r>
    <n v="6"/>
    <d v="2011-01-01T00:00:00"/>
    <n v="1"/>
    <n v="0"/>
    <n v="1"/>
    <n v="5"/>
    <b v="0"/>
    <n v="6"/>
    <n v="2"/>
    <n v="0.24"/>
    <n v="0.2576"/>
    <n v="0.75"/>
    <n v="8.9599999999999999E-2"/>
    <n v="0"/>
    <n v="1"/>
    <n v="1"/>
    <b v="1"/>
    <s v="January"/>
    <s v="Saturday"/>
    <s v="Weekend"/>
    <s v="Spring"/>
    <s v="Mist"/>
    <x v="0"/>
    <x v="0"/>
    <s v="High"/>
  </r>
  <r>
    <n v="7"/>
    <d v="2011-01-01T00:00:00"/>
    <n v="1"/>
    <n v="0"/>
    <n v="1"/>
    <n v="6"/>
    <b v="0"/>
    <n v="6"/>
    <n v="1"/>
    <n v="0.22"/>
    <n v="0.2727"/>
    <n v="0.8"/>
    <n v="0"/>
    <n v="2"/>
    <n v="0"/>
    <n v="2"/>
    <b v="1"/>
    <s v="January"/>
    <s v="Saturday"/>
    <s v="Weekend"/>
    <s v="Spring"/>
    <s v="Clear"/>
    <x v="0"/>
    <x v="0"/>
    <s v="High"/>
  </r>
  <r>
    <n v="8"/>
    <d v="2011-01-01T00:00:00"/>
    <n v="1"/>
    <n v="0"/>
    <n v="1"/>
    <n v="7"/>
    <b v="0"/>
    <n v="6"/>
    <n v="1"/>
    <n v="0.2"/>
    <n v="0.2576"/>
    <n v="0.86"/>
    <n v="0"/>
    <n v="1"/>
    <n v="2"/>
    <n v="3"/>
    <b v="1"/>
    <s v="January"/>
    <s v="Saturday"/>
    <s v="Weekend"/>
    <s v="Spring"/>
    <s v="Clear"/>
    <x v="1"/>
    <x v="0"/>
    <s v="High"/>
  </r>
  <r>
    <n v="9"/>
    <d v="2011-01-01T00:00:00"/>
    <n v="1"/>
    <n v="0"/>
    <n v="1"/>
    <n v="8"/>
    <b v="0"/>
    <n v="6"/>
    <n v="1"/>
    <n v="0.24"/>
    <n v="0"/>
    <n v="0.75"/>
    <n v="0"/>
    <n v="1"/>
    <n v="7"/>
    <n v="8"/>
    <b v="1"/>
    <s v="January"/>
    <s v="Saturday"/>
    <s v="Weekend"/>
    <s v="Spring"/>
    <s v="Clear"/>
    <x v="1"/>
    <x v="0"/>
    <s v="High"/>
  </r>
  <r>
    <n v="10"/>
    <d v="2011-01-01T00:00:00"/>
    <n v="1"/>
    <n v="0"/>
    <n v="1"/>
    <n v="9"/>
    <b v="0"/>
    <n v="6"/>
    <n v="1"/>
    <n v="0.32"/>
    <n v="0.34849999999999998"/>
    <n v="0.76"/>
    <n v="0"/>
    <n v="8"/>
    <n v="6"/>
    <n v="14"/>
    <b v="1"/>
    <s v="January"/>
    <s v="Saturday"/>
    <s v="Weekend"/>
    <s v="Spring"/>
    <s v="Clear"/>
    <x v="1"/>
    <x v="1"/>
    <s v="High"/>
  </r>
  <r>
    <n v="11"/>
    <d v="2011-01-01T00:00:00"/>
    <n v="1"/>
    <n v="0"/>
    <n v="1"/>
    <n v="10"/>
    <b v="0"/>
    <n v="6"/>
    <n v="1"/>
    <n v="0.38"/>
    <n v="0.39389999999999997"/>
    <n v="0.76"/>
    <n v="0.25369999999999998"/>
    <n v="12"/>
    <n v="24"/>
    <n v="36"/>
    <b v="1"/>
    <s v="January"/>
    <s v="Saturday"/>
    <s v="Weekend"/>
    <s v="Spring"/>
    <s v="Clear"/>
    <x v="0"/>
    <x v="1"/>
    <s v="High"/>
  </r>
  <r>
    <n v="12"/>
    <d v="2011-01-01T00:00:00"/>
    <n v="1"/>
    <n v="0"/>
    <n v="1"/>
    <n v="11"/>
    <b v="0"/>
    <n v="6"/>
    <n v="1"/>
    <n v="0.36"/>
    <n v="0.33329999999999999"/>
    <n v="0.81"/>
    <n v="0.28360000000000002"/>
    <n v="26"/>
    <n v="30"/>
    <n v="56"/>
    <b v="1"/>
    <s v="January"/>
    <s v="Saturday"/>
    <s v="Weekend"/>
    <s v="Spring"/>
    <s v="Clear"/>
    <x v="0"/>
    <x v="1"/>
    <s v="High"/>
  </r>
  <r>
    <n v="13"/>
    <d v="2011-01-01T00:00:00"/>
    <n v="1"/>
    <n v="0"/>
    <n v="1"/>
    <n v="12"/>
    <b v="0"/>
    <n v="6"/>
    <n v="1"/>
    <n v="0.42"/>
    <n v="0.42420000000000002"/>
    <n v="0.77"/>
    <n v="0.28360000000000002"/>
    <n v="29"/>
    <n v="55"/>
    <n v="84"/>
    <b v="1"/>
    <s v="January"/>
    <s v="Saturday"/>
    <s v="Weekend"/>
    <s v="Spring"/>
    <s v="Clear"/>
    <x v="0"/>
    <x v="1"/>
    <s v="High"/>
  </r>
  <r>
    <n v="14"/>
    <d v="2011-01-01T00:00:00"/>
    <n v="1"/>
    <n v="0"/>
    <n v="1"/>
    <n v="13"/>
    <b v="0"/>
    <n v="6"/>
    <n v="2"/>
    <n v="0.46"/>
    <n v="0.45450000000000002"/>
    <n v="0.72"/>
    <n v="0.29849999999999999"/>
    <n v="47"/>
    <n v="47"/>
    <n v="94"/>
    <b v="1"/>
    <s v="January"/>
    <s v="Saturday"/>
    <s v="Weekend"/>
    <s v="Spring"/>
    <s v="Mist"/>
    <x v="0"/>
    <x v="1"/>
    <s v="High"/>
  </r>
  <r>
    <n v="15"/>
    <d v="2011-01-01T00:00:00"/>
    <n v="1"/>
    <n v="0"/>
    <n v="1"/>
    <n v="14"/>
    <b v="0"/>
    <n v="6"/>
    <n v="2"/>
    <n v="0.46"/>
    <n v="0.45450000000000002"/>
    <n v="0.72"/>
    <n v="0.28360000000000002"/>
    <n v="35"/>
    <n v="71"/>
    <n v="106"/>
    <b v="1"/>
    <s v="January"/>
    <s v="Saturday"/>
    <s v="Weekend"/>
    <s v="Spring"/>
    <s v="Mist"/>
    <x v="0"/>
    <x v="1"/>
    <s v="High"/>
  </r>
  <r>
    <n v="16"/>
    <d v="2011-01-01T00:00:00"/>
    <n v="1"/>
    <n v="0"/>
    <n v="1"/>
    <n v="15"/>
    <b v="0"/>
    <n v="6"/>
    <n v="2"/>
    <n v="0.44"/>
    <n v="0.43940000000000001"/>
    <n v="0.77"/>
    <n v="0.29849999999999999"/>
    <n v="40"/>
    <n v="70"/>
    <n v="110"/>
    <b v="1"/>
    <s v="January"/>
    <s v="Saturday"/>
    <s v="Weekend"/>
    <s v="Spring"/>
    <s v="Mist"/>
    <x v="0"/>
    <x v="1"/>
    <s v="High"/>
  </r>
  <r>
    <n v="17"/>
    <d v="2011-01-01T00:00:00"/>
    <n v="1"/>
    <n v="0"/>
    <n v="1"/>
    <n v="16"/>
    <b v="0"/>
    <n v="6"/>
    <n v="2"/>
    <n v="0.42"/>
    <n v="0.42420000000000002"/>
    <n v="0.82"/>
    <n v="0.29849999999999999"/>
    <n v="41"/>
    <n v="52"/>
    <n v="93"/>
    <b v="1"/>
    <s v="January"/>
    <s v="Saturday"/>
    <s v="Weekend"/>
    <s v="Spring"/>
    <s v="Mist"/>
    <x v="0"/>
    <x v="1"/>
    <s v="High"/>
  </r>
  <r>
    <n v="18"/>
    <d v="2011-01-01T00:00:00"/>
    <n v="1"/>
    <n v="0"/>
    <n v="1"/>
    <n v="17"/>
    <b v="0"/>
    <n v="6"/>
    <n v="2"/>
    <n v="0.44"/>
    <n v="0"/>
    <n v="0.82"/>
    <n v="0.28360000000000002"/>
    <n v="15"/>
    <n v="52"/>
    <n v="67"/>
    <b v="1"/>
    <s v="January"/>
    <s v="Saturday"/>
    <s v="Weekend"/>
    <s v="Spring"/>
    <s v="Mist"/>
    <x v="2"/>
    <x v="1"/>
    <s v="High"/>
  </r>
  <r>
    <n v="19"/>
    <d v="2011-01-01T00:00:00"/>
    <n v="1"/>
    <n v="0"/>
    <n v="1"/>
    <n v="18"/>
    <b v="0"/>
    <n v="6"/>
    <n v="3"/>
    <n v="0.42"/>
    <n v="0.42420000000000002"/>
    <n v="0.88"/>
    <n v="0.25369999999999998"/>
    <n v="9"/>
    <n v="26"/>
    <n v="35"/>
    <b v="1"/>
    <s v="January"/>
    <s v="Saturday"/>
    <s v="Weekend"/>
    <s v="Spring"/>
    <s v="Light Rain"/>
    <x v="2"/>
    <x v="1"/>
    <s v="High"/>
  </r>
  <r>
    <n v="20"/>
    <d v="2011-01-01T00:00:00"/>
    <n v="1"/>
    <n v="0"/>
    <n v="1"/>
    <n v="19"/>
    <b v="0"/>
    <n v="6"/>
    <n v="3"/>
    <n v="0.42"/>
    <n v="0.42420000000000002"/>
    <n v="0.88"/>
    <n v="0.25369999999999998"/>
    <n v="6"/>
    <n v="31"/>
    <n v="37"/>
    <b v="1"/>
    <s v="January"/>
    <s v="Saturday"/>
    <s v="Weekend"/>
    <s v="Spring"/>
    <s v="Light Rain"/>
    <x v="2"/>
    <x v="1"/>
    <s v="High"/>
  </r>
  <r>
    <n v="21"/>
    <d v="2011-01-01T00:00:00"/>
    <n v="1"/>
    <n v="0"/>
    <n v="1"/>
    <n v="20"/>
    <b v="0"/>
    <n v="6"/>
    <n v="2"/>
    <n v="0.4"/>
    <n v="0.40910000000000002"/>
    <n v="0.87"/>
    <n v="0.25369999999999998"/>
    <n v="11"/>
    <n v="25"/>
    <n v="36"/>
    <b v="1"/>
    <s v="January"/>
    <s v="Saturday"/>
    <s v="Weekend"/>
    <s v="Spring"/>
    <s v="Mist"/>
    <x v="2"/>
    <x v="1"/>
    <s v="High"/>
  </r>
  <r>
    <n v="22"/>
    <d v="2011-01-01T00:00:00"/>
    <n v="1"/>
    <n v="0"/>
    <n v="1"/>
    <n v="21"/>
    <b v="0"/>
    <n v="6"/>
    <n v="2"/>
    <n v="0.4"/>
    <n v="0.40910000000000002"/>
    <n v="0.87"/>
    <n v="0.19400000000000001"/>
    <n v="3"/>
    <n v="31"/>
    <n v="34"/>
    <b v="1"/>
    <s v="January"/>
    <s v="Saturday"/>
    <s v="Weekend"/>
    <s v="Spring"/>
    <s v="Mist"/>
    <x v="0"/>
    <x v="1"/>
    <s v="High"/>
  </r>
  <r>
    <n v="23"/>
    <d v="2011-01-01T00:00:00"/>
    <n v="1"/>
    <n v="0"/>
    <n v="1"/>
    <n v="22"/>
    <b v="0"/>
    <n v="6"/>
    <n v="2"/>
    <n v="0.4"/>
    <n v="0.40910000000000002"/>
    <n v="0.94"/>
    <n v="0.22389999999999999"/>
    <n v="11"/>
    <n v="17"/>
    <n v="28"/>
    <b v="1"/>
    <s v="January"/>
    <s v="Saturday"/>
    <s v="Weekend"/>
    <s v="Spring"/>
    <s v="Mist"/>
    <x v="0"/>
    <x v="1"/>
    <s v="High"/>
  </r>
  <r>
    <n v="24"/>
    <d v="2011-01-01T00:00:00"/>
    <n v="1"/>
    <n v="0"/>
    <n v="1"/>
    <n v="23"/>
    <b v="0"/>
    <n v="6"/>
    <n v="2"/>
    <n v="0.46"/>
    <n v="0"/>
    <n v="0.88"/>
    <n v="0.29849999999999999"/>
    <n v="15"/>
    <n v="24"/>
    <n v="39"/>
    <b v="1"/>
    <s v="January"/>
    <s v="Saturday"/>
    <s v="Weekend"/>
    <s v="Spring"/>
    <s v="Mist"/>
    <x v="0"/>
    <x v="1"/>
    <s v="High"/>
  </r>
  <r>
    <n v="25"/>
    <d v="2011-01-02T00:00:00"/>
    <n v="1"/>
    <n v="0"/>
    <n v="1"/>
    <n v="0"/>
    <b v="0"/>
    <n v="0"/>
    <n v="2"/>
    <n v="0.46"/>
    <n v="0.45450000000000002"/>
    <n v="0.88"/>
    <n v="0.29849999999999999"/>
    <n v="4"/>
    <n v="13"/>
    <n v="17"/>
    <b v="1"/>
    <s v="January"/>
    <s v="Sunday"/>
    <s v="Weekend"/>
    <s v="Spring"/>
    <s v="Mist"/>
    <x v="0"/>
    <x v="1"/>
    <s v="High"/>
  </r>
  <r>
    <n v="26"/>
    <d v="2011-01-02T00:00:00"/>
    <n v="1"/>
    <n v="0"/>
    <n v="1"/>
    <n v="1"/>
    <b v="0"/>
    <n v="0"/>
    <n v="2"/>
    <n v="0.44"/>
    <n v="0.43940000000000001"/>
    <n v="0.94"/>
    <n v="0.25369999999999998"/>
    <n v="1"/>
    <n v="16"/>
    <n v="17"/>
    <b v="1"/>
    <s v="January"/>
    <s v="Sunday"/>
    <s v="Weekend"/>
    <s v="Spring"/>
    <s v="Mist"/>
    <x v="0"/>
    <x v="1"/>
    <s v="High"/>
  </r>
  <r>
    <n v="27"/>
    <d v="2011-01-02T00:00:00"/>
    <n v="1"/>
    <n v="0"/>
    <n v="1"/>
    <n v="2"/>
    <b v="0"/>
    <n v="0"/>
    <n v="2"/>
    <n v="0.42"/>
    <n v="0.42420000000000002"/>
    <n v="1"/>
    <n v="0.28360000000000002"/>
    <n v="1"/>
    <n v="8"/>
    <n v="9"/>
    <b v="1"/>
    <s v="January"/>
    <s v="Sunday"/>
    <s v="Weekend"/>
    <s v="Spring"/>
    <s v="Mist"/>
    <x v="0"/>
    <x v="1"/>
    <s v="High"/>
  </r>
  <r>
    <n v="28"/>
    <d v="2011-01-02T00:00:00"/>
    <n v="1"/>
    <n v="0"/>
    <n v="1"/>
    <n v="3"/>
    <b v="0"/>
    <n v="0"/>
    <n v="2"/>
    <n v="0.46"/>
    <n v="0.45450000000000002"/>
    <n v="0.94"/>
    <n v="0.19400000000000001"/>
    <n v="2"/>
    <n v="4"/>
    <n v="6"/>
    <b v="1"/>
    <s v="January"/>
    <s v="Sunday"/>
    <s v="Weekend"/>
    <s v="Spring"/>
    <s v="Mist"/>
    <x v="0"/>
    <x v="1"/>
    <s v="High"/>
  </r>
  <r>
    <n v="29"/>
    <d v="2011-01-02T00:00:00"/>
    <n v="1"/>
    <n v="0"/>
    <n v="1"/>
    <n v="4"/>
    <b v="0"/>
    <n v="0"/>
    <n v="2"/>
    <n v="0.46"/>
    <n v="0"/>
    <n v="0.94"/>
    <n v="0.19400000000000001"/>
    <n v="2"/>
    <n v="1"/>
    <n v="3"/>
    <b v="1"/>
    <s v="January"/>
    <s v="Sunday"/>
    <s v="Weekend"/>
    <s v="Spring"/>
    <s v="Mist"/>
    <x v="0"/>
    <x v="1"/>
    <s v="High"/>
  </r>
  <r>
    <n v="30"/>
    <d v="2011-01-02T00:00:00"/>
    <n v="1"/>
    <n v="0"/>
    <n v="1"/>
    <n v="6"/>
    <b v="0"/>
    <n v="0"/>
    <n v="3"/>
    <n v="0.42"/>
    <n v="0.42420000000000002"/>
    <n v="0.77"/>
    <n v="0.29849999999999999"/>
    <n v="0"/>
    <n v="2"/>
    <n v="2"/>
    <b v="1"/>
    <s v="January"/>
    <s v="Sunday"/>
    <s v="Weekend"/>
    <s v="Spring"/>
    <s v="Light Rain"/>
    <x v="0"/>
    <x v="1"/>
    <s v="High"/>
  </r>
  <r>
    <n v="31"/>
    <d v="2011-01-02T00:00:00"/>
    <n v="1"/>
    <n v="0"/>
    <n v="1"/>
    <n v="7"/>
    <b v="0"/>
    <n v="0"/>
    <n v="2"/>
    <n v="0.4"/>
    <n v="0.40910000000000002"/>
    <n v="0.76"/>
    <n v="0.19400000000000001"/>
    <n v="0"/>
    <n v="1"/>
    <n v="1"/>
    <b v="1"/>
    <s v="January"/>
    <s v="Sunday"/>
    <s v="Weekend"/>
    <s v="Spring"/>
    <s v="Mist"/>
    <x v="1"/>
    <x v="1"/>
    <s v="High"/>
  </r>
  <r>
    <n v="32"/>
    <d v="2011-01-02T00:00:00"/>
    <n v="1"/>
    <n v="0"/>
    <n v="1"/>
    <n v="8"/>
    <b v="0"/>
    <n v="0"/>
    <n v="3"/>
    <n v="0.4"/>
    <n v="0.40910000000000002"/>
    <n v="0.71"/>
    <n v="0.22389999999999999"/>
    <n v="0"/>
    <n v="8"/>
    <n v="8"/>
    <b v="1"/>
    <s v="January"/>
    <s v="Sunday"/>
    <s v="Weekend"/>
    <s v="Spring"/>
    <s v="Light Rain"/>
    <x v="1"/>
    <x v="1"/>
    <s v="High"/>
  </r>
  <r>
    <n v="33"/>
    <d v="2011-01-02T00:00:00"/>
    <n v="1"/>
    <n v="0"/>
    <n v="1"/>
    <n v="9"/>
    <b v="0"/>
    <n v="0"/>
    <n v="2"/>
    <n v="0.38"/>
    <n v="0"/>
    <n v="0.76"/>
    <n v="0.22389999999999999"/>
    <n v="1"/>
    <n v="19"/>
    <n v="20"/>
    <b v="1"/>
    <s v="January"/>
    <s v="Sunday"/>
    <s v="Weekend"/>
    <s v="Spring"/>
    <s v="Mist"/>
    <x v="1"/>
    <x v="1"/>
    <s v="High"/>
  </r>
  <r>
    <n v="34"/>
    <d v="2011-01-02T00:00:00"/>
    <n v="1"/>
    <n v="0"/>
    <n v="1"/>
    <n v="10"/>
    <b v="0"/>
    <n v="0"/>
    <n v="2"/>
    <n v="0.36"/>
    <n v="0.34849999999999998"/>
    <n v="0.81"/>
    <n v="0.22389999999999999"/>
    <n v="7"/>
    <n v="46"/>
    <n v="53"/>
    <b v="1"/>
    <s v="January"/>
    <s v="Sunday"/>
    <s v="Weekend"/>
    <s v="Spring"/>
    <s v="Mist"/>
    <x v="0"/>
    <x v="1"/>
    <s v="High"/>
  </r>
  <r>
    <n v="35"/>
    <d v="2011-01-02T00:00:00"/>
    <n v="1"/>
    <n v="0"/>
    <n v="1"/>
    <n v="11"/>
    <b v="0"/>
    <n v="0"/>
    <n v="2"/>
    <n v="0.36"/>
    <n v="0.33329999999999999"/>
    <n v="0.71"/>
    <n v="0.25369999999999998"/>
    <n v="16"/>
    <n v="54"/>
    <n v="70"/>
    <b v="1"/>
    <s v="January"/>
    <s v="Sunday"/>
    <s v="Weekend"/>
    <s v="Spring"/>
    <s v="Mist"/>
    <x v="0"/>
    <x v="1"/>
    <s v="High"/>
  </r>
  <r>
    <n v="36"/>
    <d v="2011-01-02T00:00:00"/>
    <n v="1"/>
    <n v="0"/>
    <n v="1"/>
    <n v="12"/>
    <b v="0"/>
    <n v="0"/>
    <n v="2"/>
    <n v="0.36"/>
    <n v="0.33329999999999999"/>
    <n v="0.66"/>
    <n v="0.29849999999999999"/>
    <n v="20"/>
    <n v="73"/>
    <n v="93"/>
    <b v="1"/>
    <s v="January"/>
    <s v="Sunday"/>
    <s v="Weekend"/>
    <s v="Spring"/>
    <s v="Mist"/>
    <x v="0"/>
    <x v="1"/>
    <s v="Medium"/>
  </r>
  <r>
    <n v="37"/>
    <d v="2011-01-02T00:00:00"/>
    <n v="1"/>
    <n v="0"/>
    <n v="1"/>
    <n v="13"/>
    <b v="0"/>
    <n v="0"/>
    <n v="2"/>
    <n v="0.36"/>
    <n v="0.34849999999999998"/>
    <n v="0.66"/>
    <n v="0.1343"/>
    <n v="11"/>
    <n v="64"/>
    <n v="75"/>
    <b v="1"/>
    <s v="January"/>
    <s v="Sunday"/>
    <s v="Weekend"/>
    <s v="Spring"/>
    <s v="Mist"/>
    <x v="0"/>
    <x v="1"/>
    <s v="Medium"/>
  </r>
  <r>
    <n v="38"/>
    <d v="2011-01-02T00:00:00"/>
    <n v="1"/>
    <n v="0"/>
    <n v="1"/>
    <n v="14"/>
    <b v="0"/>
    <n v="0"/>
    <n v="3"/>
    <n v="0.36"/>
    <n v="0"/>
    <n v="0.76"/>
    <n v="0.19400000000000001"/>
    <n v="4"/>
    <n v="55"/>
    <n v="59"/>
    <b v="1"/>
    <s v="January"/>
    <s v="Sunday"/>
    <s v="Weekend"/>
    <s v="Spring"/>
    <s v="Light Rain"/>
    <x v="0"/>
    <x v="1"/>
    <s v="High"/>
  </r>
  <r>
    <n v="39"/>
    <d v="2011-01-02T00:00:00"/>
    <n v="1"/>
    <n v="0"/>
    <n v="1"/>
    <n v="15"/>
    <b v="0"/>
    <n v="0"/>
    <n v="3"/>
    <n v="0.34"/>
    <n v="0.33329999999999999"/>
    <n v="0.81"/>
    <n v="0.16420000000000001"/>
    <n v="19"/>
    <n v="55"/>
    <n v="74"/>
    <b v="1"/>
    <s v="January"/>
    <s v="Sunday"/>
    <s v="Weekend"/>
    <s v="Spring"/>
    <s v="Light Rain"/>
    <x v="0"/>
    <x v="1"/>
    <s v="High"/>
  </r>
  <r>
    <n v="40"/>
    <d v="2011-01-02T00:00:00"/>
    <n v="1"/>
    <n v="0"/>
    <n v="1"/>
    <n v="16"/>
    <b v="0"/>
    <n v="0"/>
    <n v="3"/>
    <n v="0.34"/>
    <n v="0.33329999999999999"/>
    <n v="0.71"/>
    <n v="0.16420000000000001"/>
    <n v="9"/>
    <n v="67"/>
    <n v="76"/>
    <b v="1"/>
    <s v="January"/>
    <s v="Sunday"/>
    <s v="Weekend"/>
    <s v="Spring"/>
    <s v="Light Rain"/>
    <x v="0"/>
    <x v="1"/>
    <s v="High"/>
  </r>
  <r>
    <n v="41"/>
    <d v="2011-01-02T00:00:00"/>
    <n v="1"/>
    <n v="0"/>
    <n v="1"/>
    <n v="17"/>
    <b v="0"/>
    <n v="0"/>
    <n v="1"/>
    <n v="0.34"/>
    <n v="0.33329999999999999"/>
    <n v="0.56999999999999995"/>
    <n v="0.19400000000000001"/>
    <n v="7"/>
    <n v="58"/>
    <n v="65"/>
    <b v="1"/>
    <s v="January"/>
    <s v="Sunday"/>
    <s v="Weekend"/>
    <s v="Spring"/>
    <s v="Clear"/>
    <x v="2"/>
    <x v="1"/>
    <s v="Medium"/>
  </r>
  <r>
    <n v="42"/>
    <d v="2011-01-02T00:00:00"/>
    <n v="1"/>
    <n v="0"/>
    <n v="1"/>
    <n v="18"/>
    <b v="0"/>
    <n v="0"/>
    <n v="2"/>
    <n v="0.36"/>
    <n v="0.33329999999999999"/>
    <n v="0.46"/>
    <n v="0.32840000000000003"/>
    <n v="10"/>
    <n v="43"/>
    <n v="53"/>
    <b v="1"/>
    <s v="January"/>
    <s v="Sunday"/>
    <s v="Weekend"/>
    <s v="Spring"/>
    <s v="Mist"/>
    <x v="2"/>
    <x v="1"/>
    <s v="Medium"/>
  </r>
  <r>
    <n v="43"/>
    <d v="2011-01-02T00:00:00"/>
    <n v="1"/>
    <n v="0"/>
    <n v="1"/>
    <n v="19"/>
    <b v="0"/>
    <n v="0"/>
    <n v="1"/>
    <n v="0.32"/>
    <n v="0.28789999999999999"/>
    <n v="0.42"/>
    <n v="0.44779999999999998"/>
    <n v="1"/>
    <n v="29"/>
    <n v="30"/>
    <b v="1"/>
    <s v="January"/>
    <s v="Sunday"/>
    <s v="Weekend"/>
    <s v="Spring"/>
    <s v="Clear"/>
    <x v="2"/>
    <x v="1"/>
    <s v="Medium"/>
  </r>
  <r>
    <n v="44"/>
    <d v="2011-01-02T00:00:00"/>
    <n v="1"/>
    <n v="0"/>
    <n v="1"/>
    <n v="20"/>
    <b v="0"/>
    <n v="0"/>
    <n v="1"/>
    <n v="0.3"/>
    <n v="0"/>
    <n v="0.39"/>
    <n v="0.35820000000000002"/>
    <n v="5"/>
    <n v="17"/>
    <n v="22"/>
    <b v="1"/>
    <s v="January"/>
    <s v="Sunday"/>
    <s v="Weekend"/>
    <s v="Spring"/>
    <s v="Clear"/>
    <x v="2"/>
    <x v="1"/>
    <s v="Low"/>
  </r>
  <r>
    <n v="45"/>
    <d v="2011-01-02T00:00:00"/>
    <n v="1"/>
    <n v="0"/>
    <n v="1"/>
    <n v="21"/>
    <b v="0"/>
    <n v="0"/>
    <n v="1"/>
    <n v="0.26"/>
    <n v="0.2273"/>
    <n v="0.44"/>
    <n v="0.32840000000000003"/>
    <n v="11"/>
    <n v="20"/>
    <n v="31"/>
    <b v="1"/>
    <s v="January"/>
    <s v="Sunday"/>
    <s v="Weekend"/>
    <s v="Spring"/>
    <s v="Clear"/>
    <x v="0"/>
    <x v="0"/>
    <s v="Medium"/>
  </r>
  <r>
    <n v="46"/>
    <d v="2011-01-02T00:00:00"/>
    <n v="1"/>
    <n v="0"/>
    <n v="1"/>
    <n v="22"/>
    <b v="0"/>
    <n v="0"/>
    <n v="1"/>
    <n v="0.24"/>
    <n v="0.21210000000000001"/>
    <n v="0.44"/>
    <n v="0.29849999999999999"/>
    <n v="0"/>
    <n v="9"/>
    <n v="9"/>
    <b v="1"/>
    <s v="January"/>
    <s v="Sunday"/>
    <s v="Weekend"/>
    <s v="Spring"/>
    <s v="Clear"/>
    <x v="0"/>
    <x v="0"/>
    <s v="Medium"/>
  </r>
  <r>
    <n v="47"/>
    <d v="2011-01-02T00:00:00"/>
    <n v="1"/>
    <n v="0"/>
    <n v="1"/>
    <n v="23"/>
    <b v="0"/>
    <n v="0"/>
    <n v="1"/>
    <n v="0.22"/>
    <n v="0.2273"/>
    <n v="0.47"/>
    <n v="0.16420000000000001"/>
    <n v="0"/>
    <n v="8"/>
    <n v="8"/>
    <b v="1"/>
    <s v="January"/>
    <s v="Sunday"/>
    <s v="Weekend"/>
    <s v="Spring"/>
    <s v="Clear"/>
    <x v="0"/>
    <x v="0"/>
    <s v="Medium"/>
  </r>
  <r>
    <n v="48"/>
    <d v="2011-01-03T00:00:00"/>
    <n v="1"/>
    <n v="0"/>
    <n v="1"/>
    <n v="0"/>
    <b v="0"/>
    <n v="1"/>
    <n v="1"/>
    <n v="0.22"/>
    <n v="0.19700000000000001"/>
    <n v="0.44"/>
    <n v="0.35820000000000002"/>
    <n v="0"/>
    <n v="5"/>
    <n v="5"/>
    <b v="1"/>
    <s v="January"/>
    <s v="Monday"/>
    <s v="Weekday"/>
    <s v="Spring"/>
    <s v="Clear"/>
    <x v="0"/>
    <x v="0"/>
    <s v="Medium"/>
  </r>
  <r>
    <n v="49"/>
    <d v="2011-01-03T00:00:00"/>
    <n v="1"/>
    <n v="0"/>
    <n v="1"/>
    <n v="1"/>
    <b v="0"/>
    <n v="1"/>
    <n v="1"/>
    <n v="0.2"/>
    <n v="0"/>
    <n v="0.44"/>
    <n v="0.41789999999999999"/>
    <n v="0"/>
    <n v="2"/>
    <n v="2"/>
    <b v="1"/>
    <s v="January"/>
    <s v="Monday"/>
    <s v="Weekday"/>
    <s v="Spring"/>
    <s v="Clear"/>
    <x v="0"/>
    <x v="0"/>
    <s v="Medium"/>
  </r>
  <r>
    <n v="50"/>
    <d v="2011-01-03T00:00:00"/>
    <n v="1"/>
    <n v="0"/>
    <n v="1"/>
    <n v="4"/>
    <b v="0"/>
    <n v="1"/>
    <n v="1"/>
    <n v="0.16"/>
    <n v="0.13639999999999999"/>
    <n v="0.47"/>
    <n v="0.3881"/>
    <n v="0"/>
    <n v="1"/>
    <n v="1"/>
    <b v="1"/>
    <s v="January"/>
    <s v="Monday"/>
    <s v="Weekday"/>
    <s v="Spring"/>
    <s v="Clear"/>
    <x v="0"/>
    <x v="0"/>
    <s v="Medium"/>
  </r>
  <r>
    <n v="51"/>
    <d v="2011-01-03T00:00:00"/>
    <n v="1"/>
    <n v="0"/>
    <n v="1"/>
    <n v="5"/>
    <b v="0"/>
    <n v="1"/>
    <n v="1"/>
    <n v="0.16"/>
    <n v="0.13639999999999999"/>
    <n v="0.47"/>
    <n v="0.28360000000000002"/>
    <n v="0"/>
    <n v="3"/>
    <n v="3"/>
    <b v="1"/>
    <s v="January"/>
    <s v="Monday"/>
    <s v="Weekday"/>
    <s v="Spring"/>
    <s v="Clear"/>
    <x v="0"/>
    <x v="0"/>
    <s v="Medium"/>
  </r>
  <r>
    <n v="52"/>
    <d v="2011-01-03T00:00:00"/>
    <n v="1"/>
    <n v="0"/>
    <n v="1"/>
    <n v="6"/>
    <b v="0"/>
    <n v="1"/>
    <n v="1"/>
    <n v="0.14000000000000001"/>
    <n v="0.1061"/>
    <n v="0.5"/>
    <n v="0.3881"/>
    <n v="0"/>
    <n v="30"/>
    <n v="30"/>
    <b v="1"/>
    <s v="January"/>
    <s v="Monday"/>
    <s v="Weekday"/>
    <s v="Spring"/>
    <s v="Clear"/>
    <x v="0"/>
    <x v="0"/>
    <s v="Medium"/>
  </r>
  <r>
    <n v="53"/>
    <d v="2011-01-03T00:00:00"/>
    <n v="1"/>
    <n v="0"/>
    <n v="1"/>
    <n v="7"/>
    <b v="0"/>
    <n v="1"/>
    <n v="1"/>
    <n v="0.14000000000000001"/>
    <n v="0.13639999999999999"/>
    <n v="0.5"/>
    <n v="0.19400000000000001"/>
    <n v="1"/>
    <n v="63"/>
    <n v="64"/>
    <b v="1"/>
    <s v="January"/>
    <s v="Monday"/>
    <s v="Weekday"/>
    <s v="Spring"/>
    <s v="Clear"/>
    <x v="1"/>
    <x v="0"/>
    <s v="Medium"/>
  </r>
  <r>
    <n v="54"/>
    <d v="2011-01-03T00:00:00"/>
    <n v="1"/>
    <n v="0"/>
    <n v="1"/>
    <n v="8"/>
    <b v="0"/>
    <n v="1"/>
    <n v="1"/>
    <n v="0.14000000000000001"/>
    <n v="0.1212"/>
    <n v="0.5"/>
    <n v="0.28360000000000002"/>
    <n v="1"/>
    <n v="153"/>
    <n v="154"/>
    <b v="1"/>
    <s v="January"/>
    <s v="Monday"/>
    <s v="Weekday"/>
    <s v="Spring"/>
    <s v="Clear"/>
    <x v="1"/>
    <x v="0"/>
    <s v="Medium"/>
  </r>
  <r>
    <n v="55"/>
    <d v="2011-01-03T00:00:00"/>
    <n v="1"/>
    <n v="0"/>
    <n v="1"/>
    <n v="9"/>
    <b v="0"/>
    <n v="1"/>
    <n v="1"/>
    <n v="0.16"/>
    <n v="0.13639999999999999"/>
    <n v="0.43"/>
    <n v="0.3881"/>
    <n v="7"/>
    <n v="81"/>
    <n v="88"/>
    <b v="1"/>
    <s v="January"/>
    <s v="Monday"/>
    <s v="Weekday"/>
    <s v="Spring"/>
    <s v="Clear"/>
    <x v="1"/>
    <x v="0"/>
    <s v="Medium"/>
  </r>
  <r>
    <n v="56"/>
    <d v="2011-01-03T00:00:00"/>
    <n v="1"/>
    <n v="0"/>
    <n v="1"/>
    <n v="10"/>
    <b v="0"/>
    <n v="1"/>
    <n v="1"/>
    <n v="0.18"/>
    <n v="0.16669999999999999"/>
    <n v="0.43"/>
    <n v="0.25369999999999998"/>
    <n v="11"/>
    <n v="33"/>
    <n v="44"/>
    <b v="1"/>
    <s v="January"/>
    <s v="Monday"/>
    <s v="Weekday"/>
    <s v="Spring"/>
    <s v="Clear"/>
    <x v="0"/>
    <x v="0"/>
    <s v="Medium"/>
  </r>
  <r>
    <n v="57"/>
    <d v="2011-01-03T00:00:00"/>
    <n v="1"/>
    <n v="0"/>
    <n v="1"/>
    <n v="11"/>
    <b v="0"/>
    <n v="1"/>
    <n v="1"/>
    <n v="0.2"/>
    <n v="0.18179999999999999"/>
    <n v="0.4"/>
    <n v="0.32840000000000003"/>
    <n v="10"/>
    <n v="41"/>
    <n v="51"/>
    <b v="1"/>
    <s v="January"/>
    <s v="Monday"/>
    <s v="Weekday"/>
    <s v="Spring"/>
    <s v="Clear"/>
    <x v="0"/>
    <x v="0"/>
    <s v="Medium"/>
  </r>
  <r>
    <n v="58"/>
    <d v="2011-01-03T00:00:00"/>
    <n v="1"/>
    <n v="0"/>
    <n v="1"/>
    <n v="12"/>
    <b v="0"/>
    <n v="1"/>
    <n v="1"/>
    <n v="0.22"/>
    <n v="0.21210000000000001"/>
    <n v="0.35"/>
    <n v="0.29849999999999999"/>
    <n v="13"/>
    <n v="48"/>
    <n v="61"/>
    <b v="1"/>
    <s v="January"/>
    <s v="Monday"/>
    <s v="Weekday"/>
    <s v="Spring"/>
    <s v="Clear"/>
    <x v="0"/>
    <x v="0"/>
    <s v="Low"/>
  </r>
  <r>
    <n v="59"/>
    <d v="2011-01-03T00:00:00"/>
    <n v="1"/>
    <n v="0"/>
    <n v="1"/>
    <n v="13"/>
    <b v="0"/>
    <n v="1"/>
    <n v="1"/>
    <n v="0.24"/>
    <n v="0"/>
    <n v="0.35"/>
    <n v="0.28360000000000002"/>
    <n v="8"/>
    <n v="53"/>
    <n v="61"/>
    <b v="1"/>
    <s v="January"/>
    <s v="Monday"/>
    <s v="Weekday"/>
    <s v="Spring"/>
    <s v="Clear"/>
    <x v="0"/>
    <x v="0"/>
    <s v="Low"/>
  </r>
  <r>
    <n v="60"/>
    <d v="2011-01-03T00:00:00"/>
    <n v="1"/>
    <n v="0"/>
    <n v="1"/>
    <n v="14"/>
    <b v="0"/>
    <n v="1"/>
    <n v="1"/>
    <n v="0.26"/>
    <n v="0.2424"/>
    <n v="0.3"/>
    <n v="0.28360000000000002"/>
    <n v="11"/>
    <n v="66"/>
    <n v="77"/>
    <b v="1"/>
    <s v="January"/>
    <s v="Monday"/>
    <s v="Weekday"/>
    <s v="Spring"/>
    <s v="Clear"/>
    <x v="0"/>
    <x v="0"/>
    <s v="Low"/>
  </r>
  <r>
    <n v="61"/>
    <d v="2011-01-03T00:00:00"/>
    <n v="1"/>
    <n v="0"/>
    <n v="1"/>
    <n v="15"/>
    <b v="0"/>
    <n v="1"/>
    <n v="1"/>
    <n v="0.26"/>
    <n v="0.2424"/>
    <n v="0.3"/>
    <n v="0.25369999999999998"/>
    <n v="14"/>
    <n v="58"/>
    <n v="72"/>
    <b v="1"/>
    <s v="January"/>
    <s v="Monday"/>
    <s v="Weekday"/>
    <s v="Spring"/>
    <s v="Clear"/>
    <x v="0"/>
    <x v="0"/>
    <s v="Low"/>
  </r>
  <r>
    <n v="62"/>
    <d v="2011-01-03T00:00:00"/>
    <n v="1"/>
    <n v="0"/>
    <n v="1"/>
    <n v="16"/>
    <b v="0"/>
    <n v="1"/>
    <n v="1"/>
    <n v="0.26"/>
    <n v="0.2424"/>
    <n v="0.3"/>
    <n v="0.25369999999999998"/>
    <n v="9"/>
    <n v="67"/>
    <n v="76"/>
    <b v="1"/>
    <s v="January"/>
    <s v="Monday"/>
    <s v="Weekday"/>
    <s v="Spring"/>
    <s v="Clear"/>
    <x v="0"/>
    <x v="0"/>
    <s v="Low"/>
  </r>
  <r>
    <n v="63"/>
    <d v="2011-01-03T00:00:00"/>
    <n v="1"/>
    <n v="0"/>
    <n v="1"/>
    <n v="17"/>
    <b v="0"/>
    <n v="1"/>
    <n v="1"/>
    <n v="0.24"/>
    <n v="0.2273"/>
    <n v="0.3"/>
    <n v="0.22389999999999999"/>
    <n v="11"/>
    <n v="146"/>
    <n v="157"/>
    <b v="1"/>
    <s v="January"/>
    <s v="Monday"/>
    <s v="Weekday"/>
    <s v="Spring"/>
    <s v="Clear"/>
    <x v="2"/>
    <x v="0"/>
    <s v="Low"/>
  </r>
  <r>
    <n v="64"/>
    <d v="2011-01-03T00:00:00"/>
    <n v="1"/>
    <n v="0"/>
    <n v="1"/>
    <n v="18"/>
    <b v="0"/>
    <n v="1"/>
    <n v="1"/>
    <n v="0.24"/>
    <n v="0.2576"/>
    <n v="0.32"/>
    <n v="0.1045"/>
    <n v="9"/>
    <n v="148"/>
    <n v="157"/>
    <b v="1"/>
    <s v="January"/>
    <s v="Monday"/>
    <s v="Weekday"/>
    <s v="Spring"/>
    <s v="Clear"/>
    <x v="2"/>
    <x v="0"/>
    <s v="Low"/>
  </r>
  <r>
    <n v="65"/>
    <d v="2011-01-03T00:00:00"/>
    <n v="1"/>
    <n v="0"/>
    <n v="1"/>
    <n v="19"/>
    <b v="0"/>
    <n v="1"/>
    <n v="1"/>
    <n v="0.2"/>
    <n v="0.2576"/>
    <n v="0.47"/>
    <n v="0"/>
    <n v="8"/>
    <n v="102"/>
    <n v="110"/>
    <b v="1"/>
    <s v="January"/>
    <s v="Monday"/>
    <s v="Weekday"/>
    <s v="Spring"/>
    <s v="Clear"/>
    <x v="2"/>
    <x v="0"/>
    <s v="Medium"/>
  </r>
  <r>
    <n v="66"/>
    <d v="2011-01-03T00:00:00"/>
    <n v="1"/>
    <n v="0"/>
    <n v="1"/>
    <n v="20"/>
    <b v="0"/>
    <n v="1"/>
    <n v="1"/>
    <n v="0.2"/>
    <n v="0"/>
    <n v="0.47"/>
    <n v="0.1045"/>
    <n v="3"/>
    <n v="49"/>
    <n v="52"/>
    <b v="1"/>
    <s v="January"/>
    <s v="Monday"/>
    <s v="Weekday"/>
    <s v="Spring"/>
    <s v="Clear"/>
    <x v="2"/>
    <x v="0"/>
    <s v="Medium"/>
  </r>
  <r>
    <n v="67"/>
    <d v="2011-01-03T00:00:00"/>
    <n v="1"/>
    <n v="0"/>
    <n v="1"/>
    <n v="21"/>
    <b v="0"/>
    <n v="1"/>
    <n v="1"/>
    <n v="0.18"/>
    <n v="0.19700000000000001"/>
    <n v="0.64"/>
    <n v="0.1343"/>
    <n v="3"/>
    <n v="49"/>
    <n v="52"/>
    <b v="1"/>
    <s v="January"/>
    <s v="Monday"/>
    <s v="Weekday"/>
    <s v="Spring"/>
    <s v="Clear"/>
    <x v="0"/>
    <x v="0"/>
    <s v="Medium"/>
  </r>
  <r>
    <n v="68"/>
    <d v="2011-01-03T00:00:00"/>
    <n v="1"/>
    <n v="0"/>
    <n v="1"/>
    <n v="22"/>
    <b v="0"/>
    <n v="1"/>
    <n v="1"/>
    <n v="0.14000000000000001"/>
    <n v="0.1515"/>
    <n v="0.69"/>
    <n v="0.1343"/>
    <n v="0"/>
    <n v="20"/>
    <n v="20"/>
    <b v="1"/>
    <s v="January"/>
    <s v="Monday"/>
    <s v="Weekday"/>
    <s v="Spring"/>
    <s v="Clear"/>
    <x v="0"/>
    <x v="0"/>
    <s v="Medium"/>
  </r>
  <r>
    <n v="69"/>
    <d v="2011-01-03T00:00:00"/>
    <n v="1"/>
    <n v="0"/>
    <n v="1"/>
    <n v="23"/>
    <b v="0"/>
    <n v="1"/>
    <n v="1"/>
    <n v="0.18"/>
    <n v="0.21210000000000001"/>
    <n v="0.55000000000000004"/>
    <n v="0.1045"/>
    <n v="1"/>
    <n v="11"/>
    <n v="12"/>
    <b v="1"/>
    <s v="January"/>
    <s v="Monday"/>
    <s v="Weekday"/>
    <s v="Spring"/>
    <s v="Clear"/>
    <x v="0"/>
    <x v="0"/>
    <s v="Medium"/>
  </r>
  <r>
    <n v="70"/>
    <d v="2011-01-04T00:00:00"/>
    <n v="1"/>
    <n v="0"/>
    <n v="1"/>
    <n v="0"/>
    <b v="0"/>
    <n v="2"/>
    <n v="1"/>
    <n v="0.16"/>
    <n v="0"/>
    <n v="0.55000000000000004"/>
    <n v="0.1045"/>
    <n v="0"/>
    <n v="5"/>
    <n v="5"/>
    <b v="1"/>
    <s v="January"/>
    <s v="Tuesday"/>
    <s v="Weekday"/>
    <s v="Spring"/>
    <s v="Clear"/>
    <x v="0"/>
    <x v="0"/>
    <s v="Medium"/>
  </r>
  <r>
    <n v="71"/>
    <d v="2011-01-04T00:00:00"/>
    <n v="1"/>
    <n v="0"/>
    <n v="1"/>
    <n v="1"/>
    <b v="0"/>
    <n v="2"/>
    <n v="1"/>
    <n v="0.16"/>
    <n v="0.18179999999999999"/>
    <n v="0.59"/>
    <n v="0.1045"/>
    <n v="0"/>
    <n v="2"/>
    <n v="2"/>
    <b v="1"/>
    <s v="January"/>
    <s v="Tuesday"/>
    <s v="Weekday"/>
    <s v="Spring"/>
    <s v="Clear"/>
    <x v="0"/>
    <x v="0"/>
    <s v="Medium"/>
  </r>
  <r>
    <n v="72"/>
    <d v="2011-01-04T00:00:00"/>
    <n v="1"/>
    <n v="0"/>
    <n v="1"/>
    <n v="2"/>
    <b v="0"/>
    <n v="2"/>
    <n v="1"/>
    <n v="0.14000000000000001"/>
    <n v="0.1515"/>
    <n v="0.63"/>
    <n v="0.1343"/>
    <n v="0"/>
    <n v="1"/>
    <n v="1"/>
    <b v="1"/>
    <s v="January"/>
    <s v="Tuesday"/>
    <s v="Weekday"/>
    <s v="Spring"/>
    <s v="Clear"/>
    <x v="0"/>
    <x v="0"/>
    <s v="Medium"/>
  </r>
  <r>
    <n v="73"/>
    <d v="2011-01-04T00:00:00"/>
    <n v="1"/>
    <n v="0"/>
    <n v="1"/>
    <n v="4"/>
    <b v="0"/>
    <n v="2"/>
    <n v="1"/>
    <n v="0.14000000000000001"/>
    <n v="0.18179999999999999"/>
    <n v="0.63"/>
    <n v="8.9599999999999999E-2"/>
    <n v="0"/>
    <n v="2"/>
    <n v="2"/>
    <b v="1"/>
    <s v="January"/>
    <s v="Tuesday"/>
    <s v="Weekday"/>
    <s v="Spring"/>
    <s v="Clear"/>
    <x v="0"/>
    <x v="0"/>
    <s v="Medium"/>
  </r>
  <r>
    <n v="74"/>
    <d v="2011-01-04T00:00:00"/>
    <n v="1"/>
    <n v="0"/>
    <n v="1"/>
    <n v="5"/>
    <b v="0"/>
    <n v="2"/>
    <n v="1"/>
    <n v="0.12"/>
    <n v="0.1515"/>
    <n v="0.68"/>
    <n v="0.1045"/>
    <n v="0"/>
    <n v="4"/>
    <n v="4"/>
    <b v="1"/>
    <s v="January"/>
    <s v="Tuesday"/>
    <s v="Weekday"/>
    <s v="Spring"/>
    <s v="Clear"/>
    <x v="0"/>
    <x v="0"/>
    <s v="Medium"/>
  </r>
  <r>
    <n v="75"/>
    <d v="2011-01-04T00:00:00"/>
    <n v="1"/>
    <n v="0"/>
    <n v="1"/>
    <n v="6"/>
    <b v="0"/>
    <n v="2"/>
    <n v="1"/>
    <n v="0.12"/>
    <n v="0.1515"/>
    <n v="0.74"/>
    <n v="0.1045"/>
    <n v="0"/>
    <n v="36"/>
    <n v="36"/>
    <b v="1"/>
    <s v="January"/>
    <s v="Tuesday"/>
    <s v="Weekday"/>
    <s v="Spring"/>
    <s v="Clear"/>
    <x v="0"/>
    <x v="0"/>
    <s v="High"/>
  </r>
  <r>
    <n v="76"/>
    <d v="2011-01-04T00:00:00"/>
    <n v="1"/>
    <n v="0"/>
    <n v="1"/>
    <n v="7"/>
    <b v="0"/>
    <n v="2"/>
    <n v="1"/>
    <n v="0.12"/>
    <n v="0.1515"/>
    <n v="0.74"/>
    <n v="0.1343"/>
    <n v="2"/>
    <n v="92"/>
    <n v="94"/>
    <b v="1"/>
    <s v="January"/>
    <s v="Tuesday"/>
    <s v="Weekday"/>
    <s v="Spring"/>
    <s v="Clear"/>
    <x v="1"/>
    <x v="0"/>
    <s v="High"/>
  </r>
  <r>
    <n v="77"/>
    <d v="2011-01-04T00:00:00"/>
    <n v="1"/>
    <n v="0"/>
    <n v="1"/>
    <n v="8"/>
    <b v="0"/>
    <n v="2"/>
    <n v="1"/>
    <n v="0.14000000000000001"/>
    <n v="0.1515"/>
    <n v="0.69"/>
    <n v="0.16420000000000001"/>
    <n v="2"/>
    <n v="177"/>
    <n v="179"/>
    <b v="1"/>
    <s v="January"/>
    <s v="Tuesday"/>
    <s v="Weekday"/>
    <s v="Spring"/>
    <s v="Clear"/>
    <x v="1"/>
    <x v="0"/>
    <s v="Medium"/>
  </r>
  <r>
    <n v="78"/>
    <d v="2011-01-04T00:00:00"/>
    <n v="1"/>
    <n v="0"/>
    <n v="1"/>
    <n v="9"/>
    <b v="0"/>
    <n v="2"/>
    <n v="1"/>
    <n v="0.16"/>
    <n v="0.1515"/>
    <n v="0.64"/>
    <n v="0.22389999999999999"/>
    <n v="2"/>
    <n v="98"/>
    <n v="100"/>
    <b v="1"/>
    <s v="January"/>
    <s v="Tuesday"/>
    <s v="Weekday"/>
    <s v="Spring"/>
    <s v="Clear"/>
    <x v="1"/>
    <x v="0"/>
    <s v="Medium"/>
  </r>
  <r>
    <n v="79"/>
    <d v="2011-01-04T00:00:00"/>
    <n v="1"/>
    <n v="0"/>
    <n v="1"/>
    <n v="10"/>
    <b v="0"/>
    <n v="2"/>
    <n v="2"/>
    <n v="0.16"/>
    <n v="0.13639999999999999"/>
    <n v="0.69"/>
    <n v="0.32840000000000003"/>
    <n v="5"/>
    <n v="37"/>
    <n v="42"/>
    <b v="1"/>
    <s v="January"/>
    <s v="Tuesday"/>
    <s v="Weekday"/>
    <s v="Spring"/>
    <s v="Mist"/>
    <x v="0"/>
    <x v="0"/>
    <s v="Medium"/>
  </r>
  <r>
    <n v="80"/>
    <d v="2011-01-04T00:00:00"/>
    <n v="1"/>
    <n v="0"/>
    <n v="1"/>
    <n v="11"/>
    <b v="0"/>
    <n v="2"/>
    <n v="1"/>
    <n v="0.22"/>
    <n v="0.21210000000000001"/>
    <n v="0.51"/>
    <n v="0.29849999999999999"/>
    <n v="7"/>
    <n v="50"/>
    <n v="57"/>
    <b v="1"/>
    <s v="January"/>
    <s v="Tuesday"/>
    <s v="Weekday"/>
    <s v="Spring"/>
    <s v="Clear"/>
    <x v="0"/>
    <x v="0"/>
    <s v="Medium"/>
  </r>
  <r>
    <n v="81"/>
    <d v="2011-01-04T00:00:00"/>
    <n v="1"/>
    <n v="0"/>
    <n v="1"/>
    <n v="12"/>
    <b v="0"/>
    <n v="2"/>
    <n v="1"/>
    <n v="0.22"/>
    <n v="0.2273"/>
    <n v="0.51"/>
    <n v="0.16420000000000001"/>
    <n v="12"/>
    <n v="66"/>
    <n v="78"/>
    <b v="1"/>
    <s v="January"/>
    <s v="Tuesday"/>
    <s v="Weekday"/>
    <s v="Spring"/>
    <s v="Clear"/>
    <x v="0"/>
    <x v="0"/>
    <s v="Medium"/>
  </r>
  <r>
    <n v="82"/>
    <d v="2011-01-04T00:00:00"/>
    <n v="1"/>
    <n v="0"/>
    <n v="1"/>
    <n v="13"/>
    <b v="0"/>
    <n v="2"/>
    <n v="1"/>
    <n v="0.24"/>
    <n v="0.2273"/>
    <n v="0.56000000000000005"/>
    <n v="0.19400000000000001"/>
    <n v="18"/>
    <n v="79"/>
    <n v="97"/>
    <b v="1"/>
    <s v="January"/>
    <s v="Tuesday"/>
    <s v="Weekday"/>
    <s v="Spring"/>
    <s v="Clear"/>
    <x v="0"/>
    <x v="0"/>
    <s v="Medium"/>
  </r>
  <r>
    <n v="83"/>
    <d v="2011-01-04T00:00:00"/>
    <n v="1"/>
    <n v="0"/>
    <n v="1"/>
    <n v="14"/>
    <b v="0"/>
    <n v="2"/>
    <n v="1"/>
    <n v="0.26"/>
    <n v="0.2576"/>
    <n v="0.52"/>
    <n v="0.22389999999999999"/>
    <n v="9"/>
    <n v="54"/>
    <n v="63"/>
    <b v="1"/>
    <s v="January"/>
    <s v="Tuesday"/>
    <s v="Weekday"/>
    <s v="Spring"/>
    <s v="Clear"/>
    <x v="0"/>
    <x v="0"/>
    <s v="Medium"/>
  </r>
  <r>
    <n v="84"/>
    <d v="2011-01-04T00:00:00"/>
    <n v="1"/>
    <n v="0"/>
    <n v="1"/>
    <n v="15"/>
    <b v="0"/>
    <n v="2"/>
    <n v="1"/>
    <n v="0.28000000000000003"/>
    <n v="0.2727"/>
    <n v="0.52"/>
    <n v="0.25369999999999998"/>
    <n v="17"/>
    <n v="48"/>
    <n v="65"/>
    <b v="1"/>
    <s v="January"/>
    <s v="Tuesday"/>
    <s v="Weekday"/>
    <s v="Spring"/>
    <s v="Clear"/>
    <x v="0"/>
    <x v="0"/>
    <s v="Medium"/>
  </r>
  <r>
    <n v="85"/>
    <d v="2011-01-04T00:00:00"/>
    <n v="1"/>
    <n v="0"/>
    <n v="1"/>
    <n v="16"/>
    <b v="0"/>
    <n v="2"/>
    <n v="1"/>
    <n v="0.3"/>
    <n v="0.28789999999999999"/>
    <n v="0.49"/>
    <n v="0.25369999999999998"/>
    <n v="15"/>
    <n v="68"/>
    <n v="83"/>
    <b v="1"/>
    <s v="January"/>
    <s v="Tuesday"/>
    <s v="Weekday"/>
    <s v="Spring"/>
    <s v="Clear"/>
    <x v="0"/>
    <x v="1"/>
    <s v="Medium"/>
  </r>
  <r>
    <n v="86"/>
    <d v="2011-01-04T00:00:00"/>
    <n v="1"/>
    <n v="0"/>
    <n v="1"/>
    <n v="17"/>
    <b v="0"/>
    <n v="2"/>
    <n v="1"/>
    <n v="0.28000000000000003"/>
    <n v="0.2727"/>
    <n v="0.48"/>
    <n v="0.22389999999999999"/>
    <n v="10"/>
    <n v="202"/>
    <n v="212"/>
    <b v="1"/>
    <s v="January"/>
    <s v="Tuesday"/>
    <s v="Weekday"/>
    <s v="Spring"/>
    <s v="Clear"/>
    <x v="2"/>
    <x v="0"/>
    <s v="Medium"/>
  </r>
  <r>
    <n v="87"/>
    <d v="2011-01-04T00:00:00"/>
    <n v="1"/>
    <n v="0"/>
    <n v="1"/>
    <n v="18"/>
    <b v="0"/>
    <n v="2"/>
    <n v="1"/>
    <n v="0.26"/>
    <n v="0.2576"/>
    <n v="0.48"/>
    <n v="0.19400000000000001"/>
    <n v="3"/>
    <n v="179"/>
    <n v="182"/>
    <b v="1"/>
    <s v="January"/>
    <s v="Tuesday"/>
    <s v="Weekday"/>
    <s v="Spring"/>
    <s v="Clear"/>
    <x v="2"/>
    <x v="0"/>
    <s v="Medium"/>
  </r>
  <r>
    <n v="88"/>
    <d v="2011-01-04T00:00:00"/>
    <n v="1"/>
    <n v="0"/>
    <n v="1"/>
    <n v="19"/>
    <b v="0"/>
    <n v="2"/>
    <n v="1"/>
    <n v="0.24"/>
    <n v="0.2576"/>
    <n v="0.48"/>
    <n v="0.1045"/>
    <n v="2"/>
    <n v="110"/>
    <n v="112"/>
    <b v="1"/>
    <s v="January"/>
    <s v="Tuesday"/>
    <s v="Weekday"/>
    <s v="Spring"/>
    <s v="Clear"/>
    <x v="2"/>
    <x v="0"/>
    <s v="Medium"/>
  </r>
  <r>
    <n v="89"/>
    <d v="2011-01-04T00:00:00"/>
    <n v="1"/>
    <n v="0"/>
    <n v="1"/>
    <n v="20"/>
    <b v="0"/>
    <n v="2"/>
    <n v="1"/>
    <n v="0.24"/>
    <n v="0.2576"/>
    <n v="0.48"/>
    <n v="0.1045"/>
    <n v="1"/>
    <n v="53"/>
    <n v="54"/>
    <b v="1"/>
    <s v="January"/>
    <s v="Tuesday"/>
    <s v="Weekday"/>
    <s v="Spring"/>
    <s v="Clear"/>
    <x v="2"/>
    <x v="0"/>
    <s v="Medium"/>
  </r>
  <r>
    <n v="90"/>
    <d v="2011-01-04T00:00:00"/>
    <n v="1"/>
    <n v="0"/>
    <n v="1"/>
    <n v="21"/>
    <b v="0"/>
    <n v="2"/>
    <n v="1"/>
    <n v="0.22"/>
    <n v="0.2727"/>
    <n v="0.64"/>
    <n v="0"/>
    <n v="0"/>
    <n v="48"/>
    <n v="48"/>
    <b v="1"/>
    <s v="January"/>
    <s v="Tuesday"/>
    <s v="Weekday"/>
    <s v="Spring"/>
    <s v="Clear"/>
    <x v="0"/>
    <x v="0"/>
    <s v="Medium"/>
  </r>
  <r>
    <n v="91"/>
    <d v="2011-01-04T00:00:00"/>
    <n v="1"/>
    <n v="0"/>
    <n v="1"/>
    <n v="22"/>
    <b v="0"/>
    <n v="2"/>
    <n v="1"/>
    <n v="0.22"/>
    <n v="0.2576"/>
    <n v="0.64"/>
    <n v="8.9599999999999999E-2"/>
    <n v="1"/>
    <n v="34"/>
    <n v="35"/>
    <b v="1"/>
    <s v="January"/>
    <s v="Tuesday"/>
    <s v="Weekday"/>
    <s v="Spring"/>
    <s v="Clear"/>
    <x v="0"/>
    <x v="0"/>
    <s v="Medium"/>
  </r>
  <r>
    <n v="92"/>
    <d v="2011-01-04T00:00:00"/>
    <n v="1"/>
    <n v="0"/>
    <n v="1"/>
    <n v="23"/>
    <b v="0"/>
    <n v="2"/>
    <n v="1"/>
    <n v="0.2"/>
    <n v="0.2273"/>
    <n v="0.69"/>
    <n v="8.9599999999999999E-2"/>
    <n v="2"/>
    <n v="9"/>
    <n v="11"/>
    <b v="1"/>
    <s v="January"/>
    <s v="Tuesday"/>
    <s v="Weekday"/>
    <s v="Spring"/>
    <s v="Clear"/>
    <x v="0"/>
    <x v="0"/>
    <s v="Medium"/>
  </r>
  <r>
    <n v="93"/>
    <d v="2011-01-05T00:00:00"/>
    <n v="1"/>
    <n v="0"/>
    <n v="1"/>
    <n v="0"/>
    <b v="0"/>
    <n v="3"/>
    <n v="1"/>
    <n v="0.2"/>
    <n v="0.2576"/>
    <n v="0.64"/>
    <n v="0"/>
    <n v="0"/>
    <n v="6"/>
    <n v="6"/>
    <b v="1"/>
    <s v="January"/>
    <s v="Wednesday"/>
    <s v="Weekday"/>
    <s v="Spring"/>
    <s v="Clear"/>
    <x v="0"/>
    <x v="0"/>
    <s v="Medium"/>
  </r>
  <r>
    <n v="94"/>
    <d v="2011-01-05T00:00:00"/>
    <n v="1"/>
    <n v="0"/>
    <n v="1"/>
    <n v="1"/>
    <b v="0"/>
    <n v="3"/>
    <n v="1"/>
    <n v="0.16"/>
    <n v="0.19700000000000001"/>
    <n v="0.74"/>
    <n v="8.9599999999999999E-2"/>
    <n v="0"/>
    <n v="6"/>
    <n v="6"/>
    <b v="1"/>
    <s v="January"/>
    <s v="Wednesday"/>
    <s v="Weekday"/>
    <s v="Spring"/>
    <s v="Clear"/>
    <x v="0"/>
    <x v="0"/>
    <s v="High"/>
  </r>
  <r>
    <n v="95"/>
    <d v="2011-01-05T00:00:00"/>
    <n v="1"/>
    <n v="0"/>
    <n v="1"/>
    <n v="2"/>
    <b v="0"/>
    <n v="3"/>
    <n v="1"/>
    <n v="0.16"/>
    <n v="0.19700000000000001"/>
    <n v="0.74"/>
    <n v="8.9599999999999999E-2"/>
    <n v="0"/>
    <n v="2"/>
    <n v="2"/>
    <b v="1"/>
    <s v="January"/>
    <s v="Wednesday"/>
    <s v="Weekday"/>
    <s v="Spring"/>
    <s v="Clear"/>
    <x v="0"/>
    <x v="0"/>
    <s v="High"/>
  </r>
  <r>
    <n v="96"/>
    <d v="2011-01-05T00:00:00"/>
    <n v="1"/>
    <n v="0"/>
    <n v="1"/>
    <n v="4"/>
    <b v="0"/>
    <n v="3"/>
    <n v="1"/>
    <n v="0.24"/>
    <n v="0.2273"/>
    <n v="0.48"/>
    <n v="0.22389999999999999"/>
    <n v="0"/>
    <n v="2"/>
    <n v="2"/>
    <b v="1"/>
    <s v="January"/>
    <s v="Wednesday"/>
    <s v="Weekday"/>
    <s v="Spring"/>
    <s v="Clear"/>
    <x v="0"/>
    <x v="0"/>
    <s v="Medium"/>
  </r>
  <r>
    <n v="97"/>
    <d v="2011-01-05T00:00:00"/>
    <n v="1"/>
    <n v="0"/>
    <n v="1"/>
    <n v="5"/>
    <b v="0"/>
    <n v="3"/>
    <n v="1"/>
    <n v="0.22"/>
    <n v="0.2273"/>
    <n v="0.47"/>
    <n v="0.16420000000000001"/>
    <n v="0"/>
    <n v="3"/>
    <n v="3"/>
    <b v="1"/>
    <s v="January"/>
    <s v="Wednesday"/>
    <s v="Weekday"/>
    <s v="Spring"/>
    <s v="Clear"/>
    <x v="0"/>
    <x v="0"/>
    <s v="Medium"/>
  </r>
  <r>
    <n v="98"/>
    <d v="2011-01-05T00:00:00"/>
    <n v="1"/>
    <n v="0"/>
    <n v="1"/>
    <n v="6"/>
    <b v="0"/>
    <n v="3"/>
    <n v="1"/>
    <n v="0.2"/>
    <n v="0.19700000000000001"/>
    <n v="0.47"/>
    <n v="0.22389999999999999"/>
    <n v="0"/>
    <n v="33"/>
    <n v="33"/>
    <b v="1"/>
    <s v="January"/>
    <s v="Wednesday"/>
    <s v="Weekday"/>
    <s v="Spring"/>
    <s v="Clear"/>
    <x v="0"/>
    <x v="0"/>
    <s v="Medium"/>
  </r>
  <r>
    <n v="99"/>
    <d v="2011-01-05T00:00:00"/>
    <n v="1"/>
    <n v="0"/>
    <n v="1"/>
    <n v="7"/>
    <b v="0"/>
    <n v="3"/>
    <n v="1"/>
    <n v="0.18"/>
    <n v="0.18179999999999999"/>
    <n v="0.43"/>
    <n v="0.19400000000000001"/>
    <n v="1"/>
    <n v="87"/>
    <n v="88"/>
    <b v="1"/>
    <s v="January"/>
    <s v="Wednesday"/>
    <s v="Weekday"/>
    <s v="Spring"/>
    <s v="Clear"/>
    <x v="1"/>
    <x v="0"/>
    <s v="Medium"/>
  </r>
  <r>
    <n v="100"/>
    <d v="2011-01-05T00:00:00"/>
    <n v="1"/>
    <n v="0"/>
    <n v="1"/>
    <n v="8"/>
    <b v="0"/>
    <n v="3"/>
    <n v="1"/>
    <n v="0.2"/>
    <n v="0.18179999999999999"/>
    <n v="0.4"/>
    <n v="0.29849999999999999"/>
    <n v="3"/>
    <n v="192"/>
    <n v="195"/>
    <b v="1"/>
    <s v="January"/>
    <s v="Wednesday"/>
    <s v="Weekday"/>
    <s v="Spring"/>
    <s v="Clear"/>
    <x v="1"/>
    <x v="0"/>
    <s v="Medium"/>
  </r>
  <r>
    <n v="101"/>
    <d v="2011-01-05T00:00:00"/>
    <n v="1"/>
    <n v="0"/>
    <n v="1"/>
    <n v="9"/>
    <b v="0"/>
    <n v="3"/>
    <n v="1"/>
    <n v="0.22"/>
    <n v="0.19700000000000001"/>
    <n v="0.37"/>
    <n v="0.32840000000000003"/>
    <n v="6"/>
    <n v="109"/>
    <n v="115"/>
    <b v="1"/>
    <s v="January"/>
    <s v="Wednesday"/>
    <s v="Weekday"/>
    <s v="Spring"/>
    <s v="Clear"/>
    <x v="1"/>
    <x v="0"/>
    <s v="Low"/>
  </r>
  <r>
    <n v="102"/>
    <d v="2011-01-05T00:00:00"/>
    <n v="1"/>
    <n v="0"/>
    <n v="1"/>
    <n v="10"/>
    <b v="0"/>
    <n v="3"/>
    <n v="1"/>
    <n v="0.22"/>
    <n v="0.19700000000000001"/>
    <n v="0.37"/>
    <n v="0.32840000000000003"/>
    <n v="4"/>
    <n v="53"/>
    <n v="57"/>
    <b v="1"/>
    <s v="January"/>
    <s v="Wednesday"/>
    <s v="Weekday"/>
    <s v="Spring"/>
    <s v="Clear"/>
    <x v="0"/>
    <x v="0"/>
    <s v="Low"/>
  </r>
  <r>
    <n v="103"/>
    <d v="2011-01-05T00:00:00"/>
    <n v="1"/>
    <n v="0"/>
    <n v="1"/>
    <n v="11"/>
    <b v="0"/>
    <n v="3"/>
    <n v="1"/>
    <n v="0.26"/>
    <n v="0.2273"/>
    <n v="0.33"/>
    <n v="0.32840000000000003"/>
    <n v="12"/>
    <n v="34"/>
    <n v="46"/>
    <b v="1"/>
    <s v="January"/>
    <s v="Wednesday"/>
    <s v="Weekday"/>
    <s v="Spring"/>
    <s v="Clear"/>
    <x v="0"/>
    <x v="0"/>
    <s v="Low"/>
  </r>
  <r>
    <n v="104"/>
    <d v="2011-01-05T00:00:00"/>
    <n v="1"/>
    <n v="0"/>
    <n v="1"/>
    <n v="12"/>
    <b v="0"/>
    <n v="3"/>
    <n v="1"/>
    <n v="0.26"/>
    <n v="0.2273"/>
    <n v="0.33"/>
    <n v="0.32840000000000003"/>
    <n v="5"/>
    <n v="74"/>
    <n v="79"/>
    <b v="1"/>
    <s v="January"/>
    <s v="Wednesday"/>
    <s v="Weekday"/>
    <s v="Spring"/>
    <s v="Clear"/>
    <x v="0"/>
    <x v="0"/>
    <s v="Low"/>
  </r>
  <r>
    <n v="105"/>
    <d v="2011-01-05T00:00:00"/>
    <n v="1"/>
    <n v="0"/>
    <n v="1"/>
    <n v="13"/>
    <b v="0"/>
    <n v="3"/>
    <n v="1"/>
    <n v="0.28000000000000003"/>
    <n v="0.2576"/>
    <n v="0.3"/>
    <n v="0.29849999999999999"/>
    <n v="6"/>
    <n v="65"/>
    <n v="71"/>
    <b v="1"/>
    <s v="January"/>
    <s v="Wednesday"/>
    <s v="Weekday"/>
    <s v="Spring"/>
    <s v="Clear"/>
    <x v="0"/>
    <x v="0"/>
    <s v="Low"/>
  </r>
  <r>
    <n v="106"/>
    <d v="2011-01-05T00:00:00"/>
    <n v="1"/>
    <n v="0"/>
    <n v="1"/>
    <n v="14"/>
    <b v="0"/>
    <n v="3"/>
    <n v="1"/>
    <n v="0.3"/>
    <n v="0.28789999999999999"/>
    <n v="0.28000000000000003"/>
    <n v="0.19400000000000001"/>
    <n v="10"/>
    <n v="52"/>
    <n v="62"/>
    <b v="1"/>
    <s v="January"/>
    <s v="Wednesday"/>
    <s v="Weekday"/>
    <s v="Spring"/>
    <s v="Clear"/>
    <x v="0"/>
    <x v="1"/>
    <s v="Low"/>
  </r>
  <r>
    <n v="107"/>
    <d v="2011-01-05T00:00:00"/>
    <n v="1"/>
    <n v="0"/>
    <n v="1"/>
    <n v="15"/>
    <b v="0"/>
    <n v="3"/>
    <n v="1"/>
    <n v="0.3"/>
    <n v="0.28789999999999999"/>
    <n v="0.28000000000000003"/>
    <n v="0.19400000000000001"/>
    <n v="7"/>
    <n v="55"/>
    <n v="62"/>
    <b v="1"/>
    <s v="January"/>
    <s v="Wednesday"/>
    <s v="Weekday"/>
    <s v="Spring"/>
    <s v="Clear"/>
    <x v="0"/>
    <x v="1"/>
    <s v="Low"/>
  </r>
  <r>
    <n v="108"/>
    <d v="2011-01-05T00:00:00"/>
    <n v="1"/>
    <n v="0"/>
    <n v="1"/>
    <n v="16"/>
    <b v="0"/>
    <n v="3"/>
    <n v="1"/>
    <n v="0.3"/>
    <n v="0.31819999999999998"/>
    <n v="0.28000000000000003"/>
    <n v="8.9599999999999999E-2"/>
    <n v="4"/>
    <n v="85"/>
    <n v="89"/>
    <b v="1"/>
    <s v="January"/>
    <s v="Wednesday"/>
    <s v="Weekday"/>
    <s v="Spring"/>
    <s v="Clear"/>
    <x v="0"/>
    <x v="1"/>
    <s v="Low"/>
  </r>
  <r>
    <n v="109"/>
    <d v="2011-01-05T00:00:00"/>
    <n v="1"/>
    <n v="0"/>
    <n v="1"/>
    <n v="17"/>
    <b v="0"/>
    <n v="3"/>
    <n v="1"/>
    <n v="0.24"/>
    <n v="0.2273"/>
    <n v="0.38"/>
    <n v="0.19400000000000001"/>
    <n v="4"/>
    <n v="186"/>
    <n v="190"/>
    <b v="1"/>
    <s v="January"/>
    <s v="Wednesday"/>
    <s v="Weekday"/>
    <s v="Spring"/>
    <s v="Clear"/>
    <x v="2"/>
    <x v="0"/>
    <s v="Low"/>
  </r>
  <r>
    <n v="110"/>
    <d v="2011-01-05T00:00:00"/>
    <n v="1"/>
    <n v="0"/>
    <n v="1"/>
    <n v="18"/>
    <b v="0"/>
    <n v="3"/>
    <n v="1"/>
    <n v="0.24"/>
    <n v="0.2424"/>
    <n v="0.38"/>
    <n v="0.1343"/>
    <n v="3"/>
    <n v="166"/>
    <n v="169"/>
    <b v="1"/>
    <s v="January"/>
    <s v="Wednesday"/>
    <s v="Weekday"/>
    <s v="Spring"/>
    <s v="Clear"/>
    <x v="2"/>
    <x v="0"/>
    <s v="Low"/>
  </r>
  <r>
    <n v="111"/>
    <d v="2011-01-05T00:00:00"/>
    <n v="1"/>
    <n v="0"/>
    <n v="1"/>
    <n v="19"/>
    <b v="0"/>
    <n v="3"/>
    <n v="1"/>
    <n v="0.24"/>
    <n v="0.2576"/>
    <n v="0.38"/>
    <n v="0.1045"/>
    <n v="5"/>
    <n v="127"/>
    <n v="132"/>
    <b v="1"/>
    <s v="January"/>
    <s v="Wednesday"/>
    <s v="Weekday"/>
    <s v="Spring"/>
    <s v="Clear"/>
    <x v="2"/>
    <x v="0"/>
    <s v="Low"/>
  </r>
  <r>
    <n v="112"/>
    <d v="2011-01-05T00:00:00"/>
    <n v="1"/>
    <n v="0"/>
    <n v="1"/>
    <n v="20"/>
    <b v="0"/>
    <n v="3"/>
    <n v="1"/>
    <n v="0.22"/>
    <n v="0.2273"/>
    <n v="0.47"/>
    <n v="0.16420000000000001"/>
    <n v="7"/>
    <n v="82"/>
    <n v="89"/>
    <b v="1"/>
    <s v="January"/>
    <s v="Wednesday"/>
    <s v="Weekday"/>
    <s v="Spring"/>
    <s v="Clear"/>
    <x v="2"/>
    <x v="0"/>
    <s v="Medium"/>
  </r>
  <r>
    <n v="113"/>
    <d v="2011-01-05T00:00:00"/>
    <n v="1"/>
    <n v="0"/>
    <n v="1"/>
    <n v="21"/>
    <b v="0"/>
    <n v="3"/>
    <n v="1"/>
    <n v="0.2"/>
    <n v="0.19700000000000001"/>
    <n v="0.51"/>
    <n v="0.19400000000000001"/>
    <n v="3"/>
    <n v="40"/>
    <n v="43"/>
    <b v="1"/>
    <s v="January"/>
    <s v="Wednesday"/>
    <s v="Weekday"/>
    <s v="Spring"/>
    <s v="Clear"/>
    <x v="0"/>
    <x v="0"/>
    <s v="Medium"/>
  </r>
  <r>
    <n v="114"/>
    <d v="2011-01-05T00:00:00"/>
    <n v="1"/>
    <n v="0"/>
    <n v="1"/>
    <n v="22"/>
    <b v="0"/>
    <n v="3"/>
    <n v="1"/>
    <n v="0.18"/>
    <n v="0.19700000000000001"/>
    <n v="0.55000000000000004"/>
    <n v="0.1343"/>
    <n v="1"/>
    <n v="41"/>
    <n v="42"/>
    <b v="1"/>
    <s v="January"/>
    <s v="Wednesday"/>
    <s v="Weekday"/>
    <s v="Spring"/>
    <s v="Clear"/>
    <x v="0"/>
    <x v="0"/>
    <s v="Medium"/>
  </r>
  <r>
    <n v="115"/>
    <d v="2011-01-05T00:00:00"/>
    <n v="1"/>
    <n v="0"/>
    <n v="1"/>
    <n v="23"/>
    <b v="0"/>
    <n v="3"/>
    <n v="1"/>
    <n v="0.2"/>
    <n v="0.2576"/>
    <n v="0.47"/>
    <n v="0"/>
    <n v="1"/>
    <n v="18"/>
    <n v="19"/>
    <b v="1"/>
    <s v="January"/>
    <s v="Wednesday"/>
    <s v="Weekday"/>
    <s v="Spring"/>
    <s v="Clear"/>
    <x v="0"/>
    <x v="0"/>
    <s v="Medium"/>
  </r>
  <r>
    <n v="116"/>
    <d v="2011-01-06T00:00:00"/>
    <n v="1"/>
    <n v="0"/>
    <n v="1"/>
    <n v="0"/>
    <b v="0"/>
    <n v="4"/>
    <n v="1"/>
    <n v="0.18"/>
    <n v="0.2424"/>
    <n v="0.55000000000000004"/>
    <n v="0"/>
    <n v="0"/>
    <n v="11"/>
    <n v="11"/>
    <b v="1"/>
    <s v="January"/>
    <s v="Thursday"/>
    <s v="Weekday"/>
    <s v="Spring"/>
    <s v="Clear"/>
    <x v="0"/>
    <x v="0"/>
    <s v="Medium"/>
  </r>
  <r>
    <n v="117"/>
    <d v="2011-01-06T00:00:00"/>
    <n v="1"/>
    <n v="0"/>
    <n v="1"/>
    <n v="1"/>
    <b v="0"/>
    <n v="4"/>
    <n v="1"/>
    <n v="0.16"/>
    <n v="0.2273"/>
    <n v="0.64"/>
    <n v="0"/>
    <n v="0"/>
    <n v="4"/>
    <n v="4"/>
    <b v="1"/>
    <s v="January"/>
    <s v="Thursday"/>
    <s v="Weekday"/>
    <s v="Spring"/>
    <s v="Clear"/>
    <x v="0"/>
    <x v="0"/>
    <s v="Medium"/>
  </r>
  <r>
    <n v="118"/>
    <d v="2011-01-06T00:00:00"/>
    <n v="1"/>
    <n v="0"/>
    <n v="1"/>
    <n v="2"/>
    <b v="0"/>
    <n v="4"/>
    <n v="1"/>
    <n v="0.16"/>
    <n v="0.2273"/>
    <n v="0.64"/>
    <n v="0"/>
    <n v="0"/>
    <n v="2"/>
    <n v="2"/>
    <b v="1"/>
    <s v="January"/>
    <s v="Thursday"/>
    <s v="Weekday"/>
    <s v="Spring"/>
    <s v="Clear"/>
    <x v="0"/>
    <x v="0"/>
    <s v="Medium"/>
  </r>
  <r>
    <n v="119"/>
    <d v="2011-01-06T00:00:00"/>
    <n v="1"/>
    <n v="0"/>
    <n v="1"/>
    <n v="4"/>
    <b v="0"/>
    <n v="4"/>
    <n v="2"/>
    <n v="0.16"/>
    <n v="0.19700000000000001"/>
    <n v="0.64"/>
    <n v="8.9599999999999999E-2"/>
    <n v="0"/>
    <n v="1"/>
    <n v="1"/>
    <b v="1"/>
    <s v="January"/>
    <s v="Thursday"/>
    <s v="Weekday"/>
    <s v="Spring"/>
    <s v="Mist"/>
    <x v="0"/>
    <x v="0"/>
    <s v="Medium"/>
  </r>
  <r>
    <n v="120"/>
    <d v="2011-01-06T00:00:00"/>
    <n v="1"/>
    <n v="0"/>
    <n v="1"/>
    <n v="5"/>
    <b v="0"/>
    <n v="4"/>
    <n v="2"/>
    <n v="0.14000000000000001"/>
    <n v="0.18179999999999999"/>
    <n v="0.69"/>
    <n v="8.9599999999999999E-2"/>
    <n v="0"/>
    <n v="4"/>
    <n v="4"/>
    <b v="1"/>
    <s v="January"/>
    <s v="Thursday"/>
    <s v="Weekday"/>
    <s v="Spring"/>
    <s v="Mist"/>
    <x v="0"/>
    <x v="0"/>
    <s v="Medium"/>
  </r>
  <r>
    <n v="121"/>
    <d v="2011-01-06T00:00:00"/>
    <n v="1"/>
    <n v="0"/>
    <n v="1"/>
    <n v="6"/>
    <b v="0"/>
    <n v="4"/>
    <n v="2"/>
    <n v="0.14000000000000001"/>
    <n v="0.16669999999999999"/>
    <n v="0.63"/>
    <n v="0.1045"/>
    <n v="0"/>
    <n v="36"/>
    <n v="36"/>
    <b v="1"/>
    <s v="January"/>
    <s v="Thursday"/>
    <s v="Weekday"/>
    <s v="Spring"/>
    <s v="Mist"/>
    <x v="0"/>
    <x v="0"/>
    <s v="Medium"/>
  </r>
  <r>
    <n v="122"/>
    <d v="2011-01-06T00:00:00"/>
    <n v="1"/>
    <n v="0"/>
    <n v="1"/>
    <n v="7"/>
    <b v="0"/>
    <n v="4"/>
    <n v="2"/>
    <n v="0.16"/>
    <n v="0.2273"/>
    <n v="0.59"/>
    <n v="0"/>
    <n v="0"/>
    <n v="95"/>
    <n v="95"/>
    <b v="1"/>
    <s v="January"/>
    <s v="Thursday"/>
    <s v="Weekday"/>
    <s v="Spring"/>
    <s v="Mist"/>
    <x v="1"/>
    <x v="0"/>
    <s v="Medium"/>
  </r>
  <r>
    <n v="123"/>
    <d v="2011-01-06T00:00:00"/>
    <n v="1"/>
    <n v="0"/>
    <n v="1"/>
    <n v="8"/>
    <b v="0"/>
    <n v="4"/>
    <n v="1"/>
    <n v="0.16"/>
    <n v="0.2273"/>
    <n v="0.59"/>
    <n v="0"/>
    <n v="3"/>
    <n v="216"/>
    <n v="219"/>
    <b v="1"/>
    <s v="January"/>
    <s v="Thursday"/>
    <s v="Weekday"/>
    <s v="Spring"/>
    <s v="Clear"/>
    <x v="1"/>
    <x v="0"/>
    <s v="Medium"/>
  </r>
  <r>
    <n v="124"/>
    <d v="2011-01-06T00:00:00"/>
    <n v="1"/>
    <n v="0"/>
    <n v="1"/>
    <n v="9"/>
    <b v="0"/>
    <n v="4"/>
    <n v="2"/>
    <n v="0.18"/>
    <n v="0.2424"/>
    <n v="0.51"/>
    <n v="0"/>
    <n v="6"/>
    <n v="116"/>
    <n v="122"/>
    <b v="1"/>
    <s v="January"/>
    <s v="Thursday"/>
    <s v="Weekday"/>
    <s v="Spring"/>
    <s v="Mist"/>
    <x v="1"/>
    <x v="0"/>
    <s v="Medium"/>
  </r>
  <r>
    <n v="125"/>
    <d v="2011-01-06T00:00:00"/>
    <n v="1"/>
    <n v="0"/>
    <n v="1"/>
    <n v="10"/>
    <b v="0"/>
    <n v="4"/>
    <n v="1"/>
    <n v="0.2"/>
    <n v="0.2576"/>
    <n v="0.47"/>
    <n v="0"/>
    <n v="3"/>
    <n v="42"/>
    <n v="45"/>
    <b v="1"/>
    <s v="January"/>
    <s v="Thursday"/>
    <s v="Weekday"/>
    <s v="Spring"/>
    <s v="Clear"/>
    <x v="0"/>
    <x v="0"/>
    <s v="Medium"/>
  </r>
  <r>
    <n v="126"/>
    <d v="2011-01-06T00:00:00"/>
    <n v="1"/>
    <n v="0"/>
    <n v="1"/>
    <n v="11"/>
    <b v="0"/>
    <n v="4"/>
    <n v="1"/>
    <n v="0.22"/>
    <n v="0.2576"/>
    <n v="0.44"/>
    <n v="8.9599999999999999E-2"/>
    <n v="2"/>
    <n v="57"/>
    <n v="59"/>
    <b v="1"/>
    <s v="January"/>
    <s v="Thursday"/>
    <s v="Weekday"/>
    <s v="Spring"/>
    <s v="Clear"/>
    <x v="0"/>
    <x v="0"/>
    <s v="Medium"/>
  </r>
  <r>
    <n v="127"/>
    <d v="2011-01-06T00:00:00"/>
    <n v="1"/>
    <n v="0"/>
    <n v="1"/>
    <n v="12"/>
    <b v="0"/>
    <n v="4"/>
    <n v="1"/>
    <n v="0.26"/>
    <n v="0.28789999999999999"/>
    <n v="0.35"/>
    <n v="0"/>
    <n v="6"/>
    <n v="78"/>
    <n v="84"/>
    <b v="1"/>
    <s v="January"/>
    <s v="Thursday"/>
    <s v="Weekday"/>
    <s v="Spring"/>
    <s v="Clear"/>
    <x v="0"/>
    <x v="0"/>
    <s v="Low"/>
  </r>
  <r>
    <n v="128"/>
    <d v="2011-01-06T00:00:00"/>
    <n v="1"/>
    <n v="0"/>
    <n v="1"/>
    <n v="13"/>
    <b v="0"/>
    <n v="4"/>
    <n v="1"/>
    <n v="0.26"/>
    <n v="0.2727"/>
    <n v="0.35"/>
    <n v="0.1045"/>
    <n v="12"/>
    <n v="55"/>
    <n v="67"/>
    <b v="1"/>
    <s v="January"/>
    <s v="Thursday"/>
    <s v="Weekday"/>
    <s v="Spring"/>
    <s v="Clear"/>
    <x v="0"/>
    <x v="0"/>
    <s v="Low"/>
  </r>
  <r>
    <n v="129"/>
    <d v="2011-01-06T00:00:00"/>
    <n v="1"/>
    <n v="0"/>
    <n v="1"/>
    <n v="14"/>
    <b v="0"/>
    <n v="4"/>
    <n v="1"/>
    <n v="0.28000000000000003"/>
    <n v="0.2727"/>
    <n v="0.36"/>
    <n v="0.16420000000000001"/>
    <n v="11"/>
    <n v="59"/>
    <n v="70"/>
    <b v="1"/>
    <s v="January"/>
    <s v="Thursday"/>
    <s v="Weekday"/>
    <s v="Spring"/>
    <s v="Clear"/>
    <x v="0"/>
    <x v="0"/>
    <s v="Low"/>
  </r>
  <r>
    <n v="130"/>
    <d v="2011-01-06T00:00:00"/>
    <n v="1"/>
    <n v="0"/>
    <n v="1"/>
    <n v="15"/>
    <b v="0"/>
    <n v="4"/>
    <n v="1"/>
    <n v="0.28000000000000003"/>
    <n v="0.2727"/>
    <n v="0.36"/>
    <n v="0"/>
    <n v="8"/>
    <n v="54"/>
    <n v="62"/>
    <b v="1"/>
    <s v="January"/>
    <s v="Thursday"/>
    <s v="Weekday"/>
    <s v="Spring"/>
    <s v="Clear"/>
    <x v="0"/>
    <x v="0"/>
    <s v="Low"/>
  </r>
  <r>
    <n v="131"/>
    <d v="2011-01-06T00:00:00"/>
    <n v="1"/>
    <n v="0"/>
    <n v="1"/>
    <n v="16"/>
    <b v="0"/>
    <n v="4"/>
    <n v="1"/>
    <n v="0.26"/>
    <n v="0.2576"/>
    <n v="0.38"/>
    <n v="0.16420000000000001"/>
    <n v="12"/>
    <n v="74"/>
    <n v="86"/>
    <b v="1"/>
    <s v="January"/>
    <s v="Thursday"/>
    <s v="Weekday"/>
    <s v="Spring"/>
    <s v="Clear"/>
    <x v="0"/>
    <x v="0"/>
    <s v="Low"/>
  </r>
  <r>
    <n v="132"/>
    <d v="2011-01-06T00:00:00"/>
    <n v="1"/>
    <n v="0"/>
    <n v="1"/>
    <n v="17"/>
    <b v="0"/>
    <n v="4"/>
    <n v="1"/>
    <n v="0.22"/>
    <n v="0.2273"/>
    <n v="0.51"/>
    <n v="0.16420000000000001"/>
    <n v="9"/>
    <n v="163"/>
    <n v="172"/>
    <b v="1"/>
    <s v="January"/>
    <s v="Thursday"/>
    <s v="Weekday"/>
    <s v="Spring"/>
    <s v="Clear"/>
    <x v="2"/>
    <x v="0"/>
    <s v="Medium"/>
  </r>
  <r>
    <n v="133"/>
    <d v="2011-01-06T00:00:00"/>
    <n v="1"/>
    <n v="0"/>
    <n v="1"/>
    <n v="18"/>
    <b v="0"/>
    <n v="4"/>
    <n v="1"/>
    <n v="0.22"/>
    <n v="0.2273"/>
    <n v="0.51"/>
    <n v="0.1343"/>
    <n v="5"/>
    <n v="158"/>
    <n v="163"/>
    <b v="1"/>
    <s v="January"/>
    <s v="Thursday"/>
    <s v="Weekday"/>
    <s v="Spring"/>
    <s v="Clear"/>
    <x v="2"/>
    <x v="0"/>
    <s v="Medium"/>
  </r>
  <r>
    <n v="134"/>
    <d v="2011-01-06T00:00:00"/>
    <n v="1"/>
    <n v="0"/>
    <n v="1"/>
    <n v="19"/>
    <b v="0"/>
    <n v="4"/>
    <n v="1"/>
    <n v="0.22"/>
    <n v="0.2576"/>
    <n v="0.55000000000000004"/>
    <n v="8.9599999999999999E-2"/>
    <n v="3"/>
    <n v="109"/>
    <n v="112"/>
    <b v="1"/>
    <s v="January"/>
    <s v="Thursday"/>
    <s v="Weekday"/>
    <s v="Spring"/>
    <s v="Clear"/>
    <x v="2"/>
    <x v="0"/>
    <s v="Medium"/>
  </r>
  <r>
    <n v="135"/>
    <d v="2011-01-06T00:00:00"/>
    <n v="1"/>
    <n v="0"/>
    <n v="1"/>
    <n v="20"/>
    <b v="0"/>
    <n v="4"/>
    <n v="1"/>
    <n v="0.2"/>
    <n v="0.21210000000000001"/>
    <n v="0.51"/>
    <n v="0.16420000000000001"/>
    <n v="3"/>
    <n v="66"/>
    <n v="69"/>
    <b v="1"/>
    <s v="January"/>
    <s v="Thursday"/>
    <s v="Weekday"/>
    <s v="Spring"/>
    <s v="Clear"/>
    <x v="2"/>
    <x v="0"/>
    <s v="Medium"/>
  </r>
  <r>
    <n v="136"/>
    <d v="2011-01-06T00:00:00"/>
    <n v="1"/>
    <n v="0"/>
    <n v="1"/>
    <n v="21"/>
    <b v="0"/>
    <n v="4"/>
    <n v="2"/>
    <n v="0.22"/>
    <n v="0.21210000000000001"/>
    <n v="0.55000000000000004"/>
    <n v="0.22389999999999999"/>
    <n v="0"/>
    <n v="48"/>
    <n v="48"/>
    <b v="1"/>
    <s v="January"/>
    <s v="Thursday"/>
    <s v="Weekday"/>
    <s v="Spring"/>
    <s v="Mist"/>
    <x v="0"/>
    <x v="0"/>
    <s v="Medium"/>
  </r>
  <r>
    <n v="137"/>
    <d v="2011-01-06T00:00:00"/>
    <n v="1"/>
    <n v="0"/>
    <n v="1"/>
    <n v="22"/>
    <b v="0"/>
    <n v="4"/>
    <n v="2"/>
    <n v="0.22"/>
    <n v="0.21210000000000001"/>
    <n v="0.51"/>
    <n v="0.28360000000000002"/>
    <n v="1"/>
    <n v="51"/>
    <n v="52"/>
    <b v="1"/>
    <s v="January"/>
    <s v="Thursday"/>
    <s v="Weekday"/>
    <s v="Spring"/>
    <s v="Mist"/>
    <x v="0"/>
    <x v="0"/>
    <s v="Medium"/>
  </r>
  <r>
    <n v="138"/>
    <d v="2011-01-06T00:00:00"/>
    <n v="1"/>
    <n v="0"/>
    <n v="1"/>
    <n v="23"/>
    <b v="0"/>
    <n v="4"/>
    <n v="2"/>
    <n v="0.2"/>
    <n v="0.19700000000000001"/>
    <n v="0.59"/>
    <n v="0.19400000000000001"/>
    <n v="4"/>
    <n v="19"/>
    <n v="23"/>
    <b v="1"/>
    <s v="January"/>
    <s v="Thursday"/>
    <s v="Weekday"/>
    <s v="Spring"/>
    <s v="Mist"/>
    <x v="0"/>
    <x v="0"/>
    <s v="Medium"/>
  </r>
  <r>
    <n v="139"/>
    <d v="2011-01-07T00:00:00"/>
    <n v="1"/>
    <n v="0"/>
    <n v="1"/>
    <n v="0"/>
    <b v="0"/>
    <n v="5"/>
    <n v="2"/>
    <n v="0.2"/>
    <n v="0.19700000000000001"/>
    <n v="0.64"/>
    <n v="0.19400000000000001"/>
    <n v="4"/>
    <n v="13"/>
    <n v="17"/>
    <b v="1"/>
    <s v="January"/>
    <s v="Friday"/>
    <s v="Weekday"/>
    <s v="Spring"/>
    <s v="Mist"/>
    <x v="0"/>
    <x v="0"/>
    <s v="Medium"/>
  </r>
  <r>
    <n v="140"/>
    <d v="2011-01-07T00:00:00"/>
    <n v="1"/>
    <n v="0"/>
    <n v="1"/>
    <n v="1"/>
    <b v="0"/>
    <n v="5"/>
    <n v="2"/>
    <n v="0.2"/>
    <n v="0.19700000000000001"/>
    <n v="0.69"/>
    <n v="0.22389999999999999"/>
    <n v="2"/>
    <n v="5"/>
    <n v="7"/>
    <b v="1"/>
    <s v="January"/>
    <s v="Friday"/>
    <s v="Weekday"/>
    <s v="Spring"/>
    <s v="Mist"/>
    <x v="0"/>
    <x v="0"/>
    <s v="Medium"/>
  </r>
  <r>
    <n v="141"/>
    <d v="2011-01-07T00:00:00"/>
    <n v="1"/>
    <n v="0"/>
    <n v="1"/>
    <n v="2"/>
    <b v="0"/>
    <n v="5"/>
    <n v="2"/>
    <n v="0.2"/>
    <n v="0.19700000000000001"/>
    <n v="0.69"/>
    <n v="0.22389999999999999"/>
    <n v="0"/>
    <n v="1"/>
    <n v="1"/>
    <b v="1"/>
    <s v="January"/>
    <s v="Friday"/>
    <s v="Weekday"/>
    <s v="Spring"/>
    <s v="Mist"/>
    <x v="0"/>
    <x v="0"/>
    <s v="Medium"/>
  </r>
  <r>
    <n v="142"/>
    <d v="2011-01-07T00:00:00"/>
    <n v="1"/>
    <n v="0"/>
    <n v="1"/>
    <n v="4"/>
    <b v="0"/>
    <n v="5"/>
    <n v="2"/>
    <n v="0.2"/>
    <n v="0.21210000000000001"/>
    <n v="0.69"/>
    <n v="0.1343"/>
    <n v="0"/>
    <n v="1"/>
    <n v="1"/>
    <b v="1"/>
    <s v="January"/>
    <s v="Friday"/>
    <s v="Weekday"/>
    <s v="Spring"/>
    <s v="Mist"/>
    <x v="0"/>
    <x v="0"/>
    <s v="Medium"/>
  </r>
  <r>
    <n v="143"/>
    <d v="2011-01-07T00:00:00"/>
    <n v="1"/>
    <n v="0"/>
    <n v="1"/>
    <n v="5"/>
    <b v="0"/>
    <n v="5"/>
    <n v="3"/>
    <n v="0.22"/>
    <n v="0.2727"/>
    <n v="0.55000000000000004"/>
    <n v="0"/>
    <n v="0"/>
    <n v="5"/>
    <n v="5"/>
    <b v="1"/>
    <s v="January"/>
    <s v="Friday"/>
    <s v="Weekday"/>
    <s v="Spring"/>
    <s v="Light Rain"/>
    <x v="0"/>
    <x v="0"/>
    <s v="Medium"/>
  </r>
  <r>
    <n v="144"/>
    <d v="2011-01-07T00:00:00"/>
    <n v="1"/>
    <n v="0"/>
    <n v="1"/>
    <n v="6"/>
    <b v="0"/>
    <n v="5"/>
    <n v="2"/>
    <n v="0.2"/>
    <n v="0.2576"/>
    <n v="0.69"/>
    <n v="0"/>
    <n v="8"/>
    <n v="26"/>
    <n v="34"/>
    <b v="1"/>
    <s v="January"/>
    <s v="Friday"/>
    <s v="Weekday"/>
    <s v="Spring"/>
    <s v="Mist"/>
    <x v="0"/>
    <x v="0"/>
    <s v="Medium"/>
  </r>
  <r>
    <n v="145"/>
    <d v="2011-01-07T00:00:00"/>
    <n v="1"/>
    <n v="0"/>
    <n v="1"/>
    <n v="7"/>
    <b v="0"/>
    <n v="5"/>
    <n v="1"/>
    <n v="0.2"/>
    <n v="0.21210000000000001"/>
    <n v="0.69"/>
    <n v="0.1343"/>
    <n v="8"/>
    <n v="76"/>
    <n v="84"/>
    <b v="1"/>
    <s v="January"/>
    <s v="Friday"/>
    <s v="Weekday"/>
    <s v="Spring"/>
    <s v="Clear"/>
    <x v="1"/>
    <x v="0"/>
    <s v="Medium"/>
  </r>
  <r>
    <n v="146"/>
    <d v="2011-01-07T00:00:00"/>
    <n v="1"/>
    <n v="0"/>
    <n v="1"/>
    <n v="8"/>
    <b v="0"/>
    <n v="5"/>
    <n v="1"/>
    <n v="0.2"/>
    <n v="0.19700000000000001"/>
    <n v="0.51"/>
    <n v="0.25369999999999998"/>
    <n v="20"/>
    <n v="190"/>
    <n v="210"/>
    <b v="1"/>
    <s v="January"/>
    <s v="Friday"/>
    <s v="Weekday"/>
    <s v="Spring"/>
    <s v="Clear"/>
    <x v="1"/>
    <x v="0"/>
    <s v="Medium"/>
  </r>
  <r>
    <n v="147"/>
    <d v="2011-01-07T00:00:00"/>
    <n v="1"/>
    <n v="0"/>
    <n v="1"/>
    <n v="9"/>
    <b v="0"/>
    <n v="5"/>
    <n v="1"/>
    <n v="0.2"/>
    <n v="0.18179999999999999"/>
    <n v="0.47"/>
    <n v="0.29849999999999999"/>
    <n v="9"/>
    <n v="125"/>
    <n v="134"/>
    <b v="1"/>
    <s v="January"/>
    <s v="Friday"/>
    <s v="Weekday"/>
    <s v="Spring"/>
    <s v="Clear"/>
    <x v="1"/>
    <x v="0"/>
    <s v="Medium"/>
  </r>
  <r>
    <n v="148"/>
    <d v="2011-01-07T00:00:00"/>
    <n v="1"/>
    <n v="0"/>
    <n v="1"/>
    <n v="10"/>
    <b v="0"/>
    <n v="5"/>
    <n v="1"/>
    <n v="0.22"/>
    <n v="0.19700000000000001"/>
    <n v="0.37"/>
    <n v="0.32840000000000003"/>
    <n v="16"/>
    <n v="47"/>
    <n v="63"/>
    <b v="1"/>
    <s v="January"/>
    <s v="Friday"/>
    <s v="Weekday"/>
    <s v="Spring"/>
    <s v="Clear"/>
    <x v="0"/>
    <x v="0"/>
    <s v="Low"/>
  </r>
  <r>
    <n v="149"/>
    <d v="2011-01-07T00:00:00"/>
    <n v="1"/>
    <n v="0"/>
    <n v="1"/>
    <n v="11"/>
    <b v="0"/>
    <n v="5"/>
    <n v="2"/>
    <n v="0.2"/>
    <n v="0.19700000000000001"/>
    <n v="0.4"/>
    <n v="0.22389999999999999"/>
    <n v="19"/>
    <n v="48"/>
    <n v="67"/>
    <b v="1"/>
    <s v="January"/>
    <s v="Friday"/>
    <s v="Weekday"/>
    <s v="Spring"/>
    <s v="Mist"/>
    <x v="0"/>
    <x v="0"/>
    <s v="Medium"/>
  </r>
  <r>
    <n v="150"/>
    <d v="2011-01-07T00:00:00"/>
    <n v="1"/>
    <n v="0"/>
    <n v="1"/>
    <n v="12"/>
    <b v="0"/>
    <n v="5"/>
    <n v="2"/>
    <n v="0.2"/>
    <n v="0.19700000000000001"/>
    <n v="0.37"/>
    <n v="0.25369999999999998"/>
    <n v="9"/>
    <n v="50"/>
    <n v="59"/>
    <b v="1"/>
    <s v="January"/>
    <s v="Friday"/>
    <s v="Weekday"/>
    <s v="Spring"/>
    <s v="Mist"/>
    <x v="0"/>
    <x v="0"/>
    <s v="Low"/>
  </r>
  <r>
    <n v="151"/>
    <d v="2011-01-07T00:00:00"/>
    <n v="1"/>
    <n v="0"/>
    <n v="1"/>
    <n v="13"/>
    <b v="0"/>
    <n v="5"/>
    <n v="2"/>
    <n v="0.2"/>
    <n v="0.18179999999999999"/>
    <n v="0.37"/>
    <n v="0.28360000000000002"/>
    <n v="9"/>
    <n v="64"/>
    <n v="73"/>
    <b v="1"/>
    <s v="January"/>
    <s v="Friday"/>
    <s v="Weekday"/>
    <s v="Spring"/>
    <s v="Mist"/>
    <x v="0"/>
    <x v="0"/>
    <s v="Low"/>
  </r>
  <r>
    <n v="152"/>
    <d v="2011-01-07T00:00:00"/>
    <n v="1"/>
    <n v="0"/>
    <n v="1"/>
    <n v="14"/>
    <b v="0"/>
    <n v="5"/>
    <n v="2"/>
    <n v="0.2"/>
    <n v="0.19700000000000001"/>
    <n v="0.4"/>
    <n v="0.25369999999999998"/>
    <n v="7"/>
    <n v="43"/>
    <n v="50"/>
    <b v="1"/>
    <s v="January"/>
    <s v="Friday"/>
    <s v="Weekday"/>
    <s v="Spring"/>
    <s v="Mist"/>
    <x v="0"/>
    <x v="0"/>
    <s v="Medium"/>
  </r>
  <r>
    <n v="153"/>
    <d v="2011-01-07T00:00:00"/>
    <n v="1"/>
    <n v="0"/>
    <n v="1"/>
    <n v="15"/>
    <b v="0"/>
    <n v="5"/>
    <n v="2"/>
    <n v="0.2"/>
    <n v="0.21210000000000001"/>
    <n v="0.37"/>
    <n v="0.16420000000000001"/>
    <n v="9"/>
    <n v="63"/>
    <n v="72"/>
    <b v="1"/>
    <s v="January"/>
    <s v="Friday"/>
    <s v="Weekday"/>
    <s v="Spring"/>
    <s v="Mist"/>
    <x v="0"/>
    <x v="0"/>
    <s v="Low"/>
  </r>
  <r>
    <n v="154"/>
    <d v="2011-01-07T00:00:00"/>
    <n v="1"/>
    <n v="0"/>
    <n v="1"/>
    <n v="16"/>
    <b v="0"/>
    <n v="5"/>
    <n v="2"/>
    <n v="0.2"/>
    <n v="0.21210000000000001"/>
    <n v="0.37"/>
    <n v="0.16420000000000001"/>
    <n v="5"/>
    <n v="82"/>
    <n v="87"/>
    <b v="1"/>
    <s v="January"/>
    <s v="Friday"/>
    <s v="Weekday"/>
    <s v="Spring"/>
    <s v="Mist"/>
    <x v="0"/>
    <x v="0"/>
    <s v="Low"/>
  </r>
  <r>
    <n v="155"/>
    <d v="2011-01-07T00:00:00"/>
    <n v="1"/>
    <n v="0"/>
    <n v="1"/>
    <n v="17"/>
    <b v="0"/>
    <n v="5"/>
    <n v="2"/>
    <n v="0.2"/>
    <n v="0.2576"/>
    <n v="0.37"/>
    <n v="0"/>
    <n v="9"/>
    <n v="178"/>
    <n v="187"/>
    <b v="1"/>
    <s v="January"/>
    <s v="Friday"/>
    <s v="Weekday"/>
    <s v="Spring"/>
    <s v="Mist"/>
    <x v="2"/>
    <x v="0"/>
    <s v="Low"/>
  </r>
  <r>
    <n v="156"/>
    <d v="2011-01-07T00:00:00"/>
    <n v="1"/>
    <n v="0"/>
    <n v="1"/>
    <n v="18"/>
    <b v="0"/>
    <n v="5"/>
    <n v="1"/>
    <n v="0.2"/>
    <n v="0.2273"/>
    <n v="0.4"/>
    <n v="8.9599999999999999E-2"/>
    <n v="7"/>
    <n v="116"/>
    <n v="123"/>
    <b v="1"/>
    <s v="January"/>
    <s v="Friday"/>
    <s v="Weekday"/>
    <s v="Spring"/>
    <s v="Clear"/>
    <x v="2"/>
    <x v="0"/>
    <s v="Medium"/>
  </r>
  <r>
    <n v="157"/>
    <d v="2011-01-07T00:00:00"/>
    <n v="1"/>
    <n v="0"/>
    <n v="1"/>
    <n v="19"/>
    <b v="0"/>
    <n v="5"/>
    <n v="1"/>
    <n v="0.16"/>
    <n v="0.19700000000000001"/>
    <n v="0.55000000000000004"/>
    <n v="8.9599999999999999E-2"/>
    <n v="3"/>
    <n v="92"/>
    <n v="95"/>
    <b v="1"/>
    <s v="January"/>
    <s v="Friday"/>
    <s v="Weekday"/>
    <s v="Spring"/>
    <s v="Clear"/>
    <x v="2"/>
    <x v="0"/>
    <s v="Medium"/>
  </r>
  <r>
    <n v="158"/>
    <d v="2011-01-07T00:00:00"/>
    <n v="1"/>
    <n v="0"/>
    <n v="1"/>
    <n v="20"/>
    <b v="0"/>
    <n v="5"/>
    <n v="1"/>
    <n v="0.18"/>
    <n v="0.21210000000000001"/>
    <n v="0.47"/>
    <n v="0.1045"/>
    <n v="1"/>
    <n v="50"/>
    <n v="51"/>
    <b v="1"/>
    <s v="January"/>
    <s v="Friday"/>
    <s v="Weekday"/>
    <s v="Spring"/>
    <s v="Clear"/>
    <x v="2"/>
    <x v="0"/>
    <s v="Medium"/>
  </r>
  <r>
    <n v="159"/>
    <d v="2011-01-07T00:00:00"/>
    <n v="1"/>
    <n v="0"/>
    <n v="1"/>
    <n v="21"/>
    <b v="0"/>
    <n v="5"/>
    <n v="1"/>
    <n v="0.18"/>
    <n v="0.19700000000000001"/>
    <n v="0.47"/>
    <n v="0.1343"/>
    <n v="0"/>
    <n v="39"/>
    <n v="39"/>
    <b v="1"/>
    <s v="January"/>
    <s v="Friday"/>
    <s v="Weekday"/>
    <s v="Spring"/>
    <s v="Clear"/>
    <x v="0"/>
    <x v="0"/>
    <s v="Medium"/>
  </r>
  <r>
    <n v="160"/>
    <d v="2011-01-07T00:00:00"/>
    <n v="1"/>
    <n v="0"/>
    <n v="1"/>
    <n v="22"/>
    <b v="0"/>
    <n v="5"/>
    <n v="2"/>
    <n v="0.18"/>
    <n v="0.19700000000000001"/>
    <n v="0.43"/>
    <n v="0.16420000000000001"/>
    <n v="2"/>
    <n v="34"/>
    <n v="36"/>
    <b v="1"/>
    <s v="January"/>
    <s v="Friday"/>
    <s v="Weekday"/>
    <s v="Spring"/>
    <s v="Mist"/>
    <x v="0"/>
    <x v="0"/>
    <s v="Medium"/>
  </r>
  <r>
    <n v="161"/>
    <d v="2011-01-07T00:00:00"/>
    <n v="1"/>
    <n v="0"/>
    <n v="1"/>
    <n v="23"/>
    <b v="0"/>
    <n v="5"/>
    <n v="2"/>
    <n v="0.18"/>
    <n v="0.19700000000000001"/>
    <n v="0.51"/>
    <n v="0.16420000000000001"/>
    <n v="1"/>
    <n v="14"/>
    <n v="15"/>
    <b v="1"/>
    <s v="January"/>
    <s v="Friday"/>
    <s v="Weekday"/>
    <s v="Spring"/>
    <s v="Mist"/>
    <x v="0"/>
    <x v="0"/>
    <s v="Medium"/>
  </r>
  <r>
    <n v="162"/>
    <d v="2011-01-08T00:00:00"/>
    <n v="1"/>
    <n v="0"/>
    <n v="1"/>
    <n v="0"/>
    <b v="0"/>
    <n v="6"/>
    <n v="2"/>
    <n v="0.18"/>
    <n v="0.19700000000000001"/>
    <n v="0.51"/>
    <n v="0.16420000000000001"/>
    <n v="1"/>
    <n v="24"/>
    <n v="25"/>
    <b v="1"/>
    <s v="January"/>
    <s v="Saturday"/>
    <s v="Weekend"/>
    <s v="Spring"/>
    <s v="Mist"/>
    <x v="0"/>
    <x v="0"/>
    <s v="Medium"/>
  </r>
  <r>
    <n v="163"/>
    <d v="2011-01-08T00:00:00"/>
    <n v="1"/>
    <n v="0"/>
    <n v="1"/>
    <n v="1"/>
    <b v="0"/>
    <n v="6"/>
    <n v="2"/>
    <n v="0.18"/>
    <n v="0.21210000000000001"/>
    <n v="0.55000000000000004"/>
    <n v="8.9599999999999999E-2"/>
    <n v="1"/>
    <n v="15"/>
    <n v="16"/>
    <b v="1"/>
    <s v="January"/>
    <s v="Saturday"/>
    <s v="Weekend"/>
    <s v="Spring"/>
    <s v="Mist"/>
    <x v="0"/>
    <x v="0"/>
    <s v="Medium"/>
  </r>
  <r>
    <n v="164"/>
    <d v="2011-01-08T00:00:00"/>
    <n v="1"/>
    <n v="0"/>
    <n v="1"/>
    <n v="2"/>
    <b v="0"/>
    <n v="6"/>
    <n v="2"/>
    <n v="0.18"/>
    <n v="0.2424"/>
    <n v="0.55000000000000004"/>
    <n v="0"/>
    <n v="3"/>
    <n v="13"/>
    <n v="16"/>
    <b v="1"/>
    <s v="January"/>
    <s v="Saturday"/>
    <s v="Weekend"/>
    <s v="Spring"/>
    <s v="Mist"/>
    <x v="0"/>
    <x v="0"/>
    <s v="Medium"/>
  </r>
  <r>
    <n v="165"/>
    <d v="2011-01-08T00:00:00"/>
    <n v="1"/>
    <n v="0"/>
    <n v="1"/>
    <n v="3"/>
    <b v="0"/>
    <n v="6"/>
    <n v="3"/>
    <n v="0.18"/>
    <n v="0.19700000000000001"/>
    <n v="0.55000000000000004"/>
    <n v="0.16420000000000001"/>
    <n v="0"/>
    <n v="7"/>
    <n v="7"/>
    <b v="1"/>
    <s v="January"/>
    <s v="Saturday"/>
    <s v="Weekend"/>
    <s v="Spring"/>
    <s v="Light Rain"/>
    <x v="0"/>
    <x v="0"/>
    <s v="Medium"/>
  </r>
  <r>
    <n v="166"/>
    <d v="2011-01-08T00:00:00"/>
    <n v="1"/>
    <n v="0"/>
    <n v="1"/>
    <n v="4"/>
    <b v="0"/>
    <n v="6"/>
    <n v="3"/>
    <n v="0.18"/>
    <n v="0.19700000000000001"/>
    <n v="0.55000000000000004"/>
    <n v="0.16420000000000001"/>
    <n v="0"/>
    <n v="1"/>
    <n v="1"/>
    <b v="1"/>
    <s v="January"/>
    <s v="Saturday"/>
    <s v="Weekend"/>
    <s v="Spring"/>
    <s v="Light Rain"/>
    <x v="0"/>
    <x v="0"/>
    <s v="Medium"/>
  </r>
  <r>
    <n v="167"/>
    <d v="2011-01-08T00:00:00"/>
    <n v="1"/>
    <n v="0"/>
    <n v="1"/>
    <n v="5"/>
    <b v="0"/>
    <n v="6"/>
    <n v="2"/>
    <n v="0.16"/>
    <n v="0.16669999999999999"/>
    <n v="0.74"/>
    <n v="0.16420000000000001"/>
    <n v="0"/>
    <n v="5"/>
    <n v="5"/>
    <b v="1"/>
    <s v="January"/>
    <s v="Saturday"/>
    <s v="Weekend"/>
    <s v="Spring"/>
    <s v="Mist"/>
    <x v="0"/>
    <x v="0"/>
    <s v="High"/>
  </r>
  <r>
    <n v="168"/>
    <d v="2011-01-08T00:00:00"/>
    <n v="1"/>
    <n v="0"/>
    <n v="1"/>
    <n v="6"/>
    <b v="0"/>
    <n v="6"/>
    <n v="2"/>
    <n v="0.16"/>
    <n v="0.16669999999999999"/>
    <n v="0.74"/>
    <n v="0.16420000000000001"/>
    <n v="0"/>
    <n v="2"/>
    <n v="2"/>
    <b v="1"/>
    <s v="January"/>
    <s v="Saturday"/>
    <s v="Weekend"/>
    <s v="Spring"/>
    <s v="Mist"/>
    <x v="0"/>
    <x v="0"/>
    <s v="High"/>
  </r>
  <r>
    <n v="169"/>
    <d v="2011-01-08T00:00:00"/>
    <n v="1"/>
    <n v="0"/>
    <n v="1"/>
    <n v="7"/>
    <b v="0"/>
    <n v="6"/>
    <n v="2"/>
    <n v="0.16"/>
    <n v="0.18179999999999999"/>
    <n v="0.74"/>
    <n v="0.1045"/>
    <n v="1"/>
    <n v="8"/>
    <n v="9"/>
    <b v="1"/>
    <s v="January"/>
    <s v="Saturday"/>
    <s v="Weekend"/>
    <s v="Spring"/>
    <s v="Mist"/>
    <x v="1"/>
    <x v="0"/>
    <s v="High"/>
  </r>
  <r>
    <n v="170"/>
    <d v="2011-01-08T00:00:00"/>
    <n v="1"/>
    <n v="0"/>
    <n v="1"/>
    <n v="8"/>
    <b v="0"/>
    <n v="6"/>
    <n v="3"/>
    <n v="0.16"/>
    <n v="0.18179999999999999"/>
    <n v="0.93"/>
    <n v="0.1045"/>
    <n v="0"/>
    <n v="15"/>
    <n v="15"/>
    <b v="1"/>
    <s v="January"/>
    <s v="Saturday"/>
    <s v="Weekend"/>
    <s v="Spring"/>
    <s v="Light Rain"/>
    <x v="1"/>
    <x v="0"/>
    <s v="High"/>
  </r>
  <r>
    <n v="171"/>
    <d v="2011-01-08T00:00:00"/>
    <n v="1"/>
    <n v="0"/>
    <n v="1"/>
    <n v="9"/>
    <b v="0"/>
    <n v="6"/>
    <n v="3"/>
    <n v="0.16"/>
    <n v="0.18179999999999999"/>
    <n v="0.93"/>
    <n v="0.1045"/>
    <n v="0"/>
    <n v="20"/>
    <n v="20"/>
    <b v="1"/>
    <s v="January"/>
    <s v="Saturday"/>
    <s v="Weekend"/>
    <s v="Spring"/>
    <s v="Light Rain"/>
    <x v="1"/>
    <x v="0"/>
    <s v="High"/>
  </r>
  <r>
    <n v="172"/>
    <d v="2011-01-08T00:00:00"/>
    <n v="1"/>
    <n v="0"/>
    <n v="1"/>
    <n v="10"/>
    <b v="0"/>
    <n v="6"/>
    <n v="2"/>
    <n v="0.18"/>
    <n v="0.19700000000000001"/>
    <n v="0.8"/>
    <n v="0.16420000000000001"/>
    <n v="5"/>
    <n v="56"/>
    <n v="61"/>
    <b v="1"/>
    <s v="January"/>
    <s v="Saturday"/>
    <s v="Weekend"/>
    <s v="Spring"/>
    <s v="Mist"/>
    <x v="0"/>
    <x v="0"/>
    <s v="High"/>
  </r>
  <r>
    <n v="173"/>
    <d v="2011-01-08T00:00:00"/>
    <n v="1"/>
    <n v="0"/>
    <n v="1"/>
    <n v="11"/>
    <b v="0"/>
    <n v="6"/>
    <n v="2"/>
    <n v="0.2"/>
    <n v="0.18179999999999999"/>
    <n v="0.69"/>
    <n v="0.3881"/>
    <n v="2"/>
    <n v="60"/>
    <n v="62"/>
    <b v="1"/>
    <s v="January"/>
    <s v="Saturday"/>
    <s v="Weekend"/>
    <s v="Spring"/>
    <s v="Mist"/>
    <x v="0"/>
    <x v="0"/>
    <s v="Medium"/>
  </r>
  <r>
    <n v="174"/>
    <d v="2011-01-08T00:00:00"/>
    <n v="1"/>
    <n v="0"/>
    <n v="1"/>
    <n v="12"/>
    <b v="0"/>
    <n v="6"/>
    <n v="2"/>
    <n v="0.2"/>
    <n v="0.18179999999999999"/>
    <n v="0.59"/>
    <n v="0.35820000000000002"/>
    <n v="8"/>
    <n v="90"/>
    <n v="98"/>
    <b v="1"/>
    <s v="January"/>
    <s v="Saturday"/>
    <s v="Weekend"/>
    <s v="Spring"/>
    <s v="Mist"/>
    <x v="0"/>
    <x v="0"/>
    <s v="Medium"/>
  </r>
  <r>
    <n v="175"/>
    <d v="2011-01-08T00:00:00"/>
    <n v="1"/>
    <n v="0"/>
    <n v="1"/>
    <n v="13"/>
    <b v="0"/>
    <n v="6"/>
    <n v="1"/>
    <n v="0.2"/>
    <n v="0.18179999999999999"/>
    <n v="0.44"/>
    <n v="0.32840000000000003"/>
    <n v="7"/>
    <n v="95"/>
    <n v="102"/>
    <b v="1"/>
    <s v="January"/>
    <s v="Saturday"/>
    <s v="Weekend"/>
    <s v="Spring"/>
    <s v="Clear"/>
    <x v="0"/>
    <x v="0"/>
    <s v="Medium"/>
  </r>
  <r>
    <n v="176"/>
    <d v="2011-01-08T00:00:00"/>
    <n v="1"/>
    <n v="0"/>
    <n v="1"/>
    <n v="14"/>
    <b v="0"/>
    <n v="6"/>
    <n v="1"/>
    <n v="0.2"/>
    <n v="0.16669999999999999"/>
    <n v="0.32"/>
    <n v="0.49249999999999999"/>
    <n v="12"/>
    <n v="83"/>
    <n v="95"/>
    <b v="1"/>
    <s v="January"/>
    <s v="Saturday"/>
    <s v="Weekend"/>
    <s v="Spring"/>
    <s v="Clear"/>
    <x v="0"/>
    <x v="0"/>
    <s v="Low"/>
  </r>
  <r>
    <n v="177"/>
    <d v="2011-01-08T00:00:00"/>
    <n v="1"/>
    <n v="0"/>
    <n v="1"/>
    <n v="15"/>
    <b v="0"/>
    <n v="6"/>
    <n v="1"/>
    <n v="0.2"/>
    <n v="0.16669999999999999"/>
    <n v="0.32"/>
    <n v="0.44779999999999998"/>
    <n v="5"/>
    <n v="69"/>
    <n v="74"/>
    <b v="1"/>
    <s v="January"/>
    <s v="Saturday"/>
    <s v="Weekend"/>
    <s v="Spring"/>
    <s v="Clear"/>
    <x v="0"/>
    <x v="0"/>
    <s v="Low"/>
  </r>
  <r>
    <n v="178"/>
    <d v="2011-01-08T00:00:00"/>
    <n v="1"/>
    <n v="0"/>
    <n v="1"/>
    <n v="16"/>
    <b v="0"/>
    <n v="6"/>
    <n v="1"/>
    <n v="0.18"/>
    <n v="0.13639999999999999"/>
    <n v="0.28999999999999998"/>
    <n v="0.44779999999999998"/>
    <n v="8"/>
    <n v="68"/>
    <n v="76"/>
    <b v="1"/>
    <s v="January"/>
    <s v="Saturday"/>
    <s v="Weekend"/>
    <s v="Spring"/>
    <s v="Clear"/>
    <x v="0"/>
    <x v="0"/>
    <s v="Low"/>
  </r>
  <r>
    <n v="179"/>
    <d v="2011-01-08T00:00:00"/>
    <n v="1"/>
    <n v="0"/>
    <n v="1"/>
    <n v="17"/>
    <b v="0"/>
    <n v="6"/>
    <n v="1"/>
    <n v="0.16"/>
    <n v="0.1212"/>
    <n v="0.37"/>
    <n v="0.55220000000000002"/>
    <n v="5"/>
    <n v="64"/>
    <n v="69"/>
    <b v="1"/>
    <s v="January"/>
    <s v="Saturday"/>
    <s v="Weekend"/>
    <s v="Spring"/>
    <s v="Clear"/>
    <x v="2"/>
    <x v="0"/>
    <s v="Low"/>
  </r>
  <r>
    <n v="180"/>
    <d v="2011-01-08T00:00:00"/>
    <n v="1"/>
    <n v="0"/>
    <n v="1"/>
    <n v="18"/>
    <b v="0"/>
    <n v="6"/>
    <n v="1"/>
    <n v="0.14000000000000001"/>
    <n v="0.1212"/>
    <n v="0.39"/>
    <n v="0.29849999999999999"/>
    <n v="3"/>
    <n v="52"/>
    <n v="55"/>
    <b v="1"/>
    <s v="January"/>
    <s v="Saturday"/>
    <s v="Weekend"/>
    <s v="Spring"/>
    <s v="Clear"/>
    <x v="2"/>
    <x v="0"/>
    <s v="Low"/>
  </r>
  <r>
    <n v="181"/>
    <d v="2011-01-08T00:00:00"/>
    <n v="1"/>
    <n v="0"/>
    <n v="1"/>
    <n v="19"/>
    <b v="0"/>
    <n v="6"/>
    <n v="1"/>
    <n v="0.14000000000000001"/>
    <n v="0.1212"/>
    <n v="0.36"/>
    <n v="0.25369999999999998"/>
    <n v="4"/>
    <n v="26"/>
    <n v="30"/>
    <b v="1"/>
    <s v="January"/>
    <s v="Saturday"/>
    <s v="Weekend"/>
    <s v="Spring"/>
    <s v="Clear"/>
    <x v="2"/>
    <x v="0"/>
    <s v="Low"/>
  </r>
  <r>
    <n v="182"/>
    <d v="2011-01-08T00:00:00"/>
    <n v="1"/>
    <n v="0"/>
    <n v="1"/>
    <n v="20"/>
    <b v="0"/>
    <n v="6"/>
    <n v="1"/>
    <n v="0.12"/>
    <n v="0.1212"/>
    <n v="0.36"/>
    <n v="0.25369999999999998"/>
    <n v="0"/>
    <n v="28"/>
    <n v="28"/>
    <b v="1"/>
    <s v="January"/>
    <s v="Saturday"/>
    <s v="Weekend"/>
    <s v="Spring"/>
    <s v="Clear"/>
    <x v="2"/>
    <x v="0"/>
    <s v="Low"/>
  </r>
  <r>
    <n v="183"/>
    <d v="2011-01-08T00:00:00"/>
    <n v="1"/>
    <n v="0"/>
    <n v="1"/>
    <n v="21"/>
    <b v="0"/>
    <n v="6"/>
    <n v="1"/>
    <n v="0.12"/>
    <n v="0.1061"/>
    <n v="0.39"/>
    <n v="0.35820000000000002"/>
    <n v="2"/>
    <n v="35"/>
    <n v="37"/>
    <b v="1"/>
    <s v="January"/>
    <s v="Saturday"/>
    <s v="Weekend"/>
    <s v="Spring"/>
    <s v="Clear"/>
    <x v="0"/>
    <x v="0"/>
    <s v="Low"/>
  </r>
  <r>
    <n v="184"/>
    <d v="2011-01-08T00:00:00"/>
    <n v="1"/>
    <n v="0"/>
    <n v="1"/>
    <n v="22"/>
    <b v="0"/>
    <n v="6"/>
    <n v="1"/>
    <n v="0.12"/>
    <n v="0.1061"/>
    <n v="0.36"/>
    <n v="0.3881"/>
    <n v="1"/>
    <n v="33"/>
    <n v="34"/>
    <b v="1"/>
    <s v="January"/>
    <s v="Saturday"/>
    <s v="Weekend"/>
    <s v="Spring"/>
    <s v="Clear"/>
    <x v="0"/>
    <x v="0"/>
    <s v="Low"/>
  </r>
  <r>
    <n v="185"/>
    <d v="2011-01-08T00:00:00"/>
    <n v="1"/>
    <n v="0"/>
    <n v="1"/>
    <n v="23"/>
    <b v="0"/>
    <n v="6"/>
    <n v="1"/>
    <n v="0.1"/>
    <n v="6.0600000000000001E-2"/>
    <n v="0.39"/>
    <n v="0.44779999999999998"/>
    <n v="0"/>
    <n v="22"/>
    <n v="22"/>
    <b v="1"/>
    <s v="January"/>
    <s v="Saturday"/>
    <s v="Weekend"/>
    <s v="Spring"/>
    <s v="Clear"/>
    <x v="0"/>
    <x v="0"/>
    <s v="Low"/>
  </r>
  <r>
    <n v="186"/>
    <d v="2011-01-09T00:00:00"/>
    <n v="1"/>
    <n v="0"/>
    <n v="1"/>
    <n v="0"/>
    <b v="0"/>
    <n v="0"/>
    <n v="1"/>
    <n v="0.1"/>
    <n v="7.5800000000000006E-2"/>
    <n v="0.42"/>
    <n v="0.3881"/>
    <n v="1"/>
    <n v="24"/>
    <n v="25"/>
    <b v="1"/>
    <s v="January"/>
    <s v="Sunday"/>
    <s v="Weekend"/>
    <s v="Spring"/>
    <s v="Clear"/>
    <x v="0"/>
    <x v="0"/>
    <s v="Medium"/>
  </r>
  <r>
    <n v="187"/>
    <d v="2011-01-09T00:00:00"/>
    <n v="1"/>
    <n v="0"/>
    <n v="1"/>
    <n v="1"/>
    <b v="0"/>
    <n v="0"/>
    <n v="1"/>
    <n v="0.1"/>
    <n v="6.0600000000000001E-2"/>
    <n v="0.42"/>
    <n v="0.4627"/>
    <n v="0"/>
    <n v="12"/>
    <n v="12"/>
    <b v="1"/>
    <s v="January"/>
    <s v="Sunday"/>
    <s v="Weekend"/>
    <s v="Spring"/>
    <s v="Clear"/>
    <x v="0"/>
    <x v="0"/>
    <s v="Medium"/>
  </r>
  <r>
    <n v="188"/>
    <d v="2011-01-09T00:00:00"/>
    <n v="1"/>
    <n v="0"/>
    <n v="1"/>
    <n v="2"/>
    <b v="0"/>
    <n v="0"/>
    <n v="1"/>
    <n v="0.1"/>
    <n v="6.0600000000000001E-2"/>
    <n v="0.46"/>
    <n v="0.4627"/>
    <n v="0"/>
    <n v="11"/>
    <n v="11"/>
    <b v="1"/>
    <s v="January"/>
    <s v="Sunday"/>
    <s v="Weekend"/>
    <s v="Spring"/>
    <s v="Clear"/>
    <x v="0"/>
    <x v="0"/>
    <s v="Medium"/>
  </r>
  <r>
    <n v="189"/>
    <d v="2011-01-09T00:00:00"/>
    <n v="1"/>
    <n v="0"/>
    <n v="1"/>
    <n v="3"/>
    <b v="0"/>
    <n v="0"/>
    <n v="1"/>
    <n v="0.1"/>
    <n v="7.5800000000000006E-2"/>
    <n v="0.46"/>
    <n v="0.41789999999999999"/>
    <n v="0"/>
    <n v="4"/>
    <n v="4"/>
    <b v="1"/>
    <s v="January"/>
    <s v="Sunday"/>
    <s v="Weekend"/>
    <s v="Spring"/>
    <s v="Clear"/>
    <x v="0"/>
    <x v="0"/>
    <s v="Medium"/>
  </r>
  <r>
    <n v="190"/>
    <d v="2011-01-09T00:00:00"/>
    <n v="1"/>
    <n v="0"/>
    <n v="1"/>
    <n v="4"/>
    <b v="0"/>
    <n v="0"/>
    <n v="1"/>
    <n v="0.08"/>
    <n v="9.0899999999999995E-2"/>
    <n v="0.53"/>
    <n v="0.19400000000000001"/>
    <n v="0"/>
    <n v="1"/>
    <n v="1"/>
    <b v="1"/>
    <s v="January"/>
    <s v="Sunday"/>
    <s v="Weekend"/>
    <s v="Spring"/>
    <s v="Clear"/>
    <x v="0"/>
    <x v="0"/>
    <s v="Medium"/>
  </r>
  <r>
    <n v="191"/>
    <d v="2011-01-09T00:00:00"/>
    <n v="1"/>
    <n v="0"/>
    <n v="1"/>
    <n v="5"/>
    <b v="0"/>
    <n v="0"/>
    <n v="1"/>
    <n v="0.08"/>
    <n v="9.0899999999999995E-2"/>
    <n v="0.53"/>
    <n v="0.19400000000000001"/>
    <n v="0"/>
    <n v="1"/>
    <n v="1"/>
    <b v="1"/>
    <s v="January"/>
    <s v="Sunday"/>
    <s v="Weekend"/>
    <s v="Spring"/>
    <s v="Clear"/>
    <x v="0"/>
    <x v="0"/>
    <s v="Medium"/>
  </r>
  <r>
    <n v="192"/>
    <d v="2011-01-09T00:00:00"/>
    <n v="1"/>
    <n v="0"/>
    <n v="1"/>
    <n v="6"/>
    <b v="0"/>
    <n v="0"/>
    <n v="1"/>
    <n v="0.1"/>
    <n v="9.0899999999999995E-2"/>
    <n v="0.49"/>
    <n v="0.28360000000000002"/>
    <n v="0"/>
    <n v="1"/>
    <n v="1"/>
    <b v="1"/>
    <s v="January"/>
    <s v="Sunday"/>
    <s v="Weekend"/>
    <s v="Spring"/>
    <s v="Clear"/>
    <x v="0"/>
    <x v="0"/>
    <s v="Medium"/>
  </r>
  <r>
    <n v="193"/>
    <d v="2011-01-09T00:00:00"/>
    <n v="1"/>
    <n v="0"/>
    <n v="1"/>
    <n v="7"/>
    <b v="0"/>
    <n v="0"/>
    <n v="1"/>
    <n v="0.08"/>
    <n v="9.0899999999999995E-2"/>
    <n v="0.53"/>
    <n v="0.19400000000000001"/>
    <n v="1"/>
    <n v="5"/>
    <n v="6"/>
    <b v="1"/>
    <s v="January"/>
    <s v="Sunday"/>
    <s v="Weekend"/>
    <s v="Spring"/>
    <s v="Clear"/>
    <x v="1"/>
    <x v="0"/>
    <s v="Medium"/>
  </r>
  <r>
    <n v="194"/>
    <d v="2011-01-09T00:00:00"/>
    <n v="1"/>
    <n v="0"/>
    <n v="1"/>
    <n v="8"/>
    <b v="0"/>
    <n v="0"/>
    <n v="1"/>
    <n v="0.1"/>
    <n v="9.0899999999999995E-2"/>
    <n v="0.49"/>
    <n v="0.28360000000000002"/>
    <n v="0"/>
    <n v="10"/>
    <n v="10"/>
    <b v="1"/>
    <s v="January"/>
    <s v="Sunday"/>
    <s v="Weekend"/>
    <s v="Spring"/>
    <s v="Clear"/>
    <x v="1"/>
    <x v="0"/>
    <s v="Medium"/>
  </r>
  <r>
    <n v="195"/>
    <d v="2011-01-09T00:00:00"/>
    <n v="1"/>
    <n v="0"/>
    <n v="1"/>
    <n v="9"/>
    <b v="0"/>
    <n v="0"/>
    <n v="1"/>
    <n v="0.12"/>
    <n v="7.5800000000000006E-2"/>
    <n v="0.46"/>
    <n v="0.52239999999999998"/>
    <n v="0"/>
    <n v="19"/>
    <n v="19"/>
    <b v="1"/>
    <s v="January"/>
    <s v="Sunday"/>
    <s v="Weekend"/>
    <s v="Spring"/>
    <s v="Clear"/>
    <x v="1"/>
    <x v="0"/>
    <s v="Medium"/>
  </r>
  <r>
    <n v="196"/>
    <d v="2011-01-09T00:00:00"/>
    <n v="1"/>
    <n v="0"/>
    <n v="1"/>
    <n v="10"/>
    <b v="0"/>
    <n v="0"/>
    <n v="1"/>
    <n v="0.14000000000000001"/>
    <n v="0.1061"/>
    <n v="0.43"/>
    <n v="0.3881"/>
    <n v="0"/>
    <n v="49"/>
    <n v="49"/>
    <b v="1"/>
    <s v="January"/>
    <s v="Sunday"/>
    <s v="Weekend"/>
    <s v="Spring"/>
    <s v="Clear"/>
    <x v="0"/>
    <x v="0"/>
    <s v="Medium"/>
  </r>
  <r>
    <n v="197"/>
    <d v="2011-01-09T00:00:00"/>
    <n v="1"/>
    <n v="0"/>
    <n v="1"/>
    <n v="11"/>
    <b v="0"/>
    <n v="0"/>
    <n v="1"/>
    <n v="0.16"/>
    <n v="0.1212"/>
    <n v="0.4"/>
    <n v="0.52239999999999998"/>
    <n v="2"/>
    <n v="47"/>
    <n v="49"/>
    <b v="1"/>
    <s v="January"/>
    <s v="Sunday"/>
    <s v="Weekend"/>
    <s v="Spring"/>
    <s v="Clear"/>
    <x v="0"/>
    <x v="0"/>
    <s v="Medium"/>
  </r>
  <r>
    <n v="198"/>
    <d v="2011-01-09T00:00:00"/>
    <n v="1"/>
    <n v="0"/>
    <n v="1"/>
    <n v="12"/>
    <b v="0"/>
    <n v="0"/>
    <n v="1"/>
    <n v="0.18"/>
    <n v="0.13639999999999999"/>
    <n v="0.37"/>
    <n v="0.44779999999999998"/>
    <n v="4"/>
    <n v="79"/>
    <n v="83"/>
    <b v="1"/>
    <s v="January"/>
    <s v="Sunday"/>
    <s v="Weekend"/>
    <s v="Spring"/>
    <s v="Clear"/>
    <x v="0"/>
    <x v="0"/>
    <s v="Low"/>
  </r>
  <r>
    <n v="199"/>
    <d v="2011-01-09T00:00:00"/>
    <n v="1"/>
    <n v="0"/>
    <n v="1"/>
    <n v="13"/>
    <b v="0"/>
    <n v="0"/>
    <n v="1"/>
    <n v="0.2"/>
    <n v="0.16669999999999999"/>
    <n v="0.34"/>
    <n v="0.44779999999999998"/>
    <n v="6"/>
    <n v="69"/>
    <n v="75"/>
    <b v="1"/>
    <s v="January"/>
    <s v="Sunday"/>
    <s v="Weekend"/>
    <s v="Spring"/>
    <s v="Clear"/>
    <x v="0"/>
    <x v="0"/>
    <s v="Low"/>
  </r>
  <r>
    <n v="200"/>
    <d v="2011-01-09T00:00:00"/>
    <n v="1"/>
    <n v="0"/>
    <n v="1"/>
    <n v="14"/>
    <b v="0"/>
    <n v="0"/>
    <n v="1"/>
    <n v="0.22"/>
    <n v="0.18179999999999999"/>
    <n v="0.32"/>
    <n v="0.4627"/>
    <n v="8"/>
    <n v="64"/>
    <n v="72"/>
    <b v="1"/>
    <s v="January"/>
    <s v="Sunday"/>
    <s v="Weekend"/>
    <s v="Spring"/>
    <s v="Clear"/>
    <x v="0"/>
    <x v="0"/>
    <s v="Low"/>
  </r>
  <r>
    <n v="201"/>
    <d v="2011-01-09T00:00:00"/>
    <n v="1"/>
    <n v="0"/>
    <n v="1"/>
    <n v="15"/>
    <b v="0"/>
    <n v="0"/>
    <n v="1"/>
    <n v="0.22"/>
    <n v="0.19700000000000001"/>
    <n v="0.35"/>
    <n v="0.35820000000000002"/>
    <n v="5"/>
    <n v="77"/>
    <n v="82"/>
    <b v="1"/>
    <s v="January"/>
    <s v="Sunday"/>
    <s v="Weekend"/>
    <s v="Spring"/>
    <s v="Clear"/>
    <x v="0"/>
    <x v="0"/>
    <s v="Low"/>
  </r>
  <r>
    <n v="202"/>
    <d v="2011-01-09T00:00:00"/>
    <n v="1"/>
    <n v="0"/>
    <n v="1"/>
    <n v="16"/>
    <b v="0"/>
    <n v="0"/>
    <n v="1"/>
    <n v="0.2"/>
    <n v="0.16669999999999999"/>
    <n v="0.34"/>
    <n v="0.44779999999999998"/>
    <n v="13"/>
    <n v="79"/>
    <n v="92"/>
    <b v="1"/>
    <s v="January"/>
    <s v="Sunday"/>
    <s v="Weekend"/>
    <s v="Spring"/>
    <s v="Clear"/>
    <x v="0"/>
    <x v="0"/>
    <s v="Low"/>
  </r>
  <r>
    <n v="203"/>
    <d v="2011-01-09T00:00:00"/>
    <n v="1"/>
    <n v="0"/>
    <n v="1"/>
    <n v="17"/>
    <b v="0"/>
    <n v="0"/>
    <n v="1"/>
    <n v="0.18"/>
    <n v="0.1515"/>
    <n v="0.37"/>
    <n v="0.3881"/>
    <n v="3"/>
    <n v="59"/>
    <n v="62"/>
    <b v="1"/>
    <s v="January"/>
    <s v="Sunday"/>
    <s v="Weekend"/>
    <s v="Spring"/>
    <s v="Clear"/>
    <x v="2"/>
    <x v="0"/>
    <s v="Low"/>
  </r>
  <r>
    <n v="204"/>
    <d v="2011-01-09T00:00:00"/>
    <n v="1"/>
    <n v="0"/>
    <n v="1"/>
    <n v="18"/>
    <b v="0"/>
    <n v="0"/>
    <n v="1"/>
    <n v="0.16"/>
    <n v="0.13639999999999999"/>
    <n v="0.4"/>
    <n v="0.32840000000000003"/>
    <n v="4"/>
    <n v="44"/>
    <n v="48"/>
    <b v="1"/>
    <s v="January"/>
    <s v="Sunday"/>
    <s v="Weekend"/>
    <s v="Spring"/>
    <s v="Clear"/>
    <x v="2"/>
    <x v="0"/>
    <s v="Medium"/>
  </r>
  <r>
    <n v="205"/>
    <d v="2011-01-09T00:00:00"/>
    <n v="1"/>
    <n v="0"/>
    <n v="1"/>
    <n v="19"/>
    <b v="0"/>
    <n v="0"/>
    <n v="1"/>
    <n v="0.16"/>
    <n v="0.13639999999999999"/>
    <n v="0.43"/>
    <n v="0.32840000000000003"/>
    <n v="1"/>
    <n v="40"/>
    <n v="41"/>
    <b v="1"/>
    <s v="January"/>
    <s v="Sunday"/>
    <s v="Weekend"/>
    <s v="Spring"/>
    <s v="Clear"/>
    <x v="2"/>
    <x v="0"/>
    <s v="Medium"/>
  </r>
  <r>
    <n v="206"/>
    <d v="2011-01-09T00:00:00"/>
    <n v="1"/>
    <n v="0"/>
    <n v="1"/>
    <n v="20"/>
    <b v="0"/>
    <n v="0"/>
    <n v="1"/>
    <n v="0.14000000000000001"/>
    <n v="0.1212"/>
    <n v="0.46"/>
    <n v="0.25369999999999998"/>
    <n v="0"/>
    <n v="38"/>
    <n v="38"/>
    <b v="1"/>
    <s v="January"/>
    <s v="Sunday"/>
    <s v="Weekend"/>
    <s v="Spring"/>
    <s v="Clear"/>
    <x v="2"/>
    <x v="0"/>
    <s v="Medium"/>
  </r>
  <r>
    <n v="207"/>
    <d v="2011-01-09T00:00:00"/>
    <n v="1"/>
    <n v="0"/>
    <n v="1"/>
    <n v="21"/>
    <b v="0"/>
    <n v="0"/>
    <n v="1"/>
    <n v="0.14000000000000001"/>
    <n v="0.1061"/>
    <n v="0.46"/>
    <n v="0.41789999999999999"/>
    <n v="1"/>
    <n v="19"/>
    <n v="20"/>
    <b v="1"/>
    <s v="January"/>
    <s v="Sunday"/>
    <s v="Weekend"/>
    <s v="Spring"/>
    <s v="Clear"/>
    <x v="0"/>
    <x v="0"/>
    <s v="Medium"/>
  </r>
  <r>
    <n v="208"/>
    <d v="2011-01-09T00:00:00"/>
    <n v="1"/>
    <n v="0"/>
    <n v="1"/>
    <n v="22"/>
    <b v="0"/>
    <n v="0"/>
    <n v="1"/>
    <n v="0.14000000000000001"/>
    <n v="0.1212"/>
    <n v="0.46"/>
    <n v="0.29849999999999999"/>
    <n v="5"/>
    <n v="10"/>
    <n v="15"/>
    <b v="1"/>
    <s v="January"/>
    <s v="Sunday"/>
    <s v="Weekend"/>
    <s v="Spring"/>
    <s v="Clear"/>
    <x v="0"/>
    <x v="0"/>
    <s v="Medium"/>
  </r>
  <r>
    <n v="209"/>
    <d v="2011-01-09T00:00:00"/>
    <n v="1"/>
    <n v="0"/>
    <n v="1"/>
    <n v="23"/>
    <b v="0"/>
    <n v="0"/>
    <n v="1"/>
    <n v="0.12"/>
    <n v="0.13639999999999999"/>
    <n v="0.5"/>
    <n v="0.19400000000000001"/>
    <n v="0"/>
    <n v="6"/>
    <n v="6"/>
    <b v="1"/>
    <s v="January"/>
    <s v="Sunday"/>
    <s v="Weekend"/>
    <s v="Spring"/>
    <s v="Clear"/>
    <x v="0"/>
    <x v="0"/>
    <s v="Medium"/>
  </r>
  <r>
    <n v="210"/>
    <d v="2011-01-10T00:00:00"/>
    <n v="1"/>
    <n v="0"/>
    <n v="1"/>
    <n v="0"/>
    <b v="0"/>
    <n v="1"/>
    <n v="1"/>
    <n v="0.12"/>
    <n v="0.1212"/>
    <n v="0.5"/>
    <n v="0.28360000000000002"/>
    <n v="2"/>
    <n v="3"/>
    <n v="5"/>
    <b v="1"/>
    <s v="January"/>
    <s v="Monday"/>
    <s v="Weekday"/>
    <s v="Spring"/>
    <s v="Clear"/>
    <x v="0"/>
    <x v="0"/>
    <s v="Medium"/>
  </r>
  <r>
    <n v="211"/>
    <d v="2011-01-10T00:00:00"/>
    <n v="1"/>
    <n v="0"/>
    <n v="1"/>
    <n v="1"/>
    <b v="0"/>
    <n v="1"/>
    <n v="1"/>
    <n v="0.12"/>
    <n v="0.1212"/>
    <n v="0.5"/>
    <n v="0.28360000000000002"/>
    <n v="1"/>
    <n v="0"/>
    <n v="1"/>
    <b v="1"/>
    <s v="January"/>
    <s v="Monday"/>
    <s v="Weekday"/>
    <s v="Spring"/>
    <s v="Clear"/>
    <x v="0"/>
    <x v="0"/>
    <s v="Medium"/>
  </r>
  <r>
    <n v="212"/>
    <d v="2011-01-10T00:00:00"/>
    <n v="1"/>
    <n v="0"/>
    <n v="1"/>
    <n v="2"/>
    <b v="0"/>
    <n v="1"/>
    <n v="1"/>
    <n v="0.12"/>
    <n v="0.1212"/>
    <n v="0.5"/>
    <n v="0.22389999999999999"/>
    <n v="0"/>
    <n v="3"/>
    <n v="3"/>
    <b v="1"/>
    <s v="January"/>
    <s v="Monday"/>
    <s v="Weekday"/>
    <s v="Spring"/>
    <s v="Clear"/>
    <x v="0"/>
    <x v="0"/>
    <s v="Medium"/>
  </r>
  <r>
    <n v="213"/>
    <d v="2011-01-10T00:00:00"/>
    <n v="1"/>
    <n v="0"/>
    <n v="1"/>
    <n v="3"/>
    <b v="0"/>
    <n v="1"/>
    <n v="1"/>
    <n v="0.12"/>
    <n v="0.1212"/>
    <n v="0.5"/>
    <n v="0.22389999999999999"/>
    <n v="0"/>
    <n v="1"/>
    <n v="1"/>
    <b v="1"/>
    <s v="January"/>
    <s v="Monday"/>
    <s v="Weekday"/>
    <s v="Spring"/>
    <s v="Clear"/>
    <x v="0"/>
    <x v="0"/>
    <s v="Medium"/>
  </r>
  <r>
    <n v="214"/>
    <d v="2011-01-10T00:00:00"/>
    <n v="1"/>
    <n v="0"/>
    <n v="1"/>
    <n v="4"/>
    <b v="0"/>
    <n v="1"/>
    <n v="1"/>
    <n v="0.1"/>
    <n v="0.1212"/>
    <n v="0.54"/>
    <n v="0.1343"/>
    <n v="1"/>
    <n v="2"/>
    <n v="3"/>
    <b v="1"/>
    <s v="January"/>
    <s v="Monday"/>
    <s v="Weekday"/>
    <s v="Spring"/>
    <s v="Clear"/>
    <x v="0"/>
    <x v="0"/>
    <s v="Medium"/>
  </r>
  <r>
    <n v="215"/>
    <d v="2011-01-10T00:00:00"/>
    <n v="1"/>
    <n v="0"/>
    <n v="1"/>
    <n v="5"/>
    <b v="0"/>
    <n v="1"/>
    <n v="1"/>
    <n v="0.1"/>
    <n v="0.1061"/>
    <n v="0.54"/>
    <n v="0.25369999999999998"/>
    <n v="0"/>
    <n v="3"/>
    <n v="3"/>
    <b v="1"/>
    <s v="January"/>
    <s v="Monday"/>
    <s v="Weekday"/>
    <s v="Spring"/>
    <s v="Clear"/>
    <x v="0"/>
    <x v="0"/>
    <s v="Medium"/>
  </r>
  <r>
    <n v="216"/>
    <d v="2011-01-10T00:00:00"/>
    <n v="1"/>
    <n v="0"/>
    <n v="1"/>
    <n v="6"/>
    <b v="0"/>
    <n v="1"/>
    <n v="1"/>
    <n v="0.12"/>
    <n v="0.1212"/>
    <n v="0.5"/>
    <n v="0.28360000000000002"/>
    <n v="0"/>
    <n v="31"/>
    <n v="31"/>
    <b v="1"/>
    <s v="January"/>
    <s v="Monday"/>
    <s v="Weekday"/>
    <s v="Spring"/>
    <s v="Clear"/>
    <x v="0"/>
    <x v="0"/>
    <s v="Medium"/>
  </r>
  <r>
    <n v="217"/>
    <d v="2011-01-10T00:00:00"/>
    <n v="1"/>
    <n v="0"/>
    <n v="1"/>
    <n v="7"/>
    <b v="0"/>
    <n v="1"/>
    <n v="1"/>
    <n v="0.12"/>
    <n v="0.1212"/>
    <n v="0.5"/>
    <n v="0.22389999999999999"/>
    <n v="2"/>
    <n v="75"/>
    <n v="77"/>
    <b v="1"/>
    <s v="January"/>
    <s v="Monday"/>
    <s v="Weekday"/>
    <s v="Spring"/>
    <s v="Clear"/>
    <x v="1"/>
    <x v="0"/>
    <s v="Medium"/>
  </r>
  <r>
    <n v="218"/>
    <d v="2011-01-10T00:00:00"/>
    <n v="1"/>
    <n v="0"/>
    <n v="1"/>
    <n v="8"/>
    <b v="0"/>
    <n v="1"/>
    <n v="2"/>
    <n v="0.12"/>
    <n v="0.1212"/>
    <n v="0.5"/>
    <n v="0.28360000000000002"/>
    <n v="4"/>
    <n v="184"/>
    <n v="188"/>
    <b v="1"/>
    <s v="January"/>
    <s v="Monday"/>
    <s v="Weekday"/>
    <s v="Spring"/>
    <s v="Mist"/>
    <x v="1"/>
    <x v="0"/>
    <s v="Medium"/>
  </r>
  <r>
    <n v="219"/>
    <d v="2011-01-10T00:00:00"/>
    <n v="1"/>
    <n v="0"/>
    <n v="1"/>
    <n v="9"/>
    <b v="0"/>
    <n v="1"/>
    <n v="2"/>
    <n v="0.14000000000000001"/>
    <n v="0.1212"/>
    <n v="0.5"/>
    <n v="0.25369999999999998"/>
    <n v="2"/>
    <n v="92"/>
    <n v="94"/>
    <b v="1"/>
    <s v="January"/>
    <s v="Monday"/>
    <s v="Weekday"/>
    <s v="Spring"/>
    <s v="Mist"/>
    <x v="1"/>
    <x v="0"/>
    <s v="Medium"/>
  </r>
  <r>
    <n v="220"/>
    <d v="2011-01-10T00:00:00"/>
    <n v="1"/>
    <n v="0"/>
    <n v="1"/>
    <n v="10"/>
    <b v="0"/>
    <n v="1"/>
    <n v="2"/>
    <n v="0.14000000000000001"/>
    <n v="0.1212"/>
    <n v="0.5"/>
    <n v="0.29849999999999999"/>
    <n v="0"/>
    <n v="31"/>
    <n v="31"/>
    <b v="1"/>
    <s v="January"/>
    <s v="Monday"/>
    <s v="Weekday"/>
    <s v="Spring"/>
    <s v="Mist"/>
    <x v="0"/>
    <x v="0"/>
    <s v="Medium"/>
  </r>
  <r>
    <n v="221"/>
    <d v="2011-01-10T00:00:00"/>
    <n v="1"/>
    <n v="0"/>
    <n v="1"/>
    <n v="11"/>
    <b v="0"/>
    <n v="1"/>
    <n v="2"/>
    <n v="0.16"/>
    <n v="0.13639999999999999"/>
    <n v="0.47"/>
    <n v="0.28360000000000002"/>
    <n v="2"/>
    <n v="28"/>
    <n v="30"/>
    <b v="1"/>
    <s v="January"/>
    <s v="Monday"/>
    <s v="Weekday"/>
    <s v="Spring"/>
    <s v="Mist"/>
    <x v="0"/>
    <x v="0"/>
    <s v="Medium"/>
  </r>
  <r>
    <n v="222"/>
    <d v="2011-01-10T00:00:00"/>
    <n v="1"/>
    <n v="0"/>
    <n v="1"/>
    <n v="12"/>
    <b v="0"/>
    <n v="1"/>
    <n v="2"/>
    <n v="0.2"/>
    <n v="0.18179999999999999"/>
    <n v="0.4"/>
    <n v="0.28360000000000002"/>
    <n v="5"/>
    <n v="47"/>
    <n v="52"/>
    <b v="1"/>
    <s v="January"/>
    <s v="Monday"/>
    <s v="Weekday"/>
    <s v="Spring"/>
    <s v="Mist"/>
    <x v="0"/>
    <x v="0"/>
    <s v="Medium"/>
  </r>
  <r>
    <n v="223"/>
    <d v="2011-01-10T00:00:00"/>
    <n v="1"/>
    <n v="0"/>
    <n v="1"/>
    <n v="13"/>
    <b v="0"/>
    <n v="1"/>
    <n v="2"/>
    <n v="0.2"/>
    <n v="0.18179999999999999"/>
    <n v="0.4"/>
    <n v="0.28360000000000002"/>
    <n v="4"/>
    <n v="50"/>
    <n v="54"/>
    <b v="1"/>
    <s v="January"/>
    <s v="Monday"/>
    <s v="Weekday"/>
    <s v="Spring"/>
    <s v="Mist"/>
    <x v="0"/>
    <x v="0"/>
    <s v="Medium"/>
  </r>
  <r>
    <n v="224"/>
    <d v="2011-01-10T00:00:00"/>
    <n v="1"/>
    <n v="0"/>
    <n v="1"/>
    <n v="14"/>
    <b v="0"/>
    <n v="1"/>
    <n v="2"/>
    <n v="0.2"/>
    <n v="0.19700000000000001"/>
    <n v="0.4"/>
    <n v="0.22389999999999999"/>
    <n v="0"/>
    <n v="47"/>
    <n v="47"/>
    <b v="1"/>
    <s v="January"/>
    <s v="Monday"/>
    <s v="Weekday"/>
    <s v="Spring"/>
    <s v="Mist"/>
    <x v="0"/>
    <x v="0"/>
    <s v="Medium"/>
  </r>
  <r>
    <n v="225"/>
    <d v="2011-01-10T00:00:00"/>
    <n v="1"/>
    <n v="0"/>
    <n v="1"/>
    <n v="15"/>
    <b v="0"/>
    <n v="1"/>
    <n v="2"/>
    <n v="0.2"/>
    <n v="0.19700000000000001"/>
    <n v="0.4"/>
    <n v="0.22389999999999999"/>
    <n v="2"/>
    <n v="43"/>
    <n v="45"/>
    <b v="1"/>
    <s v="January"/>
    <s v="Monday"/>
    <s v="Weekday"/>
    <s v="Spring"/>
    <s v="Mist"/>
    <x v="0"/>
    <x v="0"/>
    <s v="Medium"/>
  </r>
  <r>
    <n v="226"/>
    <d v="2011-01-10T00:00:00"/>
    <n v="1"/>
    <n v="0"/>
    <n v="1"/>
    <n v="16"/>
    <b v="0"/>
    <n v="1"/>
    <n v="1"/>
    <n v="0.2"/>
    <n v="0.21210000000000001"/>
    <n v="0.4"/>
    <n v="0.1343"/>
    <n v="4"/>
    <n v="70"/>
    <n v="74"/>
    <b v="1"/>
    <s v="January"/>
    <s v="Monday"/>
    <s v="Weekday"/>
    <s v="Spring"/>
    <s v="Clear"/>
    <x v="0"/>
    <x v="0"/>
    <s v="Medium"/>
  </r>
  <r>
    <n v="227"/>
    <d v="2011-01-10T00:00:00"/>
    <n v="1"/>
    <n v="0"/>
    <n v="1"/>
    <n v="17"/>
    <b v="0"/>
    <n v="1"/>
    <n v="1"/>
    <n v="0.2"/>
    <n v="0.2273"/>
    <n v="0.4"/>
    <n v="0.1045"/>
    <n v="4"/>
    <n v="174"/>
    <n v="178"/>
    <b v="1"/>
    <s v="January"/>
    <s v="Monday"/>
    <s v="Weekday"/>
    <s v="Spring"/>
    <s v="Clear"/>
    <x v="2"/>
    <x v="0"/>
    <s v="Medium"/>
  </r>
  <r>
    <n v="228"/>
    <d v="2011-01-10T00:00:00"/>
    <n v="1"/>
    <n v="0"/>
    <n v="1"/>
    <n v="18"/>
    <b v="0"/>
    <n v="1"/>
    <n v="1"/>
    <n v="0.2"/>
    <n v="0.19700000000000001"/>
    <n v="0.4"/>
    <n v="0.22389999999999999"/>
    <n v="1"/>
    <n v="154"/>
    <n v="155"/>
    <b v="1"/>
    <s v="January"/>
    <s v="Monday"/>
    <s v="Weekday"/>
    <s v="Spring"/>
    <s v="Clear"/>
    <x v="2"/>
    <x v="0"/>
    <s v="Medium"/>
  </r>
  <r>
    <n v="229"/>
    <d v="2011-01-10T00:00:00"/>
    <n v="1"/>
    <n v="0"/>
    <n v="1"/>
    <n v="19"/>
    <b v="0"/>
    <n v="1"/>
    <n v="1"/>
    <n v="0.16"/>
    <n v="0.16669999999999999"/>
    <n v="0.47"/>
    <n v="0.16420000000000001"/>
    <n v="3"/>
    <n v="92"/>
    <n v="95"/>
    <b v="1"/>
    <s v="January"/>
    <s v="Monday"/>
    <s v="Weekday"/>
    <s v="Spring"/>
    <s v="Clear"/>
    <x v="2"/>
    <x v="0"/>
    <s v="Medium"/>
  </r>
  <r>
    <n v="230"/>
    <d v="2011-01-10T00:00:00"/>
    <n v="1"/>
    <n v="0"/>
    <n v="1"/>
    <n v="20"/>
    <b v="0"/>
    <n v="1"/>
    <n v="1"/>
    <n v="0.16"/>
    <n v="0.16669999999999999"/>
    <n v="0.5"/>
    <n v="0.16420000000000001"/>
    <n v="1"/>
    <n v="73"/>
    <n v="74"/>
    <b v="1"/>
    <s v="January"/>
    <s v="Monday"/>
    <s v="Weekday"/>
    <s v="Spring"/>
    <s v="Clear"/>
    <x v="2"/>
    <x v="0"/>
    <s v="Medium"/>
  </r>
  <r>
    <n v="231"/>
    <d v="2011-01-10T00:00:00"/>
    <n v="1"/>
    <n v="0"/>
    <n v="1"/>
    <n v="21"/>
    <b v="0"/>
    <n v="1"/>
    <n v="1"/>
    <n v="0.14000000000000001"/>
    <n v="0.13639999999999999"/>
    <n v="0.59"/>
    <n v="0.19400000000000001"/>
    <n v="1"/>
    <n v="37"/>
    <n v="38"/>
    <b v="1"/>
    <s v="January"/>
    <s v="Monday"/>
    <s v="Weekday"/>
    <s v="Spring"/>
    <s v="Clear"/>
    <x v="0"/>
    <x v="0"/>
    <s v="Medium"/>
  </r>
  <r>
    <n v="232"/>
    <d v="2011-01-10T00:00:00"/>
    <n v="1"/>
    <n v="0"/>
    <n v="1"/>
    <n v="22"/>
    <b v="0"/>
    <n v="1"/>
    <n v="1"/>
    <n v="0.14000000000000001"/>
    <n v="0.1515"/>
    <n v="0.59"/>
    <n v="0.16420000000000001"/>
    <n v="2"/>
    <n v="22"/>
    <n v="24"/>
    <b v="1"/>
    <s v="January"/>
    <s v="Monday"/>
    <s v="Weekday"/>
    <s v="Spring"/>
    <s v="Clear"/>
    <x v="0"/>
    <x v="0"/>
    <s v="Medium"/>
  </r>
  <r>
    <n v="233"/>
    <d v="2011-01-10T00:00:00"/>
    <n v="1"/>
    <n v="0"/>
    <n v="1"/>
    <n v="23"/>
    <b v="0"/>
    <n v="1"/>
    <n v="1"/>
    <n v="0.14000000000000001"/>
    <n v="0.1515"/>
    <n v="0.59"/>
    <n v="0.16420000000000001"/>
    <n v="0"/>
    <n v="18"/>
    <n v="18"/>
    <b v="1"/>
    <s v="January"/>
    <s v="Monday"/>
    <s v="Weekday"/>
    <s v="Spring"/>
    <s v="Clear"/>
    <x v="0"/>
    <x v="0"/>
    <s v="Medium"/>
  </r>
  <r>
    <n v="234"/>
    <d v="2011-01-11T00:00:00"/>
    <n v="1"/>
    <n v="0"/>
    <n v="1"/>
    <n v="0"/>
    <b v="0"/>
    <n v="2"/>
    <n v="1"/>
    <n v="0.14000000000000001"/>
    <n v="0.16669999999999999"/>
    <n v="0.59"/>
    <n v="0.1045"/>
    <n v="2"/>
    <n v="10"/>
    <n v="12"/>
    <b v="1"/>
    <s v="January"/>
    <s v="Tuesday"/>
    <s v="Weekday"/>
    <s v="Spring"/>
    <s v="Clear"/>
    <x v="0"/>
    <x v="0"/>
    <s v="Medium"/>
  </r>
  <r>
    <n v="235"/>
    <d v="2011-01-11T00:00:00"/>
    <n v="1"/>
    <n v="0"/>
    <n v="1"/>
    <n v="1"/>
    <b v="0"/>
    <n v="2"/>
    <n v="1"/>
    <n v="0.14000000000000001"/>
    <n v="0.1515"/>
    <n v="0.59"/>
    <n v="0.16420000000000001"/>
    <n v="0"/>
    <n v="3"/>
    <n v="3"/>
    <b v="1"/>
    <s v="January"/>
    <s v="Tuesday"/>
    <s v="Weekday"/>
    <s v="Spring"/>
    <s v="Clear"/>
    <x v="0"/>
    <x v="0"/>
    <s v="Medium"/>
  </r>
  <r>
    <n v="236"/>
    <d v="2011-01-11T00:00:00"/>
    <n v="1"/>
    <n v="0"/>
    <n v="1"/>
    <n v="2"/>
    <b v="0"/>
    <n v="2"/>
    <n v="2"/>
    <n v="0.16"/>
    <n v="0.1515"/>
    <n v="0.55000000000000004"/>
    <n v="0.19400000000000001"/>
    <n v="0"/>
    <n v="3"/>
    <n v="3"/>
    <b v="1"/>
    <s v="January"/>
    <s v="Tuesday"/>
    <s v="Weekday"/>
    <s v="Spring"/>
    <s v="Mist"/>
    <x v="0"/>
    <x v="0"/>
    <s v="Medium"/>
  </r>
  <r>
    <n v="237"/>
    <d v="2011-01-11T00:00:00"/>
    <n v="1"/>
    <n v="0"/>
    <n v="1"/>
    <n v="5"/>
    <b v="0"/>
    <n v="2"/>
    <n v="2"/>
    <n v="0.16"/>
    <n v="0.18179999999999999"/>
    <n v="0.55000000000000004"/>
    <n v="0.1343"/>
    <n v="0"/>
    <n v="6"/>
    <n v="6"/>
    <b v="1"/>
    <s v="January"/>
    <s v="Tuesday"/>
    <s v="Weekday"/>
    <s v="Spring"/>
    <s v="Mist"/>
    <x v="0"/>
    <x v="0"/>
    <s v="Medium"/>
  </r>
  <r>
    <n v="238"/>
    <d v="2011-01-11T00:00:00"/>
    <n v="1"/>
    <n v="0"/>
    <n v="1"/>
    <n v="6"/>
    <b v="0"/>
    <n v="2"/>
    <n v="2"/>
    <n v="0.16"/>
    <n v="0.18179999999999999"/>
    <n v="0.55000000000000004"/>
    <n v="0.1343"/>
    <n v="0"/>
    <n v="27"/>
    <n v="27"/>
    <b v="1"/>
    <s v="January"/>
    <s v="Tuesday"/>
    <s v="Weekday"/>
    <s v="Spring"/>
    <s v="Mist"/>
    <x v="0"/>
    <x v="0"/>
    <s v="Medium"/>
  </r>
  <r>
    <n v="239"/>
    <d v="2011-01-11T00:00:00"/>
    <n v="1"/>
    <n v="0"/>
    <n v="1"/>
    <n v="7"/>
    <b v="0"/>
    <n v="2"/>
    <n v="2"/>
    <n v="0.16"/>
    <n v="0.2273"/>
    <n v="0.55000000000000004"/>
    <n v="0"/>
    <n v="2"/>
    <n v="97"/>
    <n v="99"/>
    <b v="1"/>
    <s v="January"/>
    <s v="Tuesday"/>
    <s v="Weekday"/>
    <s v="Spring"/>
    <s v="Mist"/>
    <x v="1"/>
    <x v="0"/>
    <s v="Medium"/>
  </r>
  <r>
    <n v="240"/>
    <d v="2011-01-11T00:00:00"/>
    <n v="1"/>
    <n v="0"/>
    <n v="1"/>
    <n v="8"/>
    <b v="0"/>
    <n v="2"/>
    <n v="2"/>
    <n v="0.18"/>
    <n v="0.21210000000000001"/>
    <n v="0.51"/>
    <n v="8.9599999999999999E-2"/>
    <n v="3"/>
    <n v="214"/>
    <n v="217"/>
    <b v="1"/>
    <s v="January"/>
    <s v="Tuesday"/>
    <s v="Weekday"/>
    <s v="Spring"/>
    <s v="Mist"/>
    <x v="1"/>
    <x v="0"/>
    <s v="Medium"/>
  </r>
  <r>
    <n v="241"/>
    <d v="2011-01-11T00:00:00"/>
    <n v="1"/>
    <n v="0"/>
    <n v="1"/>
    <n v="9"/>
    <b v="0"/>
    <n v="2"/>
    <n v="2"/>
    <n v="0.18"/>
    <n v="0.19700000000000001"/>
    <n v="0.51"/>
    <n v="0.16420000000000001"/>
    <n v="3"/>
    <n v="127"/>
    <n v="130"/>
    <b v="1"/>
    <s v="January"/>
    <s v="Tuesday"/>
    <s v="Weekday"/>
    <s v="Spring"/>
    <s v="Mist"/>
    <x v="1"/>
    <x v="0"/>
    <s v="Medium"/>
  </r>
  <r>
    <n v="242"/>
    <d v="2011-01-11T00:00:00"/>
    <n v="1"/>
    <n v="0"/>
    <n v="1"/>
    <n v="10"/>
    <b v="0"/>
    <n v="2"/>
    <n v="2"/>
    <n v="0.2"/>
    <n v="0.21210000000000001"/>
    <n v="0.51"/>
    <n v="0.16420000000000001"/>
    <n v="3"/>
    <n v="51"/>
    <n v="54"/>
    <b v="1"/>
    <s v="January"/>
    <s v="Tuesday"/>
    <s v="Weekday"/>
    <s v="Spring"/>
    <s v="Mist"/>
    <x v="0"/>
    <x v="0"/>
    <s v="Medium"/>
  </r>
  <r>
    <n v="243"/>
    <d v="2011-01-11T00:00:00"/>
    <n v="1"/>
    <n v="0"/>
    <n v="1"/>
    <n v="11"/>
    <b v="0"/>
    <n v="2"/>
    <n v="2"/>
    <n v="0.2"/>
    <n v="0.21210000000000001"/>
    <n v="0.47"/>
    <n v="0.1343"/>
    <n v="4"/>
    <n v="31"/>
    <n v="35"/>
    <b v="1"/>
    <s v="January"/>
    <s v="Tuesday"/>
    <s v="Weekday"/>
    <s v="Spring"/>
    <s v="Mist"/>
    <x v="0"/>
    <x v="0"/>
    <s v="Medium"/>
  </r>
  <r>
    <n v="244"/>
    <d v="2011-01-11T00:00:00"/>
    <n v="1"/>
    <n v="0"/>
    <n v="1"/>
    <n v="12"/>
    <b v="0"/>
    <n v="2"/>
    <n v="2"/>
    <n v="0.2"/>
    <n v="0.2273"/>
    <n v="0.51"/>
    <n v="0.1045"/>
    <n v="2"/>
    <n v="55"/>
    <n v="57"/>
    <b v="1"/>
    <s v="January"/>
    <s v="Tuesday"/>
    <s v="Weekday"/>
    <s v="Spring"/>
    <s v="Mist"/>
    <x v="0"/>
    <x v="0"/>
    <s v="Medium"/>
  </r>
  <r>
    <n v="245"/>
    <d v="2011-01-11T00:00:00"/>
    <n v="1"/>
    <n v="0"/>
    <n v="1"/>
    <n v="13"/>
    <b v="0"/>
    <n v="2"/>
    <n v="2"/>
    <n v="0.2"/>
    <n v="0.2273"/>
    <n v="0.59"/>
    <n v="8.9599999999999999E-2"/>
    <n v="6"/>
    <n v="46"/>
    <n v="52"/>
    <b v="1"/>
    <s v="January"/>
    <s v="Tuesday"/>
    <s v="Weekday"/>
    <s v="Spring"/>
    <s v="Mist"/>
    <x v="0"/>
    <x v="0"/>
    <s v="Medium"/>
  </r>
  <r>
    <n v="246"/>
    <d v="2011-01-11T00:00:00"/>
    <n v="1"/>
    <n v="0"/>
    <n v="1"/>
    <n v="14"/>
    <b v="0"/>
    <n v="2"/>
    <n v="2"/>
    <n v="0.2"/>
    <n v="0.2273"/>
    <n v="0.59"/>
    <n v="8.9599999999999999E-2"/>
    <n v="3"/>
    <n v="60"/>
    <n v="63"/>
    <b v="1"/>
    <s v="January"/>
    <s v="Tuesday"/>
    <s v="Weekday"/>
    <s v="Spring"/>
    <s v="Mist"/>
    <x v="0"/>
    <x v="0"/>
    <s v="Medium"/>
  </r>
  <r>
    <n v="247"/>
    <d v="2011-01-11T00:00:00"/>
    <n v="1"/>
    <n v="0"/>
    <n v="1"/>
    <n v="15"/>
    <b v="0"/>
    <n v="2"/>
    <n v="2"/>
    <n v="0.16"/>
    <n v="0.19700000000000001"/>
    <n v="0.8"/>
    <n v="8.9599999999999999E-2"/>
    <n v="2"/>
    <n v="45"/>
    <n v="47"/>
    <b v="1"/>
    <s v="January"/>
    <s v="Tuesday"/>
    <s v="Weekday"/>
    <s v="Spring"/>
    <s v="Mist"/>
    <x v="0"/>
    <x v="0"/>
    <s v="High"/>
  </r>
  <r>
    <n v="248"/>
    <d v="2011-01-11T00:00:00"/>
    <n v="1"/>
    <n v="0"/>
    <n v="1"/>
    <n v="16"/>
    <b v="0"/>
    <n v="2"/>
    <n v="2"/>
    <n v="0.16"/>
    <n v="0.1515"/>
    <n v="0.86"/>
    <n v="0.22389999999999999"/>
    <n v="4"/>
    <n v="72"/>
    <n v="76"/>
    <b v="1"/>
    <s v="January"/>
    <s v="Tuesday"/>
    <s v="Weekday"/>
    <s v="Spring"/>
    <s v="Mist"/>
    <x v="0"/>
    <x v="0"/>
    <s v="High"/>
  </r>
  <r>
    <n v="249"/>
    <d v="2011-01-11T00:00:00"/>
    <n v="1"/>
    <n v="0"/>
    <n v="1"/>
    <n v="17"/>
    <b v="0"/>
    <n v="2"/>
    <n v="2"/>
    <n v="0.16"/>
    <n v="0.1515"/>
    <n v="0.86"/>
    <n v="0.22389999999999999"/>
    <n v="6"/>
    <n v="130"/>
    <n v="136"/>
    <b v="1"/>
    <s v="January"/>
    <s v="Tuesday"/>
    <s v="Weekday"/>
    <s v="Spring"/>
    <s v="Mist"/>
    <x v="2"/>
    <x v="0"/>
    <s v="High"/>
  </r>
  <r>
    <n v="250"/>
    <d v="2011-01-11T00:00:00"/>
    <n v="1"/>
    <n v="0"/>
    <n v="1"/>
    <n v="18"/>
    <b v="0"/>
    <n v="2"/>
    <n v="3"/>
    <n v="0.16"/>
    <n v="0.18179999999999999"/>
    <n v="0.93"/>
    <n v="0.1045"/>
    <n v="1"/>
    <n v="94"/>
    <n v="95"/>
    <b v="1"/>
    <s v="January"/>
    <s v="Tuesday"/>
    <s v="Weekday"/>
    <s v="Spring"/>
    <s v="Light Rain"/>
    <x v="2"/>
    <x v="0"/>
    <s v="High"/>
  </r>
  <r>
    <n v="251"/>
    <d v="2011-01-11T00:00:00"/>
    <n v="1"/>
    <n v="0"/>
    <n v="1"/>
    <n v="19"/>
    <b v="0"/>
    <n v="2"/>
    <n v="3"/>
    <n v="0.16"/>
    <n v="0.2273"/>
    <n v="0.93"/>
    <n v="0"/>
    <n v="0"/>
    <n v="51"/>
    <n v="51"/>
    <b v="1"/>
    <s v="January"/>
    <s v="Tuesday"/>
    <s v="Weekday"/>
    <s v="Spring"/>
    <s v="Light Rain"/>
    <x v="2"/>
    <x v="0"/>
    <s v="High"/>
  </r>
  <r>
    <n v="252"/>
    <d v="2011-01-11T00:00:00"/>
    <n v="1"/>
    <n v="0"/>
    <n v="1"/>
    <n v="20"/>
    <b v="0"/>
    <n v="2"/>
    <n v="3"/>
    <n v="0.16"/>
    <n v="0.1515"/>
    <n v="0.93"/>
    <n v="0.19400000000000001"/>
    <n v="0"/>
    <n v="32"/>
    <n v="32"/>
    <b v="1"/>
    <s v="January"/>
    <s v="Tuesday"/>
    <s v="Weekday"/>
    <s v="Spring"/>
    <s v="Light Rain"/>
    <x v="2"/>
    <x v="0"/>
    <s v="High"/>
  </r>
  <r>
    <n v="253"/>
    <d v="2011-01-11T00:00:00"/>
    <n v="1"/>
    <n v="0"/>
    <n v="1"/>
    <n v="21"/>
    <b v="0"/>
    <n v="2"/>
    <n v="3"/>
    <n v="0.16"/>
    <n v="0.19700000000000001"/>
    <n v="0.86"/>
    <n v="8.9599999999999999E-2"/>
    <n v="0"/>
    <n v="20"/>
    <n v="20"/>
    <b v="1"/>
    <s v="January"/>
    <s v="Tuesday"/>
    <s v="Weekday"/>
    <s v="Spring"/>
    <s v="Light Rain"/>
    <x v="0"/>
    <x v="0"/>
    <s v="High"/>
  </r>
  <r>
    <n v="254"/>
    <d v="2011-01-11T00:00:00"/>
    <n v="1"/>
    <n v="0"/>
    <n v="1"/>
    <n v="22"/>
    <b v="0"/>
    <n v="2"/>
    <n v="3"/>
    <n v="0.16"/>
    <n v="0.18179999999999999"/>
    <n v="0.93"/>
    <n v="0.1045"/>
    <n v="1"/>
    <n v="28"/>
    <n v="29"/>
    <b v="1"/>
    <s v="January"/>
    <s v="Tuesday"/>
    <s v="Weekday"/>
    <s v="Spring"/>
    <s v="Light Rain"/>
    <x v="0"/>
    <x v="0"/>
    <s v="High"/>
  </r>
  <r>
    <n v="255"/>
    <d v="2011-01-11T00:00:00"/>
    <n v="1"/>
    <n v="0"/>
    <n v="1"/>
    <n v="23"/>
    <b v="0"/>
    <n v="2"/>
    <n v="3"/>
    <n v="0.16"/>
    <n v="0.19700000000000001"/>
    <n v="0.93"/>
    <n v="8.9599999999999999E-2"/>
    <n v="1"/>
    <n v="18"/>
    <n v="19"/>
    <b v="1"/>
    <s v="January"/>
    <s v="Tuesday"/>
    <s v="Weekday"/>
    <s v="Spring"/>
    <s v="Light Rain"/>
    <x v="0"/>
    <x v="0"/>
    <s v="High"/>
  </r>
  <r>
    <n v="256"/>
    <d v="2011-01-12T00:00:00"/>
    <n v="1"/>
    <n v="0"/>
    <n v="1"/>
    <n v="0"/>
    <b v="0"/>
    <n v="3"/>
    <n v="2"/>
    <n v="0.16"/>
    <n v="0.19700000000000001"/>
    <n v="0.86"/>
    <n v="8.9599999999999999E-2"/>
    <n v="0"/>
    <n v="7"/>
    <n v="7"/>
    <b v="1"/>
    <s v="January"/>
    <s v="Wednesday"/>
    <s v="Weekday"/>
    <s v="Spring"/>
    <s v="Mist"/>
    <x v="0"/>
    <x v="0"/>
    <s v="High"/>
  </r>
  <r>
    <n v="257"/>
    <d v="2011-01-12T00:00:00"/>
    <n v="1"/>
    <n v="0"/>
    <n v="1"/>
    <n v="1"/>
    <b v="0"/>
    <n v="3"/>
    <n v="2"/>
    <n v="0.16"/>
    <n v="0.18179999999999999"/>
    <n v="0.86"/>
    <n v="0.1045"/>
    <n v="0"/>
    <n v="6"/>
    <n v="6"/>
    <b v="1"/>
    <s v="January"/>
    <s v="Wednesday"/>
    <s v="Weekday"/>
    <s v="Spring"/>
    <s v="Mist"/>
    <x v="0"/>
    <x v="0"/>
    <s v="High"/>
  </r>
  <r>
    <n v="258"/>
    <d v="2011-01-12T00:00:00"/>
    <n v="1"/>
    <n v="0"/>
    <n v="1"/>
    <n v="2"/>
    <b v="0"/>
    <n v="3"/>
    <n v="1"/>
    <n v="0.14000000000000001"/>
    <n v="0.1515"/>
    <n v="0.86"/>
    <n v="0.1343"/>
    <n v="0"/>
    <n v="1"/>
    <n v="1"/>
    <b v="1"/>
    <s v="January"/>
    <s v="Wednesday"/>
    <s v="Weekday"/>
    <s v="Spring"/>
    <s v="Clear"/>
    <x v="0"/>
    <x v="0"/>
    <s v="High"/>
  </r>
  <r>
    <n v="259"/>
    <d v="2011-01-12T00:00:00"/>
    <n v="1"/>
    <n v="0"/>
    <n v="1"/>
    <n v="5"/>
    <b v="0"/>
    <n v="3"/>
    <n v="1"/>
    <n v="0.14000000000000001"/>
    <n v="0.1515"/>
    <n v="0.86"/>
    <n v="0.16420000000000001"/>
    <n v="0"/>
    <n v="5"/>
    <n v="5"/>
    <b v="1"/>
    <s v="January"/>
    <s v="Wednesday"/>
    <s v="Weekday"/>
    <s v="Spring"/>
    <s v="Clear"/>
    <x v="0"/>
    <x v="0"/>
    <s v="High"/>
  </r>
  <r>
    <n v="260"/>
    <d v="2011-01-12T00:00:00"/>
    <n v="1"/>
    <n v="0"/>
    <n v="1"/>
    <n v="6"/>
    <b v="0"/>
    <n v="3"/>
    <n v="1"/>
    <n v="0.12"/>
    <n v="0.1515"/>
    <n v="0.93"/>
    <n v="0.1343"/>
    <n v="0"/>
    <n v="16"/>
    <n v="16"/>
    <b v="1"/>
    <s v="January"/>
    <s v="Wednesday"/>
    <s v="Weekday"/>
    <s v="Spring"/>
    <s v="Clear"/>
    <x v="0"/>
    <x v="0"/>
    <s v="High"/>
  </r>
  <r>
    <n v="261"/>
    <d v="2011-01-12T00:00:00"/>
    <n v="1"/>
    <n v="0"/>
    <n v="1"/>
    <n v="7"/>
    <b v="0"/>
    <n v="3"/>
    <n v="1"/>
    <n v="0.14000000000000001"/>
    <n v="0.1515"/>
    <n v="0.69"/>
    <n v="0.1343"/>
    <n v="0"/>
    <n v="54"/>
    <n v="54"/>
    <b v="1"/>
    <s v="January"/>
    <s v="Wednesday"/>
    <s v="Weekday"/>
    <s v="Spring"/>
    <s v="Clear"/>
    <x v="1"/>
    <x v="0"/>
    <s v="Medium"/>
  </r>
  <r>
    <n v="262"/>
    <d v="2011-01-12T00:00:00"/>
    <n v="1"/>
    <n v="0"/>
    <n v="1"/>
    <n v="8"/>
    <b v="0"/>
    <n v="3"/>
    <n v="1"/>
    <n v="0.16"/>
    <n v="0.16669999999999999"/>
    <n v="0.59"/>
    <n v="0.16420000000000001"/>
    <n v="3"/>
    <n v="125"/>
    <n v="128"/>
    <b v="1"/>
    <s v="January"/>
    <s v="Wednesday"/>
    <s v="Weekday"/>
    <s v="Spring"/>
    <s v="Clear"/>
    <x v="1"/>
    <x v="0"/>
    <s v="Medium"/>
  </r>
  <r>
    <n v="263"/>
    <d v="2011-01-12T00:00:00"/>
    <n v="1"/>
    <n v="0"/>
    <n v="1"/>
    <n v="9"/>
    <b v="0"/>
    <n v="3"/>
    <n v="1"/>
    <n v="0.16"/>
    <n v="0.13639999999999999"/>
    <n v="0.59"/>
    <n v="0.32840000000000003"/>
    <n v="3"/>
    <n v="78"/>
    <n v="81"/>
    <b v="1"/>
    <s v="January"/>
    <s v="Wednesday"/>
    <s v="Weekday"/>
    <s v="Spring"/>
    <s v="Clear"/>
    <x v="1"/>
    <x v="0"/>
    <s v="Medium"/>
  </r>
  <r>
    <n v="264"/>
    <d v="2011-01-12T00:00:00"/>
    <n v="1"/>
    <n v="0"/>
    <n v="1"/>
    <n v="10"/>
    <b v="0"/>
    <n v="3"/>
    <n v="1"/>
    <n v="0.18"/>
    <n v="0.18179999999999999"/>
    <n v="0.55000000000000004"/>
    <n v="0.22389999999999999"/>
    <n v="0"/>
    <n v="39"/>
    <n v="39"/>
    <b v="1"/>
    <s v="January"/>
    <s v="Wednesday"/>
    <s v="Weekday"/>
    <s v="Spring"/>
    <s v="Clear"/>
    <x v="0"/>
    <x v="0"/>
    <s v="Medium"/>
  </r>
  <r>
    <n v="265"/>
    <d v="2011-01-12T00:00:00"/>
    <n v="1"/>
    <n v="0"/>
    <n v="1"/>
    <n v="11"/>
    <b v="0"/>
    <n v="3"/>
    <n v="1"/>
    <n v="0.2"/>
    <n v="0.18179999999999999"/>
    <n v="0.51"/>
    <n v="0.3881"/>
    <n v="3"/>
    <n v="32"/>
    <n v="35"/>
    <b v="1"/>
    <s v="January"/>
    <s v="Wednesday"/>
    <s v="Weekday"/>
    <s v="Spring"/>
    <s v="Clear"/>
    <x v="0"/>
    <x v="0"/>
    <s v="Medium"/>
  </r>
  <r>
    <n v="266"/>
    <d v="2011-01-12T00:00:00"/>
    <n v="1"/>
    <n v="0"/>
    <n v="1"/>
    <n v="12"/>
    <b v="0"/>
    <n v="3"/>
    <n v="1"/>
    <n v="0.2"/>
    <n v="0.1515"/>
    <n v="0.47"/>
    <n v="0.58209999999999995"/>
    <n v="3"/>
    <n v="52"/>
    <n v="55"/>
    <b v="1"/>
    <s v="January"/>
    <s v="Wednesday"/>
    <s v="Weekday"/>
    <s v="Spring"/>
    <s v="Clear"/>
    <x v="0"/>
    <x v="0"/>
    <s v="Medium"/>
  </r>
  <r>
    <n v="267"/>
    <d v="2011-01-12T00:00:00"/>
    <n v="1"/>
    <n v="0"/>
    <n v="1"/>
    <n v="13"/>
    <b v="0"/>
    <n v="3"/>
    <n v="1"/>
    <n v="0.22"/>
    <n v="0.19700000000000001"/>
    <n v="0.44"/>
    <n v="0.35820000000000002"/>
    <n v="0"/>
    <n v="49"/>
    <n v="49"/>
    <b v="1"/>
    <s v="January"/>
    <s v="Wednesday"/>
    <s v="Weekday"/>
    <s v="Spring"/>
    <s v="Clear"/>
    <x v="0"/>
    <x v="0"/>
    <s v="Medium"/>
  </r>
  <r>
    <n v="268"/>
    <d v="2011-01-12T00:00:00"/>
    <n v="1"/>
    <n v="0"/>
    <n v="1"/>
    <n v="14"/>
    <b v="0"/>
    <n v="3"/>
    <n v="1"/>
    <n v="0.2"/>
    <n v="0.18179999999999999"/>
    <n v="0.47"/>
    <n v="0.32840000000000003"/>
    <n v="0"/>
    <n v="44"/>
    <n v="44"/>
    <b v="1"/>
    <s v="January"/>
    <s v="Wednesday"/>
    <s v="Weekday"/>
    <s v="Spring"/>
    <s v="Clear"/>
    <x v="0"/>
    <x v="0"/>
    <s v="Medium"/>
  </r>
  <r>
    <n v="269"/>
    <d v="2011-01-12T00:00:00"/>
    <n v="1"/>
    <n v="0"/>
    <n v="1"/>
    <n v="15"/>
    <b v="0"/>
    <n v="3"/>
    <n v="1"/>
    <n v="0.2"/>
    <n v="0.16669999999999999"/>
    <n v="0.47"/>
    <n v="0.41789999999999999"/>
    <n v="1"/>
    <n v="48"/>
    <n v="49"/>
    <b v="1"/>
    <s v="January"/>
    <s v="Wednesday"/>
    <s v="Weekday"/>
    <s v="Spring"/>
    <s v="Clear"/>
    <x v="0"/>
    <x v="0"/>
    <s v="Medium"/>
  </r>
  <r>
    <n v="270"/>
    <d v="2011-01-12T00:00:00"/>
    <n v="1"/>
    <n v="0"/>
    <n v="1"/>
    <n v="16"/>
    <b v="0"/>
    <n v="3"/>
    <n v="1"/>
    <n v="0.22"/>
    <n v="0.19700000000000001"/>
    <n v="0.44"/>
    <n v="0.32840000000000003"/>
    <n v="5"/>
    <n v="63"/>
    <n v="68"/>
    <b v="1"/>
    <s v="January"/>
    <s v="Wednesday"/>
    <s v="Weekday"/>
    <s v="Spring"/>
    <s v="Clear"/>
    <x v="0"/>
    <x v="0"/>
    <s v="Medium"/>
  </r>
  <r>
    <n v="271"/>
    <d v="2011-01-12T00:00:00"/>
    <n v="1"/>
    <n v="0"/>
    <n v="1"/>
    <n v="17"/>
    <b v="0"/>
    <n v="3"/>
    <n v="1"/>
    <n v="0.2"/>
    <n v="0.18179999999999999"/>
    <n v="0.47"/>
    <n v="0.35820000000000002"/>
    <n v="0"/>
    <n v="139"/>
    <n v="139"/>
    <b v="1"/>
    <s v="January"/>
    <s v="Wednesday"/>
    <s v="Weekday"/>
    <s v="Spring"/>
    <s v="Clear"/>
    <x v="2"/>
    <x v="0"/>
    <s v="Medium"/>
  </r>
  <r>
    <n v="272"/>
    <d v="2011-01-12T00:00:00"/>
    <n v="1"/>
    <n v="0"/>
    <n v="1"/>
    <n v="18"/>
    <b v="0"/>
    <n v="3"/>
    <n v="1"/>
    <n v="0.2"/>
    <n v="0.1515"/>
    <n v="0.47"/>
    <n v="0.52239999999999998"/>
    <n v="2"/>
    <n v="135"/>
    <n v="137"/>
    <b v="1"/>
    <s v="January"/>
    <s v="Wednesday"/>
    <s v="Weekday"/>
    <s v="Spring"/>
    <s v="Clear"/>
    <x v="2"/>
    <x v="0"/>
    <s v="Medium"/>
  </r>
  <r>
    <n v="273"/>
    <d v="2011-01-12T00:00:00"/>
    <n v="1"/>
    <n v="0"/>
    <n v="1"/>
    <n v="19"/>
    <b v="0"/>
    <n v="3"/>
    <n v="1"/>
    <n v="0.18"/>
    <n v="0.1515"/>
    <n v="0.47"/>
    <n v="0.41789999999999999"/>
    <n v="1"/>
    <n v="82"/>
    <n v="83"/>
    <b v="1"/>
    <s v="January"/>
    <s v="Wednesday"/>
    <s v="Weekday"/>
    <s v="Spring"/>
    <s v="Clear"/>
    <x v="2"/>
    <x v="0"/>
    <s v="Medium"/>
  </r>
  <r>
    <n v="274"/>
    <d v="2011-01-12T00:00:00"/>
    <n v="1"/>
    <n v="0"/>
    <n v="1"/>
    <n v="20"/>
    <b v="0"/>
    <n v="3"/>
    <n v="1"/>
    <n v="0.16"/>
    <n v="0.13639999999999999"/>
    <n v="0.5"/>
    <n v="0.32840000000000003"/>
    <n v="2"/>
    <n v="54"/>
    <n v="56"/>
    <b v="1"/>
    <s v="January"/>
    <s v="Wednesday"/>
    <s v="Weekday"/>
    <s v="Spring"/>
    <s v="Clear"/>
    <x v="2"/>
    <x v="0"/>
    <s v="Medium"/>
  </r>
  <r>
    <n v="275"/>
    <d v="2011-01-12T00:00:00"/>
    <n v="1"/>
    <n v="0"/>
    <n v="1"/>
    <n v="21"/>
    <b v="0"/>
    <n v="3"/>
    <n v="1"/>
    <n v="0.16"/>
    <n v="0.13639999999999999"/>
    <n v="0.55000000000000004"/>
    <n v="0.32840000000000003"/>
    <n v="0"/>
    <n v="57"/>
    <n v="57"/>
    <b v="1"/>
    <s v="January"/>
    <s v="Wednesday"/>
    <s v="Weekday"/>
    <s v="Spring"/>
    <s v="Clear"/>
    <x v="0"/>
    <x v="0"/>
    <s v="Medium"/>
  </r>
  <r>
    <n v="276"/>
    <d v="2011-01-12T00:00:00"/>
    <n v="1"/>
    <n v="0"/>
    <n v="1"/>
    <n v="22"/>
    <b v="0"/>
    <n v="3"/>
    <n v="1"/>
    <n v="0.16"/>
    <n v="0.1212"/>
    <n v="0.55000000000000004"/>
    <n v="0.44779999999999998"/>
    <n v="1"/>
    <n v="32"/>
    <n v="33"/>
    <b v="1"/>
    <s v="January"/>
    <s v="Wednesday"/>
    <s v="Weekday"/>
    <s v="Spring"/>
    <s v="Clear"/>
    <x v="0"/>
    <x v="0"/>
    <s v="Medium"/>
  </r>
  <r>
    <n v="277"/>
    <d v="2011-01-12T00:00:00"/>
    <n v="1"/>
    <n v="0"/>
    <n v="1"/>
    <n v="23"/>
    <b v="0"/>
    <n v="3"/>
    <n v="1"/>
    <n v="0.14000000000000001"/>
    <n v="0.1061"/>
    <n v="0.59"/>
    <n v="0.41789999999999999"/>
    <n v="1"/>
    <n v="19"/>
    <n v="20"/>
    <b v="1"/>
    <s v="January"/>
    <s v="Wednesday"/>
    <s v="Weekday"/>
    <s v="Spring"/>
    <s v="Clear"/>
    <x v="0"/>
    <x v="0"/>
    <s v="Medium"/>
  </r>
  <r>
    <n v="278"/>
    <d v="2011-01-13T00:00:00"/>
    <n v="1"/>
    <n v="0"/>
    <n v="1"/>
    <n v="0"/>
    <b v="0"/>
    <n v="4"/>
    <n v="1"/>
    <n v="0.14000000000000001"/>
    <n v="0.1212"/>
    <n v="0.59"/>
    <n v="0.28360000000000002"/>
    <n v="1"/>
    <n v="6"/>
    <n v="7"/>
    <b v="1"/>
    <s v="January"/>
    <s v="Thursday"/>
    <s v="Weekday"/>
    <s v="Spring"/>
    <s v="Clear"/>
    <x v="0"/>
    <x v="0"/>
    <s v="Medium"/>
  </r>
  <r>
    <n v="279"/>
    <d v="2011-01-13T00:00:00"/>
    <n v="1"/>
    <n v="0"/>
    <n v="1"/>
    <n v="1"/>
    <b v="0"/>
    <n v="4"/>
    <n v="1"/>
    <n v="0.14000000000000001"/>
    <n v="0.1212"/>
    <n v="0.5"/>
    <n v="0.28360000000000002"/>
    <n v="0"/>
    <n v="2"/>
    <n v="2"/>
    <b v="1"/>
    <s v="January"/>
    <s v="Thursday"/>
    <s v="Weekday"/>
    <s v="Spring"/>
    <s v="Clear"/>
    <x v="0"/>
    <x v="0"/>
    <s v="Medium"/>
  </r>
  <r>
    <n v="280"/>
    <d v="2011-01-13T00:00:00"/>
    <n v="1"/>
    <n v="0"/>
    <n v="1"/>
    <n v="2"/>
    <b v="0"/>
    <n v="4"/>
    <n v="1"/>
    <n v="0.14000000000000001"/>
    <n v="0.1212"/>
    <n v="0.5"/>
    <n v="0.35820000000000002"/>
    <n v="0"/>
    <n v="2"/>
    <n v="2"/>
    <b v="1"/>
    <s v="January"/>
    <s v="Thursday"/>
    <s v="Weekday"/>
    <s v="Spring"/>
    <s v="Clear"/>
    <x v="0"/>
    <x v="0"/>
    <s v="Medium"/>
  </r>
  <r>
    <n v="281"/>
    <d v="2011-01-13T00:00:00"/>
    <n v="1"/>
    <n v="0"/>
    <n v="1"/>
    <n v="3"/>
    <b v="0"/>
    <n v="4"/>
    <n v="1"/>
    <n v="0.14000000000000001"/>
    <n v="0.1212"/>
    <n v="0.5"/>
    <n v="0.32840000000000003"/>
    <n v="0"/>
    <n v="3"/>
    <n v="3"/>
    <b v="1"/>
    <s v="January"/>
    <s v="Thursday"/>
    <s v="Weekday"/>
    <s v="Spring"/>
    <s v="Clear"/>
    <x v="0"/>
    <x v="0"/>
    <s v="Medium"/>
  </r>
  <r>
    <n v="282"/>
    <d v="2011-01-13T00:00:00"/>
    <n v="1"/>
    <n v="0"/>
    <n v="1"/>
    <n v="4"/>
    <b v="0"/>
    <n v="4"/>
    <n v="1"/>
    <n v="0.14000000000000001"/>
    <n v="0.1212"/>
    <n v="0.5"/>
    <n v="0.25369999999999998"/>
    <n v="0"/>
    <n v="4"/>
    <n v="4"/>
    <b v="1"/>
    <s v="January"/>
    <s v="Thursday"/>
    <s v="Weekday"/>
    <s v="Spring"/>
    <s v="Clear"/>
    <x v="0"/>
    <x v="0"/>
    <s v="Medium"/>
  </r>
  <r>
    <n v="283"/>
    <d v="2011-01-13T00:00:00"/>
    <n v="1"/>
    <n v="0"/>
    <n v="1"/>
    <n v="5"/>
    <b v="0"/>
    <n v="4"/>
    <n v="1"/>
    <n v="0.14000000000000001"/>
    <n v="0.1212"/>
    <n v="0.5"/>
    <n v="0.29849999999999999"/>
    <n v="0"/>
    <n v="3"/>
    <n v="3"/>
    <b v="1"/>
    <s v="January"/>
    <s v="Thursday"/>
    <s v="Weekday"/>
    <s v="Spring"/>
    <s v="Clear"/>
    <x v="0"/>
    <x v="0"/>
    <s v="Medium"/>
  </r>
  <r>
    <n v="284"/>
    <d v="2011-01-13T00:00:00"/>
    <n v="1"/>
    <n v="0"/>
    <n v="1"/>
    <n v="6"/>
    <b v="0"/>
    <n v="4"/>
    <n v="1"/>
    <n v="0.12"/>
    <n v="0.1515"/>
    <n v="0.54"/>
    <n v="0.1343"/>
    <n v="0"/>
    <n v="28"/>
    <n v="28"/>
    <b v="1"/>
    <s v="January"/>
    <s v="Thursday"/>
    <s v="Weekday"/>
    <s v="Spring"/>
    <s v="Clear"/>
    <x v="0"/>
    <x v="0"/>
    <s v="Medium"/>
  </r>
  <r>
    <n v="285"/>
    <d v="2011-01-13T00:00:00"/>
    <n v="1"/>
    <n v="0"/>
    <n v="1"/>
    <n v="7"/>
    <b v="0"/>
    <n v="4"/>
    <n v="1"/>
    <n v="0.12"/>
    <n v="0.1515"/>
    <n v="0.54"/>
    <n v="0.1343"/>
    <n v="0"/>
    <n v="72"/>
    <n v="72"/>
    <b v="1"/>
    <s v="January"/>
    <s v="Thursday"/>
    <s v="Weekday"/>
    <s v="Spring"/>
    <s v="Clear"/>
    <x v="1"/>
    <x v="0"/>
    <s v="Medium"/>
  </r>
  <r>
    <n v="286"/>
    <d v="2011-01-13T00:00:00"/>
    <n v="1"/>
    <n v="0"/>
    <n v="1"/>
    <n v="8"/>
    <b v="0"/>
    <n v="4"/>
    <n v="1"/>
    <n v="0.14000000000000001"/>
    <n v="0.13639999999999999"/>
    <n v="0.5"/>
    <n v="0.19400000000000001"/>
    <n v="5"/>
    <n v="197"/>
    <n v="202"/>
    <b v="1"/>
    <s v="January"/>
    <s v="Thursday"/>
    <s v="Weekday"/>
    <s v="Spring"/>
    <s v="Clear"/>
    <x v="1"/>
    <x v="0"/>
    <s v="Medium"/>
  </r>
  <r>
    <n v="287"/>
    <d v="2011-01-13T00:00:00"/>
    <n v="1"/>
    <n v="0"/>
    <n v="1"/>
    <n v="9"/>
    <b v="0"/>
    <n v="4"/>
    <n v="1"/>
    <n v="0.14000000000000001"/>
    <n v="0.1212"/>
    <n v="0.5"/>
    <n v="0.32840000000000003"/>
    <n v="2"/>
    <n v="137"/>
    <n v="139"/>
    <b v="1"/>
    <s v="January"/>
    <s v="Thursday"/>
    <s v="Weekday"/>
    <s v="Spring"/>
    <s v="Clear"/>
    <x v="1"/>
    <x v="0"/>
    <s v="Medium"/>
  </r>
  <r>
    <n v="288"/>
    <d v="2011-01-13T00:00:00"/>
    <n v="1"/>
    <n v="0"/>
    <n v="1"/>
    <n v="10"/>
    <b v="0"/>
    <n v="4"/>
    <n v="2"/>
    <n v="0.16"/>
    <n v="0.13639999999999999"/>
    <n v="0.5"/>
    <n v="0.35820000000000002"/>
    <n v="2"/>
    <n v="36"/>
    <n v="38"/>
    <b v="1"/>
    <s v="January"/>
    <s v="Thursday"/>
    <s v="Weekday"/>
    <s v="Spring"/>
    <s v="Mist"/>
    <x v="0"/>
    <x v="0"/>
    <s v="Medium"/>
  </r>
  <r>
    <n v="289"/>
    <d v="2011-01-13T00:00:00"/>
    <n v="1"/>
    <n v="0"/>
    <n v="1"/>
    <n v="11"/>
    <b v="0"/>
    <n v="4"/>
    <n v="2"/>
    <n v="0.2"/>
    <n v="0.16669999999999999"/>
    <n v="0.44"/>
    <n v="0.44779999999999998"/>
    <n v="4"/>
    <n v="33"/>
    <n v="37"/>
    <b v="1"/>
    <s v="January"/>
    <s v="Thursday"/>
    <s v="Weekday"/>
    <s v="Spring"/>
    <s v="Mist"/>
    <x v="0"/>
    <x v="0"/>
    <s v="Medium"/>
  </r>
  <r>
    <n v="290"/>
    <d v="2011-01-13T00:00:00"/>
    <n v="1"/>
    <n v="0"/>
    <n v="1"/>
    <n v="12"/>
    <b v="0"/>
    <n v="4"/>
    <n v="1"/>
    <n v="0.2"/>
    <n v="0.16669999999999999"/>
    <n v="0.44"/>
    <n v="0.41789999999999999"/>
    <n v="3"/>
    <n v="49"/>
    <n v="52"/>
    <b v="1"/>
    <s v="January"/>
    <s v="Thursday"/>
    <s v="Weekday"/>
    <s v="Spring"/>
    <s v="Clear"/>
    <x v="0"/>
    <x v="0"/>
    <s v="Medium"/>
  </r>
  <r>
    <n v="291"/>
    <d v="2011-01-13T00:00:00"/>
    <n v="1"/>
    <n v="0"/>
    <n v="1"/>
    <n v="13"/>
    <b v="0"/>
    <n v="4"/>
    <n v="1"/>
    <n v="0.22"/>
    <n v="0.19700000000000001"/>
    <n v="0.41"/>
    <n v="0.44779999999999998"/>
    <n v="2"/>
    <n v="81"/>
    <n v="83"/>
    <b v="1"/>
    <s v="January"/>
    <s v="Thursday"/>
    <s v="Weekday"/>
    <s v="Spring"/>
    <s v="Clear"/>
    <x v="0"/>
    <x v="0"/>
    <s v="Medium"/>
  </r>
  <r>
    <n v="292"/>
    <d v="2011-01-13T00:00:00"/>
    <n v="1"/>
    <n v="0"/>
    <n v="1"/>
    <n v="14"/>
    <b v="0"/>
    <n v="4"/>
    <n v="1"/>
    <n v="0.22"/>
    <n v="0.19700000000000001"/>
    <n v="0.41"/>
    <n v="0.3881"/>
    <n v="3"/>
    <n v="39"/>
    <n v="42"/>
    <b v="1"/>
    <s v="January"/>
    <s v="Thursday"/>
    <s v="Weekday"/>
    <s v="Spring"/>
    <s v="Clear"/>
    <x v="0"/>
    <x v="0"/>
    <s v="Medium"/>
  </r>
  <r>
    <n v="293"/>
    <d v="2011-01-13T00:00:00"/>
    <n v="1"/>
    <n v="0"/>
    <n v="1"/>
    <n v="15"/>
    <b v="0"/>
    <n v="4"/>
    <n v="1"/>
    <n v="0.24"/>
    <n v="0.21210000000000001"/>
    <n v="0.38"/>
    <n v="0.29849999999999999"/>
    <n v="5"/>
    <n v="55"/>
    <n v="60"/>
    <b v="1"/>
    <s v="January"/>
    <s v="Thursday"/>
    <s v="Weekday"/>
    <s v="Spring"/>
    <s v="Clear"/>
    <x v="0"/>
    <x v="0"/>
    <s v="Low"/>
  </r>
  <r>
    <n v="294"/>
    <d v="2011-01-13T00:00:00"/>
    <n v="1"/>
    <n v="0"/>
    <n v="1"/>
    <n v="16"/>
    <b v="0"/>
    <n v="4"/>
    <n v="1"/>
    <n v="0.24"/>
    <n v="0.21210000000000001"/>
    <n v="0.38"/>
    <n v="0.35820000000000002"/>
    <n v="2"/>
    <n v="76"/>
    <n v="78"/>
    <b v="1"/>
    <s v="January"/>
    <s v="Thursday"/>
    <s v="Weekday"/>
    <s v="Spring"/>
    <s v="Clear"/>
    <x v="0"/>
    <x v="0"/>
    <s v="Low"/>
  </r>
  <r>
    <n v="295"/>
    <d v="2011-01-13T00:00:00"/>
    <n v="1"/>
    <n v="0"/>
    <n v="1"/>
    <n v="17"/>
    <b v="0"/>
    <n v="4"/>
    <n v="1"/>
    <n v="0.2"/>
    <n v="0.18179999999999999"/>
    <n v="0.4"/>
    <n v="0.28360000000000002"/>
    <n v="4"/>
    <n v="158"/>
    <n v="162"/>
    <b v="1"/>
    <s v="January"/>
    <s v="Thursday"/>
    <s v="Weekday"/>
    <s v="Spring"/>
    <s v="Clear"/>
    <x v="2"/>
    <x v="0"/>
    <s v="Medium"/>
  </r>
  <r>
    <n v="296"/>
    <d v="2011-01-13T00:00:00"/>
    <n v="1"/>
    <n v="0"/>
    <n v="1"/>
    <n v="18"/>
    <b v="0"/>
    <n v="4"/>
    <n v="1"/>
    <n v="0.2"/>
    <n v="0.18179999999999999"/>
    <n v="0.4"/>
    <n v="0.32840000000000003"/>
    <n v="3"/>
    <n v="141"/>
    <n v="144"/>
    <b v="1"/>
    <s v="January"/>
    <s v="Thursday"/>
    <s v="Weekday"/>
    <s v="Spring"/>
    <s v="Clear"/>
    <x v="2"/>
    <x v="0"/>
    <s v="Medium"/>
  </r>
  <r>
    <n v="297"/>
    <d v="2011-01-13T00:00:00"/>
    <n v="1"/>
    <n v="0"/>
    <n v="1"/>
    <n v="19"/>
    <b v="0"/>
    <n v="4"/>
    <n v="1"/>
    <n v="0.16"/>
    <n v="0.1515"/>
    <n v="0.47"/>
    <n v="0.25369999999999998"/>
    <n v="1"/>
    <n v="98"/>
    <n v="99"/>
    <b v="1"/>
    <s v="January"/>
    <s v="Thursday"/>
    <s v="Weekday"/>
    <s v="Spring"/>
    <s v="Clear"/>
    <x v="2"/>
    <x v="0"/>
    <s v="Medium"/>
  </r>
  <r>
    <n v="298"/>
    <d v="2011-01-13T00:00:00"/>
    <n v="1"/>
    <n v="0"/>
    <n v="1"/>
    <n v="20"/>
    <b v="0"/>
    <n v="4"/>
    <n v="1"/>
    <n v="0.16"/>
    <n v="0.1515"/>
    <n v="0.47"/>
    <n v="0.22389999999999999"/>
    <n v="0"/>
    <n v="64"/>
    <n v="64"/>
    <b v="1"/>
    <s v="January"/>
    <s v="Thursday"/>
    <s v="Weekday"/>
    <s v="Spring"/>
    <s v="Clear"/>
    <x v="2"/>
    <x v="0"/>
    <s v="Medium"/>
  </r>
  <r>
    <n v="299"/>
    <d v="2011-01-13T00:00:00"/>
    <n v="1"/>
    <n v="0"/>
    <n v="1"/>
    <n v="21"/>
    <b v="0"/>
    <n v="4"/>
    <n v="1"/>
    <n v="0.14000000000000001"/>
    <n v="0.1212"/>
    <n v="0.46"/>
    <n v="0.29849999999999999"/>
    <n v="0"/>
    <n v="40"/>
    <n v="40"/>
    <b v="1"/>
    <s v="January"/>
    <s v="Thursday"/>
    <s v="Weekday"/>
    <s v="Spring"/>
    <s v="Clear"/>
    <x v="0"/>
    <x v="0"/>
    <s v="Medium"/>
  </r>
  <r>
    <n v="300"/>
    <d v="2011-01-13T00:00:00"/>
    <n v="1"/>
    <n v="0"/>
    <n v="1"/>
    <n v="22"/>
    <b v="0"/>
    <n v="4"/>
    <n v="1"/>
    <n v="0.14000000000000001"/>
    <n v="0.1212"/>
    <n v="0.46"/>
    <n v="0.32840000000000003"/>
    <n v="0"/>
    <n v="30"/>
    <n v="30"/>
    <b v="1"/>
    <s v="January"/>
    <s v="Thursday"/>
    <s v="Weekday"/>
    <s v="Spring"/>
    <s v="Clear"/>
    <x v="0"/>
    <x v="0"/>
    <s v="Medium"/>
  </r>
  <r>
    <n v="301"/>
    <d v="2011-01-13T00:00:00"/>
    <n v="1"/>
    <n v="0"/>
    <n v="1"/>
    <n v="23"/>
    <b v="0"/>
    <n v="4"/>
    <n v="1"/>
    <n v="0.12"/>
    <n v="0.13639999999999999"/>
    <n v="0.5"/>
    <n v="0.19400000000000001"/>
    <n v="1"/>
    <n v="14"/>
    <n v="15"/>
    <b v="1"/>
    <s v="January"/>
    <s v="Thursday"/>
    <s v="Weekday"/>
    <s v="Spring"/>
    <s v="Clear"/>
    <x v="0"/>
    <x v="0"/>
    <s v="Medium"/>
  </r>
  <r>
    <n v="302"/>
    <d v="2011-01-14T00:00:00"/>
    <n v="1"/>
    <n v="0"/>
    <n v="1"/>
    <n v="0"/>
    <b v="0"/>
    <n v="5"/>
    <n v="1"/>
    <n v="0.12"/>
    <n v="0.13639999999999999"/>
    <n v="0.5"/>
    <n v="0.19400000000000001"/>
    <n v="0"/>
    <n v="14"/>
    <n v="14"/>
    <b v="1"/>
    <s v="January"/>
    <s v="Friday"/>
    <s v="Weekday"/>
    <s v="Spring"/>
    <s v="Clear"/>
    <x v="0"/>
    <x v="0"/>
    <s v="Medium"/>
  </r>
  <r>
    <n v="303"/>
    <d v="2011-01-14T00:00:00"/>
    <n v="1"/>
    <n v="0"/>
    <n v="1"/>
    <n v="1"/>
    <b v="0"/>
    <n v="5"/>
    <n v="1"/>
    <n v="0.1"/>
    <n v="0.1212"/>
    <n v="0.54"/>
    <n v="0.16420000000000001"/>
    <n v="0"/>
    <n v="5"/>
    <n v="5"/>
    <b v="1"/>
    <s v="January"/>
    <s v="Friday"/>
    <s v="Weekday"/>
    <s v="Spring"/>
    <s v="Clear"/>
    <x v="0"/>
    <x v="0"/>
    <s v="Medium"/>
  </r>
  <r>
    <n v="304"/>
    <d v="2011-01-14T00:00:00"/>
    <n v="1"/>
    <n v="0"/>
    <n v="1"/>
    <n v="2"/>
    <b v="0"/>
    <n v="5"/>
    <n v="1"/>
    <n v="0.1"/>
    <n v="0.1212"/>
    <n v="0.54"/>
    <n v="0.1343"/>
    <n v="0"/>
    <n v="1"/>
    <n v="1"/>
    <b v="1"/>
    <s v="January"/>
    <s v="Friday"/>
    <s v="Weekday"/>
    <s v="Spring"/>
    <s v="Clear"/>
    <x v="0"/>
    <x v="0"/>
    <s v="Medium"/>
  </r>
  <r>
    <n v="305"/>
    <d v="2011-01-14T00:00:00"/>
    <n v="1"/>
    <n v="0"/>
    <n v="1"/>
    <n v="3"/>
    <b v="0"/>
    <n v="5"/>
    <n v="1"/>
    <n v="0.1"/>
    <n v="0.13639999999999999"/>
    <n v="0.54"/>
    <n v="0.1045"/>
    <n v="0"/>
    <n v="1"/>
    <n v="1"/>
    <b v="1"/>
    <s v="January"/>
    <s v="Friday"/>
    <s v="Weekday"/>
    <s v="Spring"/>
    <s v="Clear"/>
    <x v="0"/>
    <x v="0"/>
    <s v="Medium"/>
  </r>
  <r>
    <n v="306"/>
    <d v="2011-01-14T00:00:00"/>
    <n v="1"/>
    <n v="0"/>
    <n v="1"/>
    <n v="5"/>
    <b v="0"/>
    <n v="5"/>
    <n v="1"/>
    <n v="0.1"/>
    <n v="0.13639999999999999"/>
    <n v="0.54"/>
    <n v="8.9599999999999999E-2"/>
    <n v="0"/>
    <n v="8"/>
    <n v="8"/>
    <b v="1"/>
    <s v="January"/>
    <s v="Friday"/>
    <s v="Weekday"/>
    <s v="Spring"/>
    <s v="Clear"/>
    <x v="0"/>
    <x v="0"/>
    <s v="Medium"/>
  </r>
  <r>
    <n v="307"/>
    <d v="2011-01-14T00:00:00"/>
    <n v="1"/>
    <n v="0"/>
    <n v="1"/>
    <n v="6"/>
    <b v="0"/>
    <n v="5"/>
    <n v="1"/>
    <n v="0.1"/>
    <n v="0.18179999999999999"/>
    <n v="0.54"/>
    <n v="0"/>
    <n v="0"/>
    <n v="17"/>
    <n v="17"/>
    <b v="1"/>
    <s v="January"/>
    <s v="Friday"/>
    <s v="Weekday"/>
    <s v="Spring"/>
    <s v="Clear"/>
    <x v="0"/>
    <x v="0"/>
    <s v="Medium"/>
  </r>
  <r>
    <n v="308"/>
    <d v="2011-01-14T00:00:00"/>
    <n v="1"/>
    <n v="0"/>
    <n v="1"/>
    <n v="7"/>
    <b v="0"/>
    <n v="5"/>
    <n v="1"/>
    <n v="0.1"/>
    <n v="0.1212"/>
    <n v="0.74"/>
    <n v="0.16420000000000001"/>
    <n v="0"/>
    <n v="70"/>
    <n v="70"/>
    <b v="1"/>
    <s v="January"/>
    <s v="Friday"/>
    <s v="Weekday"/>
    <s v="Spring"/>
    <s v="Clear"/>
    <x v="1"/>
    <x v="0"/>
    <s v="High"/>
  </r>
  <r>
    <n v="309"/>
    <d v="2011-01-14T00:00:00"/>
    <n v="1"/>
    <n v="0"/>
    <n v="1"/>
    <n v="8"/>
    <b v="0"/>
    <n v="5"/>
    <n v="1"/>
    <n v="0.12"/>
    <n v="0.16669999999999999"/>
    <n v="0.68"/>
    <n v="0"/>
    <n v="2"/>
    <n v="156"/>
    <n v="158"/>
    <b v="1"/>
    <s v="January"/>
    <s v="Friday"/>
    <s v="Weekday"/>
    <s v="Spring"/>
    <s v="Clear"/>
    <x v="1"/>
    <x v="0"/>
    <s v="Medium"/>
  </r>
  <r>
    <n v="310"/>
    <d v="2011-01-14T00:00:00"/>
    <n v="1"/>
    <n v="0"/>
    <n v="1"/>
    <n v="9"/>
    <b v="0"/>
    <n v="5"/>
    <n v="1"/>
    <n v="0.14000000000000001"/>
    <n v="0.1515"/>
    <n v="0.69"/>
    <n v="0.1343"/>
    <n v="0"/>
    <n v="117"/>
    <n v="117"/>
    <b v="1"/>
    <s v="January"/>
    <s v="Friday"/>
    <s v="Weekday"/>
    <s v="Spring"/>
    <s v="Clear"/>
    <x v="1"/>
    <x v="0"/>
    <s v="Medium"/>
  </r>
  <r>
    <n v="311"/>
    <d v="2011-01-14T00:00:00"/>
    <n v="1"/>
    <n v="0"/>
    <n v="1"/>
    <n v="10"/>
    <b v="0"/>
    <n v="5"/>
    <n v="1"/>
    <n v="0.18"/>
    <n v="0.18179999999999999"/>
    <n v="0.55000000000000004"/>
    <n v="0.19400000000000001"/>
    <n v="4"/>
    <n v="40"/>
    <n v="44"/>
    <b v="1"/>
    <s v="January"/>
    <s v="Friday"/>
    <s v="Weekday"/>
    <s v="Spring"/>
    <s v="Clear"/>
    <x v="0"/>
    <x v="0"/>
    <s v="Medium"/>
  </r>
  <r>
    <n v="312"/>
    <d v="2011-01-14T00:00:00"/>
    <n v="1"/>
    <n v="0"/>
    <n v="1"/>
    <n v="11"/>
    <b v="0"/>
    <n v="5"/>
    <n v="1"/>
    <n v="0.18"/>
    <n v="0.16669999999999999"/>
    <n v="0.51"/>
    <n v="0.28360000000000002"/>
    <n v="6"/>
    <n v="47"/>
    <n v="53"/>
    <b v="1"/>
    <s v="January"/>
    <s v="Friday"/>
    <s v="Weekday"/>
    <s v="Spring"/>
    <s v="Clear"/>
    <x v="0"/>
    <x v="0"/>
    <s v="Medium"/>
  </r>
  <r>
    <n v="313"/>
    <d v="2011-01-14T00:00:00"/>
    <n v="1"/>
    <n v="0"/>
    <n v="1"/>
    <n v="12"/>
    <b v="0"/>
    <n v="5"/>
    <n v="1"/>
    <n v="0.2"/>
    <n v="0.19700000000000001"/>
    <n v="0.44"/>
    <n v="0.25369999999999998"/>
    <n v="2"/>
    <n v="59"/>
    <n v="61"/>
    <b v="1"/>
    <s v="January"/>
    <s v="Friday"/>
    <s v="Weekday"/>
    <s v="Spring"/>
    <s v="Clear"/>
    <x v="0"/>
    <x v="0"/>
    <s v="Medium"/>
  </r>
  <r>
    <n v="314"/>
    <d v="2011-01-14T00:00:00"/>
    <n v="1"/>
    <n v="0"/>
    <n v="1"/>
    <n v="13"/>
    <b v="0"/>
    <n v="5"/>
    <n v="1"/>
    <n v="0.22"/>
    <n v="0.19700000000000001"/>
    <n v="0.37"/>
    <n v="0.3881"/>
    <n v="4"/>
    <n v="73"/>
    <n v="77"/>
    <b v="1"/>
    <s v="January"/>
    <s v="Friday"/>
    <s v="Weekday"/>
    <s v="Spring"/>
    <s v="Clear"/>
    <x v="0"/>
    <x v="0"/>
    <s v="Low"/>
  </r>
  <r>
    <n v="315"/>
    <d v="2011-01-14T00:00:00"/>
    <n v="1"/>
    <n v="0"/>
    <n v="1"/>
    <n v="14"/>
    <b v="0"/>
    <n v="5"/>
    <n v="1"/>
    <n v="0.22"/>
    <n v="0.21210000000000001"/>
    <n v="0.41"/>
    <n v="0.28360000000000002"/>
    <n v="5"/>
    <n v="59"/>
    <n v="64"/>
    <b v="1"/>
    <s v="January"/>
    <s v="Friday"/>
    <s v="Weekday"/>
    <s v="Spring"/>
    <s v="Clear"/>
    <x v="0"/>
    <x v="0"/>
    <s v="Medium"/>
  </r>
  <r>
    <n v="316"/>
    <d v="2011-01-14T00:00:00"/>
    <n v="1"/>
    <n v="0"/>
    <n v="1"/>
    <n v="15"/>
    <b v="0"/>
    <n v="5"/>
    <n v="1"/>
    <n v="0.24"/>
    <n v="0.2424"/>
    <n v="0.38"/>
    <n v="0.16420000000000001"/>
    <n v="9"/>
    <n v="59"/>
    <n v="68"/>
    <b v="1"/>
    <s v="January"/>
    <s v="Friday"/>
    <s v="Weekday"/>
    <s v="Spring"/>
    <s v="Clear"/>
    <x v="0"/>
    <x v="0"/>
    <s v="Low"/>
  </r>
  <r>
    <n v="317"/>
    <d v="2011-01-14T00:00:00"/>
    <n v="1"/>
    <n v="0"/>
    <n v="1"/>
    <n v="16"/>
    <b v="0"/>
    <n v="5"/>
    <n v="1"/>
    <n v="0.22"/>
    <n v="0.2424"/>
    <n v="0.41"/>
    <n v="0.1045"/>
    <n v="3"/>
    <n v="87"/>
    <n v="90"/>
    <b v="1"/>
    <s v="January"/>
    <s v="Friday"/>
    <s v="Weekday"/>
    <s v="Spring"/>
    <s v="Clear"/>
    <x v="0"/>
    <x v="0"/>
    <s v="Medium"/>
  </r>
  <r>
    <n v="318"/>
    <d v="2011-01-14T00:00:00"/>
    <n v="1"/>
    <n v="0"/>
    <n v="1"/>
    <n v="17"/>
    <b v="0"/>
    <n v="5"/>
    <n v="1"/>
    <n v="0.22"/>
    <n v="0.2273"/>
    <n v="0.41"/>
    <n v="0.16420000000000001"/>
    <n v="4"/>
    <n v="155"/>
    <n v="159"/>
    <b v="1"/>
    <s v="January"/>
    <s v="Friday"/>
    <s v="Weekday"/>
    <s v="Spring"/>
    <s v="Clear"/>
    <x v="2"/>
    <x v="0"/>
    <s v="Medium"/>
  </r>
  <r>
    <n v="319"/>
    <d v="2011-01-14T00:00:00"/>
    <n v="1"/>
    <n v="0"/>
    <n v="1"/>
    <n v="18"/>
    <b v="0"/>
    <n v="5"/>
    <n v="1"/>
    <n v="0.2"/>
    <n v="0.2576"/>
    <n v="0.47"/>
    <n v="0"/>
    <n v="5"/>
    <n v="134"/>
    <n v="139"/>
    <b v="1"/>
    <s v="January"/>
    <s v="Friday"/>
    <s v="Weekday"/>
    <s v="Spring"/>
    <s v="Clear"/>
    <x v="2"/>
    <x v="0"/>
    <s v="Medium"/>
  </r>
  <r>
    <n v="320"/>
    <d v="2011-01-14T00:00:00"/>
    <n v="1"/>
    <n v="0"/>
    <n v="1"/>
    <n v="19"/>
    <b v="0"/>
    <n v="5"/>
    <n v="1"/>
    <n v="0.16"/>
    <n v="0.19700000000000001"/>
    <n v="0.59"/>
    <n v="8.9599999999999999E-2"/>
    <n v="3"/>
    <n v="89"/>
    <n v="92"/>
    <b v="1"/>
    <s v="January"/>
    <s v="Friday"/>
    <s v="Weekday"/>
    <s v="Spring"/>
    <s v="Clear"/>
    <x v="2"/>
    <x v="0"/>
    <s v="Medium"/>
  </r>
  <r>
    <n v="321"/>
    <d v="2011-01-14T00:00:00"/>
    <n v="1"/>
    <n v="0"/>
    <n v="1"/>
    <n v="20"/>
    <b v="0"/>
    <n v="5"/>
    <n v="1"/>
    <n v="0.18"/>
    <n v="0.2424"/>
    <n v="0.59"/>
    <n v="0"/>
    <n v="0"/>
    <n v="68"/>
    <n v="68"/>
    <b v="1"/>
    <s v="January"/>
    <s v="Friday"/>
    <s v="Weekday"/>
    <s v="Spring"/>
    <s v="Clear"/>
    <x v="2"/>
    <x v="0"/>
    <s v="Medium"/>
  </r>
  <r>
    <n v="322"/>
    <d v="2011-01-14T00:00:00"/>
    <n v="1"/>
    <n v="0"/>
    <n v="1"/>
    <n v="21"/>
    <b v="0"/>
    <n v="5"/>
    <n v="1"/>
    <n v="0.16"/>
    <n v="0.2273"/>
    <n v="0.69"/>
    <n v="0"/>
    <n v="4"/>
    <n v="48"/>
    <n v="52"/>
    <b v="1"/>
    <s v="January"/>
    <s v="Friday"/>
    <s v="Weekday"/>
    <s v="Spring"/>
    <s v="Clear"/>
    <x v="0"/>
    <x v="0"/>
    <s v="Medium"/>
  </r>
  <r>
    <n v="323"/>
    <d v="2011-01-14T00:00:00"/>
    <n v="1"/>
    <n v="0"/>
    <n v="1"/>
    <n v="22"/>
    <b v="0"/>
    <n v="5"/>
    <n v="2"/>
    <n v="0.16"/>
    <n v="0.2273"/>
    <n v="0.69"/>
    <n v="0"/>
    <n v="2"/>
    <n v="34"/>
    <n v="36"/>
    <b v="1"/>
    <s v="January"/>
    <s v="Friday"/>
    <s v="Weekday"/>
    <s v="Spring"/>
    <s v="Mist"/>
    <x v="0"/>
    <x v="0"/>
    <s v="Medium"/>
  </r>
  <r>
    <n v="324"/>
    <d v="2011-01-14T00:00:00"/>
    <n v="1"/>
    <n v="0"/>
    <n v="1"/>
    <n v="23"/>
    <b v="0"/>
    <n v="5"/>
    <n v="2"/>
    <n v="0.18"/>
    <n v="0.2424"/>
    <n v="0.55000000000000004"/>
    <n v="0"/>
    <n v="1"/>
    <n v="26"/>
    <n v="27"/>
    <b v="1"/>
    <s v="January"/>
    <s v="Friday"/>
    <s v="Weekday"/>
    <s v="Spring"/>
    <s v="Mist"/>
    <x v="0"/>
    <x v="0"/>
    <s v="Medium"/>
  </r>
  <r>
    <n v="325"/>
    <d v="2011-01-15T00:00:00"/>
    <n v="1"/>
    <n v="0"/>
    <n v="1"/>
    <n v="0"/>
    <b v="0"/>
    <n v="6"/>
    <n v="1"/>
    <n v="0.18"/>
    <n v="0.2424"/>
    <n v="0.55000000000000004"/>
    <n v="0"/>
    <n v="3"/>
    <n v="25"/>
    <n v="28"/>
    <b v="1"/>
    <s v="January"/>
    <s v="Saturday"/>
    <s v="Weekend"/>
    <s v="Spring"/>
    <s v="Clear"/>
    <x v="0"/>
    <x v="0"/>
    <s v="Medium"/>
  </r>
  <r>
    <n v="326"/>
    <d v="2011-01-15T00:00:00"/>
    <n v="1"/>
    <n v="0"/>
    <n v="1"/>
    <n v="1"/>
    <b v="0"/>
    <n v="6"/>
    <n v="2"/>
    <n v="0.16"/>
    <n v="0.19700000000000001"/>
    <n v="0.59"/>
    <n v="8.9599999999999999E-2"/>
    <n v="2"/>
    <n v="18"/>
    <n v="20"/>
    <b v="1"/>
    <s v="January"/>
    <s v="Saturday"/>
    <s v="Weekend"/>
    <s v="Spring"/>
    <s v="Mist"/>
    <x v="0"/>
    <x v="0"/>
    <s v="Medium"/>
  </r>
  <r>
    <n v="327"/>
    <d v="2011-01-15T00:00:00"/>
    <n v="1"/>
    <n v="0"/>
    <n v="1"/>
    <n v="2"/>
    <b v="0"/>
    <n v="6"/>
    <n v="2"/>
    <n v="0.16"/>
    <n v="0.19700000000000001"/>
    <n v="0.59"/>
    <n v="8.9599999999999999E-2"/>
    <n v="0"/>
    <n v="12"/>
    <n v="12"/>
    <b v="1"/>
    <s v="January"/>
    <s v="Saturday"/>
    <s v="Weekend"/>
    <s v="Spring"/>
    <s v="Mist"/>
    <x v="0"/>
    <x v="0"/>
    <s v="Medium"/>
  </r>
  <r>
    <n v="328"/>
    <d v="2011-01-15T00:00:00"/>
    <n v="1"/>
    <n v="0"/>
    <n v="1"/>
    <n v="3"/>
    <b v="0"/>
    <n v="6"/>
    <n v="2"/>
    <n v="0.16"/>
    <n v="0.2273"/>
    <n v="0.59"/>
    <n v="0"/>
    <n v="1"/>
    <n v="7"/>
    <n v="8"/>
    <b v="1"/>
    <s v="January"/>
    <s v="Saturday"/>
    <s v="Weekend"/>
    <s v="Spring"/>
    <s v="Mist"/>
    <x v="0"/>
    <x v="0"/>
    <s v="Medium"/>
  </r>
  <r>
    <n v="329"/>
    <d v="2011-01-15T00:00:00"/>
    <n v="1"/>
    <n v="0"/>
    <n v="1"/>
    <n v="4"/>
    <b v="0"/>
    <n v="6"/>
    <n v="2"/>
    <n v="0.16"/>
    <n v="0.2273"/>
    <n v="0.59"/>
    <n v="0"/>
    <n v="0"/>
    <n v="5"/>
    <n v="5"/>
    <b v="1"/>
    <s v="January"/>
    <s v="Saturday"/>
    <s v="Weekend"/>
    <s v="Spring"/>
    <s v="Mist"/>
    <x v="0"/>
    <x v="0"/>
    <s v="Medium"/>
  </r>
  <r>
    <n v="330"/>
    <d v="2011-01-15T00:00:00"/>
    <n v="1"/>
    <n v="0"/>
    <n v="1"/>
    <n v="5"/>
    <b v="0"/>
    <n v="6"/>
    <n v="1"/>
    <n v="0.16"/>
    <n v="0.2273"/>
    <n v="0.59"/>
    <n v="0"/>
    <n v="0"/>
    <n v="1"/>
    <n v="1"/>
    <b v="1"/>
    <s v="January"/>
    <s v="Saturday"/>
    <s v="Weekend"/>
    <s v="Spring"/>
    <s v="Clear"/>
    <x v="0"/>
    <x v="0"/>
    <s v="Medium"/>
  </r>
  <r>
    <n v="331"/>
    <d v="2011-01-15T00:00:00"/>
    <n v="1"/>
    <n v="0"/>
    <n v="1"/>
    <n v="6"/>
    <b v="0"/>
    <n v="6"/>
    <n v="1"/>
    <n v="0.14000000000000001"/>
    <n v="0.16669999999999999"/>
    <n v="0.63"/>
    <n v="0.1045"/>
    <n v="1"/>
    <n v="2"/>
    <n v="3"/>
    <b v="1"/>
    <s v="January"/>
    <s v="Saturday"/>
    <s v="Weekend"/>
    <s v="Spring"/>
    <s v="Clear"/>
    <x v="0"/>
    <x v="0"/>
    <s v="Medium"/>
  </r>
  <r>
    <n v="332"/>
    <d v="2011-01-15T00:00:00"/>
    <n v="1"/>
    <n v="0"/>
    <n v="1"/>
    <n v="7"/>
    <b v="0"/>
    <n v="6"/>
    <n v="1"/>
    <n v="0.14000000000000001"/>
    <n v="0.21210000000000001"/>
    <n v="0.63"/>
    <n v="0"/>
    <n v="1"/>
    <n v="9"/>
    <n v="10"/>
    <b v="1"/>
    <s v="January"/>
    <s v="Saturday"/>
    <s v="Weekend"/>
    <s v="Spring"/>
    <s v="Clear"/>
    <x v="1"/>
    <x v="0"/>
    <s v="Medium"/>
  </r>
  <r>
    <n v="333"/>
    <d v="2011-01-15T00:00:00"/>
    <n v="1"/>
    <n v="0"/>
    <n v="1"/>
    <n v="8"/>
    <b v="0"/>
    <n v="6"/>
    <n v="1"/>
    <n v="0.14000000000000001"/>
    <n v="0.1515"/>
    <n v="0.63"/>
    <n v="0.1343"/>
    <n v="1"/>
    <n v="22"/>
    <n v="23"/>
    <b v="1"/>
    <s v="January"/>
    <s v="Saturday"/>
    <s v="Weekend"/>
    <s v="Spring"/>
    <s v="Clear"/>
    <x v="1"/>
    <x v="0"/>
    <s v="Medium"/>
  </r>
  <r>
    <n v="334"/>
    <d v="2011-01-15T00:00:00"/>
    <n v="1"/>
    <n v="0"/>
    <n v="1"/>
    <n v="9"/>
    <b v="0"/>
    <n v="6"/>
    <n v="1"/>
    <n v="0.16"/>
    <n v="0.18179999999999999"/>
    <n v="0.64"/>
    <n v="0.1343"/>
    <n v="2"/>
    <n v="31"/>
    <n v="33"/>
    <b v="1"/>
    <s v="January"/>
    <s v="Saturday"/>
    <s v="Weekend"/>
    <s v="Spring"/>
    <s v="Clear"/>
    <x v="1"/>
    <x v="0"/>
    <s v="Medium"/>
  </r>
  <r>
    <n v="335"/>
    <d v="2011-01-15T00:00:00"/>
    <n v="1"/>
    <n v="0"/>
    <n v="1"/>
    <n v="10"/>
    <b v="0"/>
    <n v="6"/>
    <n v="1"/>
    <n v="0.18"/>
    <n v="0.19700000000000001"/>
    <n v="0.59"/>
    <n v="0.16420000000000001"/>
    <n v="2"/>
    <n v="57"/>
    <n v="59"/>
    <b v="1"/>
    <s v="January"/>
    <s v="Saturday"/>
    <s v="Weekend"/>
    <s v="Spring"/>
    <s v="Clear"/>
    <x v="0"/>
    <x v="0"/>
    <s v="Medium"/>
  </r>
  <r>
    <n v="336"/>
    <d v="2011-01-15T00:00:00"/>
    <n v="1"/>
    <n v="0"/>
    <n v="1"/>
    <n v="11"/>
    <b v="0"/>
    <n v="6"/>
    <n v="1"/>
    <n v="0.2"/>
    <n v="0.19700000000000001"/>
    <n v="0.55000000000000004"/>
    <n v="0.22389999999999999"/>
    <n v="18"/>
    <n v="54"/>
    <n v="72"/>
    <b v="1"/>
    <s v="January"/>
    <s v="Saturday"/>
    <s v="Weekend"/>
    <s v="Spring"/>
    <s v="Clear"/>
    <x v="0"/>
    <x v="0"/>
    <s v="Medium"/>
  </r>
  <r>
    <n v="337"/>
    <d v="2011-01-15T00:00:00"/>
    <n v="1"/>
    <n v="0"/>
    <n v="1"/>
    <n v="12"/>
    <b v="0"/>
    <n v="6"/>
    <n v="1"/>
    <n v="0.24"/>
    <n v="0.2273"/>
    <n v="0.48"/>
    <n v="0.22389999999999999"/>
    <n v="15"/>
    <n v="74"/>
    <n v="89"/>
    <b v="1"/>
    <s v="January"/>
    <s v="Saturday"/>
    <s v="Weekend"/>
    <s v="Spring"/>
    <s v="Clear"/>
    <x v="0"/>
    <x v="0"/>
    <s v="Medium"/>
  </r>
  <r>
    <n v="338"/>
    <d v="2011-01-15T00:00:00"/>
    <n v="1"/>
    <n v="0"/>
    <n v="1"/>
    <n v="13"/>
    <b v="0"/>
    <n v="6"/>
    <n v="1"/>
    <n v="0.28000000000000003"/>
    <n v="0.2576"/>
    <n v="0.38"/>
    <n v="0.29849999999999999"/>
    <n v="21"/>
    <n v="80"/>
    <n v="101"/>
    <b v="1"/>
    <s v="January"/>
    <s v="Saturday"/>
    <s v="Weekend"/>
    <s v="Spring"/>
    <s v="Clear"/>
    <x v="0"/>
    <x v="0"/>
    <s v="Low"/>
  </r>
  <r>
    <n v="339"/>
    <d v="2011-01-15T00:00:00"/>
    <n v="1"/>
    <n v="0"/>
    <n v="1"/>
    <n v="14"/>
    <b v="0"/>
    <n v="6"/>
    <n v="1"/>
    <n v="0.3"/>
    <n v="0.28789999999999999"/>
    <n v="0.39"/>
    <n v="0.28360000000000002"/>
    <n v="26"/>
    <n v="92"/>
    <n v="118"/>
    <b v="1"/>
    <s v="January"/>
    <s v="Saturday"/>
    <s v="Weekend"/>
    <s v="Spring"/>
    <s v="Clear"/>
    <x v="0"/>
    <x v="1"/>
    <s v="Low"/>
  </r>
  <r>
    <n v="340"/>
    <d v="2011-01-15T00:00:00"/>
    <n v="1"/>
    <n v="0"/>
    <n v="1"/>
    <n v="15"/>
    <b v="0"/>
    <n v="6"/>
    <n v="2"/>
    <n v="0.32"/>
    <n v="0.31819999999999998"/>
    <n v="0.36"/>
    <n v="0.19400000000000001"/>
    <n v="21"/>
    <n v="108"/>
    <n v="129"/>
    <b v="1"/>
    <s v="January"/>
    <s v="Saturday"/>
    <s v="Weekend"/>
    <s v="Spring"/>
    <s v="Mist"/>
    <x v="0"/>
    <x v="1"/>
    <s v="Low"/>
  </r>
  <r>
    <n v="341"/>
    <d v="2011-01-15T00:00:00"/>
    <n v="1"/>
    <n v="0"/>
    <n v="1"/>
    <n v="16"/>
    <b v="0"/>
    <n v="6"/>
    <n v="2"/>
    <n v="0.34"/>
    <n v="0.33329999999999999"/>
    <n v="0.34"/>
    <n v="0.19400000000000001"/>
    <n v="33"/>
    <n v="95"/>
    <n v="128"/>
    <b v="1"/>
    <s v="January"/>
    <s v="Saturday"/>
    <s v="Weekend"/>
    <s v="Spring"/>
    <s v="Mist"/>
    <x v="0"/>
    <x v="1"/>
    <s v="Low"/>
  </r>
  <r>
    <n v="342"/>
    <d v="2011-01-15T00:00:00"/>
    <n v="1"/>
    <n v="0"/>
    <n v="1"/>
    <n v="17"/>
    <b v="0"/>
    <n v="6"/>
    <n v="2"/>
    <n v="0.32"/>
    <n v="0.30299999999999999"/>
    <n v="0.36"/>
    <n v="0.28360000000000002"/>
    <n v="29"/>
    <n v="54"/>
    <n v="83"/>
    <b v="1"/>
    <s v="January"/>
    <s v="Saturday"/>
    <s v="Weekend"/>
    <s v="Spring"/>
    <s v="Mist"/>
    <x v="2"/>
    <x v="1"/>
    <s v="Low"/>
  </r>
  <r>
    <n v="343"/>
    <d v="2011-01-15T00:00:00"/>
    <n v="1"/>
    <n v="0"/>
    <n v="1"/>
    <n v="18"/>
    <b v="0"/>
    <n v="6"/>
    <n v="2"/>
    <n v="0.3"/>
    <n v="0.28789999999999999"/>
    <n v="0.45"/>
    <n v="0.25369999999999998"/>
    <n v="15"/>
    <n v="69"/>
    <n v="84"/>
    <b v="1"/>
    <s v="January"/>
    <s v="Saturday"/>
    <s v="Weekend"/>
    <s v="Spring"/>
    <s v="Mist"/>
    <x v="2"/>
    <x v="1"/>
    <s v="Medium"/>
  </r>
  <r>
    <n v="344"/>
    <d v="2011-01-15T00:00:00"/>
    <n v="1"/>
    <n v="0"/>
    <n v="1"/>
    <n v="19"/>
    <b v="0"/>
    <n v="6"/>
    <n v="2"/>
    <n v="0.32"/>
    <n v="0.30299999999999999"/>
    <n v="0.39"/>
    <n v="0.25369999999999998"/>
    <n v="14"/>
    <n v="60"/>
    <n v="74"/>
    <b v="1"/>
    <s v="January"/>
    <s v="Saturday"/>
    <s v="Weekend"/>
    <s v="Spring"/>
    <s v="Mist"/>
    <x v="2"/>
    <x v="1"/>
    <s v="Low"/>
  </r>
  <r>
    <n v="345"/>
    <d v="2011-01-15T00:00:00"/>
    <n v="1"/>
    <n v="0"/>
    <n v="1"/>
    <n v="20"/>
    <b v="0"/>
    <n v="6"/>
    <n v="2"/>
    <n v="0.32"/>
    <n v="0.30299999999999999"/>
    <n v="0.39"/>
    <n v="0.25369999999999998"/>
    <n v="6"/>
    <n v="35"/>
    <n v="41"/>
    <b v="1"/>
    <s v="January"/>
    <s v="Saturday"/>
    <s v="Weekend"/>
    <s v="Spring"/>
    <s v="Mist"/>
    <x v="2"/>
    <x v="1"/>
    <s v="Low"/>
  </r>
  <r>
    <n v="346"/>
    <d v="2011-01-15T00:00:00"/>
    <n v="1"/>
    <n v="0"/>
    <n v="1"/>
    <n v="21"/>
    <b v="0"/>
    <n v="6"/>
    <n v="2"/>
    <n v="0.32"/>
    <n v="0.30299999999999999"/>
    <n v="0.39"/>
    <n v="0.22389999999999999"/>
    <n v="6"/>
    <n v="51"/>
    <n v="57"/>
    <b v="1"/>
    <s v="January"/>
    <s v="Saturday"/>
    <s v="Weekend"/>
    <s v="Spring"/>
    <s v="Mist"/>
    <x v="0"/>
    <x v="1"/>
    <s v="Low"/>
  </r>
  <r>
    <n v="347"/>
    <d v="2011-01-15T00:00:00"/>
    <n v="1"/>
    <n v="0"/>
    <n v="1"/>
    <n v="22"/>
    <b v="0"/>
    <n v="6"/>
    <n v="2"/>
    <n v="0.3"/>
    <n v="0.31819999999999998"/>
    <n v="0.42"/>
    <n v="0.1045"/>
    <n v="0"/>
    <n v="26"/>
    <n v="26"/>
    <b v="1"/>
    <s v="January"/>
    <s v="Saturday"/>
    <s v="Weekend"/>
    <s v="Spring"/>
    <s v="Mist"/>
    <x v="0"/>
    <x v="1"/>
    <s v="Medium"/>
  </r>
  <r>
    <n v="348"/>
    <d v="2011-01-15T00:00:00"/>
    <n v="1"/>
    <n v="0"/>
    <n v="1"/>
    <n v="23"/>
    <b v="0"/>
    <n v="6"/>
    <n v="1"/>
    <n v="0.3"/>
    <n v="0.28789999999999999"/>
    <n v="0.45"/>
    <n v="0.28360000000000002"/>
    <n v="5"/>
    <n v="39"/>
    <n v="44"/>
    <b v="1"/>
    <s v="January"/>
    <s v="Saturday"/>
    <s v="Weekend"/>
    <s v="Spring"/>
    <s v="Clear"/>
    <x v="0"/>
    <x v="1"/>
    <s v="Medium"/>
  </r>
  <r>
    <n v="349"/>
    <d v="2011-01-16T00:00:00"/>
    <n v="1"/>
    <n v="0"/>
    <n v="1"/>
    <n v="0"/>
    <b v="0"/>
    <n v="0"/>
    <n v="1"/>
    <n v="0.26"/>
    <n v="0.30299999999999999"/>
    <n v="0.56000000000000005"/>
    <n v="0"/>
    <n v="6"/>
    <n v="33"/>
    <n v="39"/>
    <b v="1"/>
    <s v="January"/>
    <s v="Sunday"/>
    <s v="Weekend"/>
    <s v="Spring"/>
    <s v="Clear"/>
    <x v="0"/>
    <x v="0"/>
    <s v="Medium"/>
  </r>
  <r>
    <n v="350"/>
    <d v="2011-01-16T00:00:00"/>
    <n v="1"/>
    <n v="0"/>
    <n v="1"/>
    <n v="1"/>
    <b v="0"/>
    <n v="0"/>
    <n v="1"/>
    <n v="0.26"/>
    <n v="0.2727"/>
    <n v="0.56000000000000005"/>
    <n v="0.1343"/>
    <n v="4"/>
    <n v="19"/>
    <n v="23"/>
    <b v="1"/>
    <s v="January"/>
    <s v="Sunday"/>
    <s v="Weekend"/>
    <s v="Spring"/>
    <s v="Clear"/>
    <x v="0"/>
    <x v="0"/>
    <s v="Medium"/>
  </r>
  <r>
    <n v="351"/>
    <d v="2011-01-16T00:00:00"/>
    <n v="1"/>
    <n v="0"/>
    <n v="1"/>
    <n v="2"/>
    <b v="0"/>
    <n v="0"/>
    <n v="1"/>
    <n v="0.26"/>
    <n v="0.28789999999999999"/>
    <n v="0.56000000000000005"/>
    <n v="8.9599999999999999E-2"/>
    <n v="3"/>
    <n v="13"/>
    <n v="16"/>
    <b v="1"/>
    <s v="January"/>
    <s v="Sunday"/>
    <s v="Weekend"/>
    <s v="Spring"/>
    <s v="Clear"/>
    <x v="0"/>
    <x v="0"/>
    <s v="Medium"/>
  </r>
  <r>
    <n v="352"/>
    <d v="2011-01-16T00:00:00"/>
    <n v="1"/>
    <n v="0"/>
    <n v="1"/>
    <n v="3"/>
    <b v="0"/>
    <n v="0"/>
    <n v="1"/>
    <n v="0.22"/>
    <n v="0.2727"/>
    <n v="0.69"/>
    <n v="0"/>
    <n v="9"/>
    <n v="6"/>
    <n v="15"/>
    <b v="1"/>
    <s v="January"/>
    <s v="Sunday"/>
    <s v="Weekend"/>
    <s v="Spring"/>
    <s v="Clear"/>
    <x v="0"/>
    <x v="0"/>
    <s v="Medium"/>
  </r>
  <r>
    <n v="353"/>
    <d v="2011-01-16T00:00:00"/>
    <n v="1"/>
    <n v="0"/>
    <n v="1"/>
    <n v="4"/>
    <b v="0"/>
    <n v="0"/>
    <n v="1"/>
    <n v="0.26"/>
    <n v="0.2576"/>
    <n v="0.56000000000000005"/>
    <n v="0.16420000000000001"/>
    <n v="0"/>
    <n v="1"/>
    <n v="1"/>
    <b v="1"/>
    <s v="January"/>
    <s v="Sunday"/>
    <s v="Weekend"/>
    <s v="Spring"/>
    <s v="Clear"/>
    <x v="0"/>
    <x v="0"/>
    <s v="Medium"/>
  </r>
  <r>
    <n v="354"/>
    <d v="2011-01-16T00:00:00"/>
    <n v="1"/>
    <n v="0"/>
    <n v="1"/>
    <n v="5"/>
    <b v="0"/>
    <n v="0"/>
    <n v="2"/>
    <n v="0.26"/>
    <n v="0.2576"/>
    <n v="0.56000000000000005"/>
    <n v="0.16420000000000001"/>
    <n v="1"/>
    <n v="1"/>
    <n v="2"/>
    <b v="1"/>
    <s v="January"/>
    <s v="Sunday"/>
    <s v="Weekend"/>
    <s v="Spring"/>
    <s v="Mist"/>
    <x v="0"/>
    <x v="0"/>
    <s v="Medium"/>
  </r>
  <r>
    <n v="355"/>
    <d v="2011-01-16T00:00:00"/>
    <n v="1"/>
    <n v="0"/>
    <n v="1"/>
    <n v="6"/>
    <b v="0"/>
    <n v="0"/>
    <n v="2"/>
    <n v="0.26"/>
    <n v="0.2576"/>
    <n v="0.56000000000000005"/>
    <n v="0.16420000000000001"/>
    <n v="0"/>
    <n v="1"/>
    <n v="1"/>
    <b v="1"/>
    <s v="January"/>
    <s v="Sunday"/>
    <s v="Weekend"/>
    <s v="Spring"/>
    <s v="Mist"/>
    <x v="0"/>
    <x v="0"/>
    <s v="Medium"/>
  </r>
  <r>
    <n v="356"/>
    <d v="2011-01-16T00:00:00"/>
    <n v="1"/>
    <n v="0"/>
    <n v="1"/>
    <n v="7"/>
    <b v="0"/>
    <n v="0"/>
    <n v="2"/>
    <n v="0.24"/>
    <n v="0.21210000000000001"/>
    <n v="0.56000000000000005"/>
    <n v="0.29849999999999999"/>
    <n v="0"/>
    <n v="3"/>
    <n v="3"/>
    <b v="1"/>
    <s v="January"/>
    <s v="Sunday"/>
    <s v="Weekend"/>
    <s v="Spring"/>
    <s v="Mist"/>
    <x v="1"/>
    <x v="0"/>
    <s v="Medium"/>
  </r>
  <r>
    <n v="357"/>
    <d v="2011-01-16T00:00:00"/>
    <n v="1"/>
    <n v="0"/>
    <n v="1"/>
    <n v="8"/>
    <b v="0"/>
    <n v="0"/>
    <n v="1"/>
    <n v="0.22"/>
    <n v="0.21210000000000001"/>
    <n v="0.55000000000000004"/>
    <n v="0.28360000000000002"/>
    <n v="0"/>
    <n v="18"/>
    <n v="18"/>
    <b v="1"/>
    <s v="January"/>
    <s v="Sunday"/>
    <s v="Weekend"/>
    <s v="Spring"/>
    <s v="Clear"/>
    <x v="1"/>
    <x v="0"/>
    <s v="Medium"/>
  </r>
  <r>
    <n v="358"/>
    <d v="2011-01-16T00:00:00"/>
    <n v="1"/>
    <n v="0"/>
    <n v="1"/>
    <n v="9"/>
    <b v="0"/>
    <n v="0"/>
    <n v="1"/>
    <n v="0.22"/>
    <n v="0.21210000000000001"/>
    <n v="0.51"/>
    <n v="0.25369999999999998"/>
    <n v="3"/>
    <n v="29"/>
    <n v="32"/>
    <b v="1"/>
    <s v="January"/>
    <s v="Sunday"/>
    <s v="Weekend"/>
    <s v="Spring"/>
    <s v="Clear"/>
    <x v="1"/>
    <x v="0"/>
    <s v="Medium"/>
  </r>
  <r>
    <n v="359"/>
    <d v="2011-01-16T00:00:00"/>
    <n v="1"/>
    <n v="0"/>
    <n v="1"/>
    <n v="10"/>
    <b v="0"/>
    <n v="0"/>
    <n v="1"/>
    <n v="0.22"/>
    <n v="0.21210000000000001"/>
    <n v="0.51"/>
    <n v="0.28360000000000002"/>
    <n v="8"/>
    <n v="71"/>
    <n v="79"/>
    <b v="1"/>
    <s v="January"/>
    <s v="Sunday"/>
    <s v="Weekend"/>
    <s v="Spring"/>
    <s v="Clear"/>
    <x v="0"/>
    <x v="0"/>
    <s v="Medium"/>
  </r>
  <r>
    <n v="360"/>
    <d v="2011-01-16T00:00:00"/>
    <n v="1"/>
    <n v="0"/>
    <n v="1"/>
    <n v="11"/>
    <b v="0"/>
    <n v="0"/>
    <n v="1"/>
    <n v="0.24"/>
    <n v="0.2273"/>
    <n v="0.44"/>
    <n v="0.25369999999999998"/>
    <n v="23"/>
    <n v="70"/>
    <n v="93"/>
    <b v="1"/>
    <s v="January"/>
    <s v="Sunday"/>
    <s v="Weekend"/>
    <s v="Spring"/>
    <s v="Clear"/>
    <x v="0"/>
    <x v="0"/>
    <s v="Medium"/>
  </r>
  <r>
    <n v="361"/>
    <d v="2011-01-16T00:00:00"/>
    <n v="1"/>
    <n v="0"/>
    <n v="1"/>
    <n v="12"/>
    <b v="0"/>
    <n v="0"/>
    <n v="1"/>
    <n v="0.24"/>
    <n v="0.21210000000000001"/>
    <n v="0.41"/>
    <n v="0.28360000000000002"/>
    <n v="29"/>
    <n v="75"/>
    <n v="104"/>
    <b v="1"/>
    <s v="January"/>
    <s v="Sunday"/>
    <s v="Weekend"/>
    <s v="Spring"/>
    <s v="Clear"/>
    <x v="0"/>
    <x v="0"/>
    <s v="Medium"/>
  </r>
  <r>
    <n v="362"/>
    <d v="2011-01-16T00:00:00"/>
    <n v="1"/>
    <n v="0"/>
    <n v="1"/>
    <n v="13"/>
    <b v="0"/>
    <n v="0"/>
    <n v="1"/>
    <n v="0.26"/>
    <n v="0.2273"/>
    <n v="0.35"/>
    <n v="0.29849999999999999"/>
    <n v="23"/>
    <n v="95"/>
    <n v="118"/>
    <b v="1"/>
    <s v="January"/>
    <s v="Sunday"/>
    <s v="Weekend"/>
    <s v="Spring"/>
    <s v="Clear"/>
    <x v="0"/>
    <x v="0"/>
    <s v="Low"/>
  </r>
  <r>
    <n v="363"/>
    <d v="2011-01-16T00:00:00"/>
    <n v="1"/>
    <n v="0"/>
    <n v="1"/>
    <n v="14"/>
    <b v="0"/>
    <n v="0"/>
    <n v="1"/>
    <n v="0.28000000000000003"/>
    <n v="0.2727"/>
    <n v="0.36"/>
    <n v="0.25369999999999998"/>
    <n v="22"/>
    <n v="69"/>
    <n v="91"/>
    <b v="1"/>
    <s v="January"/>
    <s v="Sunday"/>
    <s v="Weekend"/>
    <s v="Spring"/>
    <s v="Clear"/>
    <x v="0"/>
    <x v="0"/>
    <s v="Low"/>
  </r>
  <r>
    <n v="364"/>
    <d v="2011-01-16T00:00:00"/>
    <n v="1"/>
    <n v="0"/>
    <n v="1"/>
    <n v="15"/>
    <b v="0"/>
    <n v="0"/>
    <n v="1"/>
    <n v="0.26"/>
    <n v="0.2424"/>
    <n v="0.38"/>
    <n v="0.25369999999999998"/>
    <n v="35"/>
    <n v="78"/>
    <n v="113"/>
    <b v="1"/>
    <s v="January"/>
    <s v="Sunday"/>
    <s v="Weekend"/>
    <s v="Spring"/>
    <s v="Clear"/>
    <x v="0"/>
    <x v="0"/>
    <s v="Low"/>
  </r>
  <r>
    <n v="365"/>
    <d v="2011-01-16T00:00:00"/>
    <n v="1"/>
    <n v="0"/>
    <n v="1"/>
    <n v="16"/>
    <b v="0"/>
    <n v="0"/>
    <n v="1"/>
    <n v="0.24"/>
    <n v="0.2273"/>
    <n v="0.38"/>
    <n v="0.22389999999999999"/>
    <n v="22"/>
    <n v="77"/>
    <n v="99"/>
    <b v="1"/>
    <s v="January"/>
    <s v="Sunday"/>
    <s v="Weekend"/>
    <s v="Spring"/>
    <s v="Clear"/>
    <x v="0"/>
    <x v="0"/>
    <s v="Low"/>
  </r>
  <r>
    <n v="366"/>
    <d v="2011-01-16T00:00:00"/>
    <n v="1"/>
    <n v="0"/>
    <n v="1"/>
    <n v="17"/>
    <b v="0"/>
    <n v="0"/>
    <n v="1"/>
    <n v="0.22"/>
    <n v="0.21210000000000001"/>
    <n v="0.37"/>
    <n v="0.25369999999999998"/>
    <n v="23"/>
    <n v="82"/>
    <n v="105"/>
    <b v="1"/>
    <s v="January"/>
    <s v="Sunday"/>
    <s v="Weekend"/>
    <s v="Spring"/>
    <s v="Clear"/>
    <x v="2"/>
    <x v="0"/>
    <s v="Low"/>
  </r>
  <r>
    <n v="367"/>
    <d v="2011-01-16T00:00:00"/>
    <n v="1"/>
    <n v="0"/>
    <n v="1"/>
    <n v="18"/>
    <b v="0"/>
    <n v="0"/>
    <n v="1"/>
    <n v="0.2"/>
    <n v="0.21210000000000001"/>
    <n v="0.4"/>
    <n v="0.16420000000000001"/>
    <n v="11"/>
    <n v="56"/>
    <n v="67"/>
    <b v="1"/>
    <s v="January"/>
    <s v="Sunday"/>
    <s v="Weekend"/>
    <s v="Spring"/>
    <s v="Clear"/>
    <x v="2"/>
    <x v="0"/>
    <s v="Medium"/>
  </r>
  <r>
    <n v="368"/>
    <d v="2011-01-16T00:00:00"/>
    <n v="1"/>
    <n v="0"/>
    <n v="1"/>
    <n v="19"/>
    <b v="0"/>
    <n v="0"/>
    <n v="1"/>
    <n v="0.18"/>
    <n v="0.19700000000000001"/>
    <n v="0.47"/>
    <n v="0.1343"/>
    <n v="14"/>
    <n v="47"/>
    <n v="61"/>
    <b v="1"/>
    <s v="January"/>
    <s v="Sunday"/>
    <s v="Weekend"/>
    <s v="Spring"/>
    <s v="Clear"/>
    <x v="2"/>
    <x v="0"/>
    <s v="Medium"/>
  </r>
  <r>
    <n v="369"/>
    <d v="2011-01-16T00:00:00"/>
    <n v="1"/>
    <n v="0"/>
    <n v="1"/>
    <n v="20"/>
    <b v="0"/>
    <n v="0"/>
    <n v="1"/>
    <n v="0.18"/>
    <n v="0.19700000000000001"/>
    <n v="0.47"/>
    <n v="0.16420000000000001"/>
    <n v="7"/>
    <n v="50"/>
    <n v="57"/>
    <b v="1"/>
    <s v="January"/>
    <s v="Sunday"/>
    <s v="Weekend"/>
    <s v="Spring"/>
    <s v="Clear"/>
    <x v="2"/>
    <x v="0"/>
    <s v="Medium"/>
  </r>
  <r>
    <n v="370"/>
    <d v="2011-01-16T00:00:00"/>
    <n v="1"/>
    <n v="0"/>
    <n v="1"/>
    <n v="21"/>
    <b v="0"/>
    <n v="0"/>
    <n v="1"/>
    <n v="0.18"/>
    <n v="0.19700000000000001"/>
    <n v="0.51"/>
    <n v="0.16420000000000001"/>
    <n v="6"/>
    <n v="22"/>
    <n v="28"/>
    <b v="1"/>
    <s v="January"/>
    <s v="Sunday"/>
    <s v="Weekend"/>
    <s v="Spring"/>
    <s v="Clear"/>
    <x v="0"/>
    <x v="0"/>
    <s v="Medium"/>
  </r>
  <r>
    <n v="371"/>
    <d v="2011-01-16T00:00:00"/>
    <n v="1"/>
    <n v="0"/>
    <n v="1"/>
    <n v="22"/>
    <b v="0"/>
    <n v="0"/>
    <n v="2"/>
    <n v="0.2"/>
    <n v="0.21210000000000001"/>
    <n v="0.49"/>
    <n v="0.1343"/>
    <n v="2"/>
    <n v="19"/>
    <n v="21"/>
    <b v="1"/>
    <s v="January"/>
    <s v="Sunday"/>
    <s v="Weekend"/>
    <s v="Spring"/>
    <s v="Mist"/>
    <x v="0"/>
    <x v="0"/>
    <s v="Medium"/>
  </r>
  <r>
    <n v="372"/>
    <d v="2011-01-16T00:00:00"/>
    <n v="1"/>
    <n v="0"/>
    <n v="1"/>
    <n v="23"/>
    <b v="0"/>
    <n v="0"/>
    <n v="2"/>
    <n v="0.2"/>
    <n v="0.2273"/>
    <n v="0.4"/>
    <n v="0.1045"/>
    <n v="0"/>
    <n v="18"/>
    <n v="18"/>
    <b v="1"/>
    <s v="January"/>
    <s v="Sunday"/>
    <s v="Weekend"/>
    <s v="Spring"/>
    <s v="Mist"/>
    <x v="0"/>
    <x v="0"/>
    <s v="Medium"/>
  </r>
  <r>
    <n v="373"/>
    <d v="2011-01-17T00:00:00"/>
    <n v="1"/>
    <n v="0"/>
    <n v="1"/>
    <n v="0"/>
    <b v="1"/>
    <n v="1"/>
    <n v="2"/>
    <n v="0.2"/>
    <n v="0.19700000000000001"/>
    <n v="0.47"/>
    <n v="0.22389999999999999"/>
    <n v="1"/>
    <n v="16"/>
    <n v="17"/>
    <b v="1"/>
    <s v="January"/>
    <s v="Monday"/>
    <s v="Weekday"/>
    <s v="Spring"/>
    <s v="Mist"/>
    <x v="0"/>
    <x v="0"/>
    <s v="Medium"/>
  </r>
  <r>
    <n v="374"/>
    <d v="2011-01-17T00:00:00"/>
    <n v="1"/>
    <n v="0"/>
    <n v="1"/>
    <n v="1"/>
    <b v="1"/>
    <n v="1"/>
    <n v="2"/>
    <n v="0.2"/>
    <n v="0.19700000000000001"/>
    <n v="0.44"/>
    <n v="0.19400000000000001"/>
    <n v="1"/>
    <n v="15"/>
    <n v="16"/>
    <b v="1"/>
    <s v="January"/>
    <s v="Monday"/>
    <s v="Weekday"/>
    <s v="Spring"/>
    <s v="Mist"/>
    <x v="0"/>
    <x v="0"/>
    <s v="Medium"/>
  </r>
  <r>
    <n v="375"/>
    <d v="2011-01-17T00:00:00"/>
    <n v="1"/>
    <n v="0"/>
    <n v="1"/>
    <n v="2"/>
    <b v="1"/>
    <n v="1"/>
    <n v="2"/>
    <n v="0.18"/>
    <n v="0.16669999999999999"/>
    <n v="0.43"/>
    <n v="0.25369999999999998"/>
    <n v="0"/>
    <n v="8"/>
    <n v="8"/>
    <b v="1"/>
    <s v="January"/>
    <s v="Monday"/>
    <s v="Weekday"/>
    <s v="Spring"/>
    <s v="Mist"/>
    <x v="0"/>
    <x v="0"/>
    <s v="Medium"/>
  </r>
  <r>
    <n v="376"/>
    <d v="2011-01-17T00:00:00"/>
    <n v="1"/>
    <n v="0"/>
    <n v="1"/>
    <n v="3"/>
    <b v="1"/>
    <n v="1"/>
    <n v="2"/>
    <n v="0.18"/>
    <n v="0.18179999999999999"/>
    <n v="0.43"/>
    <n v="0.19400000000000001"/>
    <n v="0"/>
    <n v="2"/>
    <n v="2"/>
    <b v="1"/>
    <s v="January"/>
    <s v="Monday"/>
    <s v="Weekday"/>
    <s v="Spring"/>
    <s v="Mist"/>
    <x v="0"/>
    <x v="0"/>
    <s v="Medium"/>
  </r>
  <r>
    <n v="377"/>
    <d v="2011-01-17T00:00:00"/>
    <n v="1"/>
    <n v="0"/>
    <n v="1"/>
    <n v="4"/>
    <b v="1"/>
    <n v="1"/>
    <n v="2"/>
    <n v="0.18"/>
    <n v="0.19700000000000001"/>
    <n v="0.43"/>
    <n v="0.1343"/>
    <n v="1"/>
    <n v="2"/>
    <n v="3"/>
    <b v="1"/>
    <s v="January"/>
    <s v="Monday"/>
    <s v="Weekday"/>
    <s v="Spring"/>
    <s v="Mist"/>
    <x v="0"/>
    <x v="0"/>
    <s v="Medium"/>
  </r>
  <r>
    <n v="378"/>
    <d v="2011-01-17T00:00:00"/>
    <n v="1"/>
    <n v="0"/>
    <n v="1"/>
    <n v="5"/>
    <b v="1"/>
    <n v="1"/>
    <n v="2"/>
    <n v="0.18"/>
    <n v="0.19700000000000001"/>
    <n v="0.43"/>
    <n v="0.16420000000000001"/>
    <n v="0"/>
    <n v="1"/>
    <n v="1"/>
    <b v="1"/>
    <s v="January"/>
    <s v="Monday"/>
    <s v="Weekday"/>
    <s v="Spring"/>
    <s v="Mist"/>
    <x v="0"/>
    <x v="0"/>
    <s v="Medium"/>
  </r>
  <r>
    <n v="379"/>
    <d v="2011-01-17T00:00:00"/>
    <n v="1"/>
    <n v="0"/>
    <n v="1"/>
    <n v="6"/>
    <b v="1"/>
    <n v="1"/>
    <n v="2"/>
    <n v="0.18"/>
    <n v="0.18179999999999999"/>
    <n v="0.43"/>
    <n v="0.19400000000000001"/>
    <n v="0"/>
    <n v="5"/>
    <n v="5"/>
    <b v="1"/>
    <s v="January"/>
    <s v="Monday"/>
    <s v="Weekday"/>
    <s v="Spring"/>
    <s v="Mist"/>
    <x v="0"/>
    <x v="0"/>
    <s v="Medium"/>
  </r>
  <r>
    <n v="380"/>
    <d v="2011-01-17T00:00:00"/>
    <n v="1"/>
    <n v="0"/>
    <n v="1"/>
    <n v="7"/>
    <b v="1"/>
    <n v="1"/>
    <n v="2"/>
    <n v="0.16"/>
    <n v="0.18179999999999999"/>
    <n v="0.5"/>
    <n v="0.1343"/>
    <n v="4"/>
    <n v="9"/>
    <n v="13"/>
    <b v="1"/>
    <s v="January"/>
    <s v="Monday"/>
    <s v="Weekday"/>
    <s v="Spring"/>
    <s v="Mist"/>
    <x v="1"/>
    <x v="0"/>
    <s v="Medium"/>
  </r>
  <r>
    <n v="381"/>
    <d v="2011-01-17T00:00:00"/>
    <n v="1"/>
    <n v="0"/>
    <n v="1"/>
    <n v="8"/>
    <b v="1"/>
    <n v="1"/>
    <n v="2"/>
    <n v="0.16"/>
    <n v="0.1515"/>
    <n v="0.47"/>
    <n v="0.22389999999999999"/>
    <n v="3"/>
    <n v="30"/>
    <n v="33"/>
    <b v="1"/>
    <s v="January"/>
    <s v="Monday"/>
    <s v="Weekday"/>
    <s v="Spring"/>
    <s v="Mist"/>
    <x v="1"/>
    <x v="0"/>
    <s v="Medium"/>
  </r>
  <r>
    <n v="382"/>
    <d v="2011-01-17T00:00:00"/>
    <n v="1"/>
    <n v="0"/>
    <n v="1"/>
    <n v="9"/>
    <b v="1"/>
    <n v="1"/>
    <n v="2"/>
    <n v="0.16"/>
    <n v="0.1515"/>
    <n v="0.47"/>
    <n v="0.22389999999999999"/>
    <n v="8"/>
    <n v="39"/>
    <n v="47"/>
    <b v="1"/>
    <s v="January"/>
    <s v="Monday"/>
    <s v="Weekday"/>
    <s v="Spring"/>
    <s v="Mist"/>
    <x v="1"/>
    <x v="0"/>
    <s v="Medium"/>
  </r>
  <r>
    <n v="383"/>
    <d v="2011-01-17T00:00:00"/>
    <n v="1"/>
    <n v="0"/>
    <n v="1"/>
    <n v="10"/>
    <b v="1"/>
    <n v="1"/>
    <n v="2"/>
    <n v="0.16"/>
    <n v="0.1515"/>
    <n v="0.5"/>
    <n v="0.25369999999999998"/>
    <n v="7"/>
    <n v="50"/>
    <n v="57"/>
    <b v="1"/>
    <s v="January"/>
    <s v="Monday"/>
    <s v="Weekday"/>
    <s v="Spring"/>
    <s v="Mist"/>
    <x v="0"/>
    <x v="0"/>
    <s v="Medium"/>
  </r>
  <r>
    <n v="384"/>
    <d v="2011-01-17T00:00:00"/>
    <n v="1"/>
    <n v="0"/>
    <n v="1"/>
    <n v="11"/>
    <b v="1"/>
    <n v="1"/>
    <n v="2"/>
    <n v="0.16"/>
    <n v="0.1515"/>
    <n v="0.55000000000000004"/>
    <n v="0.19400000000000001"/>
    <n v="9"/>
    <n v="55"/>
    <n v="64"/>
    <b v="1"/>
    <s v="January"/>
    <s v="Monday"/>
    <s v="Weekday"/>
    <s v="Spring"/>
    <s v="Mist"/>
    <x v="0"/>
    <x v="0"/>
    <s v="Medium"/>
  </r>
  <r>
    <n v="385"/>
    <d v="2011-01-17T00:00:00"/>
    <n v="1"/>
    <n v="0"/>
    <n v="1"/>
    <n v="12"/>
    <b v="1"/>
    <n v="1"/>
    <n v="2"/>
    <n v="0.18"/>
    <n v="0.19700000000000001"/>
    <n v="0.47"/>
    <n v="0.1343"/>
    <n v="10"/>
    <n v="70"/>
    <n v="80"/>
    <b v="1"/>
    <s v="January"/>
    <s v="Monday"/>
    <s v="Weekday"/>
    <s v="Spring"/>
    <s v="Mist"/>
    <x v="0"/>
    <x v="0"/>
    <s v="Medium"/>
  </r>
  <r>
    <n v="386"/>
    <d v="2011-01-17T00:00:00"/>
    <n v="1"/>
    <n v="0"/>
    <n v="1"/>
    <n v="13"/>
    <b v="1"/>
    <n v="1"/>
    <n v="2"/>
    <n v="0.18"/>
    <n v="0.19700000000000001"/>
    <n v="0.47"/>
    <n v="0.1343"/>
    <n v="13"/>
    <n v="80"/>
    <n v="93"/>
    <b v="1"/>
    <s v="January"/>
    <s v="Monday"/>
    <s v="Weekday"/>
    <s v="Spring"/>
    <s v="Mist"/>
    <x v="0"/>
    <x v="0"/>
    <s v="Medium"/>
  </r>
  <r>
    <n v="387"/>
    <d v="2011-01-17T00:00:00"/>
    <n v="1"/>
    <n v="0"/>
    <n v="1"/>
    <n v="14"/>
    <b v="1"/>
    <n v="1"/>
    <n v="2"/>
    <n v="0.18"/>
    <n v="0.21210000000000001"/>
    <n v="0.43"/>
    <n v="0.1045"/>
    <n v="12"/>
    <n v="74"/>
    <n v="86"/>
    <b v="1"/>
    <s v="January"/>
    <s v="Monday"/>
    <s v="Weekday"/>
    <s v="Spring"/>
    <s v="Mist"/>
    <x v="0"/>
    <x v="0"/>
    <s v="Medium"/>
  </r>
  <r>
    <n v="388"/>
    <d v="2011-01-17T00:00:00"/>
    <n v="1"/>
    <n v="0"/>
    <n v="1"/>
    <n v="15"/>
    <b v="1"/>
    <n v="1"/>
    <n v="2"/>
    <n v="0.2"/>
    <n v="0.21210000000000001"/>
    <n v="0.47"/>
    <n v="0.16420000000000001"/>
    <n v="21"/>
    <n v="72"/>
    <n v="93"/>
    <b v="1"/>
    <s v="January"/>
    <s v="Monday"/>
    <s v="Weekday"/>
    <s v="Spring"/>
    <s v="Mist"/>
    <x v="0"/>
    <x v="0"/>
    <s v="Medium"/>
  </r>
  <r>
    <n v="389"/>
    <d v="2011-01-17T00:00:00"/>
    <n v="1"/>
    <n v="0"/>
    <n v="1"/>
    <n v="16"/>
    <b v="1"/>
    <n v="1"/>
    <n v="2"/>
    <n v="0.2"/>
    <n v="0.21210000000000001"/>
    <n v="0.47"/>
    <n v="0.16420000000000001"/>
    <n v="6"/>
    <n v="76"/>
    <n v="82"/>
    <b v="1"/>
    <s v="January"/>
    <s v="Monday"/>
    <s v="Weekday"/>
    <s v="Spring"/>
    <s v="Mist"/>
    <x v="0"/>
    <x v="0"/>
    <s v="Medium"/>
  </r>
  <r>
    <n v="390"/>
    <d v="2011-01-17T00:00:00"/>
    <n v="1"/>
    <n v="0"/>
    <n v="1"/>
    <n v="17"/>
    <b v="1"/>
    <n v="1"/>
    <n v="1"/>
    <n v="0.2"/>
    <n v="0.19700000000000001"/>
    <n v="0.51"/>
    <n v="0.19400000000000001"/>
    <n v="4"/>
    <n v="67"/>
    <n v="71"/>
    <b v="1"/>
    <s v="January"/>
    <s v="Monday"/>
    <s v="Weekday"/>
    <s v="Spring"/>
    <s v="Clear"/>
    <x v="2"/>
    <x v="0"/>
    <s v="Medium"/>
  </r>
  <r>
    <n v="391"/>
    <d v="2011-01-17T00:00:00"/>
    <n v="1"/>
    <n v="0"/>
    <n v="1"/>
    <n v="18"/>
    <b v="1"/>
    <n v="1"/>
    <n v="2"/>
    <n v="0.18"/>
    <n v="0.16669999999999999"/>
    <n v="0.55000000000000004"/>
    <n v="0.25369999999999998"/>
    <n v="7"/>
    <n v="85"/>
    <n v="92"/>
    <b v="1"/>
    <s v="January"/>
    <s v="Monday"/>
    <s v="Weekday"/>
    <s v="Spring"/>
    <s v="Mist"/>
    <x v="2"/>
    <x v="0"/>
    <s v="Medium"/>
  </r>
  <r>
    <n v="392"/>
    <d v="2011-01-17T00:00:00"/>
    <n v="1"/>
    <n v="0"/>
    <n v="1"/>
    <n v="19"/>
    <b v="1"/>
    <n v="1"/>
    <n v="3"/>
    <n v="0.18"/>
    <n v="0.18179999999999999"/>
    <n v="0.59"/>
    <n v="0.19400000000000001"/>
    <n v="2"/>
    <n v="58"/>
    <n v="60"/>
    <b v="1"/>
    <s v="January"/>
    <s v="Monday"/>
    <s v="Weekday"/>
    <s v="Spring"/>
    <s v="Light Rain"/>
    <x v="2"/>
    <x v="0"/>
    <s v="Medium"/>
  </r>
  <r>
    <n v="393"/>
    <d v="2011-01-17T00:00:00"/>
    <n v="1"/>
    <n v="0"/>
    <n v="1"/>
    <n v="20"/>
    <b v="1"/>
    <n v="1"/>
    <n v="3"/>
    <n v="0.16"/>
    <n v="0.1515"/>
    <n v="0.8"/>
    <n v="0.19400000000000001"/>
    <n v="4"/>
    <n v="29"/>
    <n v="33"/>
    <b v="1"/>
    <s v="January"/>
    <s v="Monday"/>
    <s v="Weekday"/>
    <s v="Spring"/>
    <s v="Light Rain"/>
    <x v="2"/>
    <x v="0"/>
    <s v="High"/>
  </r>
  <r>
    <n v="394"/>
    <d v="2011-01-17T00:00:00"/>
    <n v="1"/>
    <n v="0"/>
    <n v="1"/>
    <n v="21"/>
    <b v="1"/>
    <n v="1"/>
    <n v="3"/>
    <n v="0.16"/>
    <n v="0.1515"/>
    <n v="0.8"/>
    <n v="0.19400000000000001"/>
    <n v="3"/>
    <n v="24"/>
    <n v="27"/>
    <b v="1"/>
    <s v="January"/>
    <s v="Monday"/>
    <s v="Weekday"/>
    <s v="Spring"/>
    <s v="Light Rain"/>
    <x v="0"/>
    <x v="0"/>
    <s v="High"/>
  </r>
  <r>
    <n v="395"/>
    <d v="2011-01-17T00:00:00"/>
    <n v="1"/>
    <n v="0"/>
    <n v="1"/>
    <n v="22"/>
    <b v="1"/>
    <n v="1"/>
    <n v="3"/>
    <n v="0.14000000000000001"/>
    <n v="0.1212"/>
    <n v="0.93"/>
    <n v="0.25369999999999998"/>
    <n v="0"/>
    <n v="13"/>
    <n v="13"/>
    <b v="1"/>
    <s v="January"/>
    <s v="Monday"/>
    <s v="Weekday"/>
    <s v="Spring"/>
    <s v="Light Rain"/>
    <x v="0"/>
    <x v="0"/>
    <s v="High"/>
  </r>
  <r>
    <n v="396"/>
    <d v="2011-01-17T00:00:00"/>
    <n v="1"/>
    <n v="0"/>
    <n v="1"/>
    <n v="23"/>
    <b v="1"/>
    <n v="1"/>
    <n v="3"/>
    <n v="0.16"/>
    <n v="0.13639999999999999"/>
    <n v="0.86"/>
    <n v="0.28360000000000002"/>
    <n v="1"/>
    <n v="3"/>
    <n v="4"/>
    <b v="1"/>
    <s v="January"/>
    <s v="Monday"/>
    <s v="Weekday"/>
    <s v="Spring"/>
    <s v="Light Rain"/>
    <x v="0"/>
    <x v="0"/>
    <s v="High"/>
  </r>
  <r>
    <n v="397"/>
    <d v="2011-01-18T00:00:00"/>
    <n v="1"/>
    <n v="0"/>
    <n v="1"/>
    <n v="12"/>
    <b v="0"/>
    <n v="2"/>
    <n v="2"/>
    <n v="0.2"/>
    <n v="0.18179999999999999"/>
    <n v="0.86"/>
    <n v="0.32840000000000003"/>
    <n v="0"/>
    <n v="3"/>
    <n v="3"/>
    <b v="1"/>
    <s v="January"/>
    <s v="Tuesday"/>
    <s v="Weekday"/>
    <s v="Spring"/>
    <s v="Mist"/>
    <x v="0"/>
    <x v="0"/>
    <s v="High"/>
  </r>
  <r>
    <n v="398"/>
    <d v="2011-01-18T00:00:00"/>
    <n v="1"/>
    <n v="0"/>
    <n v="1"/>
    <n v="13"/>
    <b v="0"/>
    <n v="2"/>
    <n v="2"/>
    <n v="0.2"/>
    <n v="0.19700000000000001"/>
    <n v="0.86"/>
    <n v="0.22389999999999999"/>
    <n v="0"/>
    <n v="22"/>
    <n v="22"/>
    <b v="1"/>
    <s v="January"/>
    <s v="Tuesday"/>
    <s v="Weekday"/>
    <s v="Spring"/>
    <s v="Mist"/>
    <x v="0"/>
    <x v="0"/>
    <s v="High"/>
  </r>
  <r>
    <n v="399"/>
    <d v="2011-01-18T00:00:00"/>
    <n v="1"/>
    <n v="0"/>
    <n v="1"/>
    <n v="14"/>
    <b v="0"/>
    <n v="2"/>
    <n v="2"/>
    <n v="0.22"/>
    <n v="0.2273"/>
    <n v="0.8"/>
    <n v="0.16420000000000001"/>
    <n v="2"/>
    <n v="26"/>
    <n v="28"/>
    <b v="1"/>
    <s v="January"/>
    <s v="Tuesday"/>
    <s v="Weekday"/>
    <s v="Spring"/>
    <s v="Mist"/>
    <x v="0"/>
    <x v="0"/>
    <s v="High"/>
  </r>
  <r>
    <n v="400"/>
    <d v="2011-01-18T00:00:00"/>
    <n v="1"/>
    <n v="0"/>
    <n v="1"/>
    <n v="15"/>
    <b v="0"/>
    <n v="2"/>
    <n v="2"/>
    <n v="0.22"/>
    <n v="0.2273"/>
    <n v="0.87"/>
    <n v="0.16420000000000001"/>
    <n v="3"/>
    <n v="32"/>
    <n v="35"/>
    <b v="1"/>
    <s v="January"/>
    <s v="Tuesday"/>
    <s v="Weekday"/>
    <s v="Spring"/>
    <s v="Mist"/>
    <x v="0"/>
    <x v="0"/>
    <s v="High"/>
  </r>
  <r>
    <n v="401"/>
    <d v="2011-01-18T00:00:00"/>
    <n v="1"/>
    <n v="0"/>
    <n v="1"/>
    <n v="16"/>
    <b v="0"/>
    <n v="2"/>
    <n v="2"/>
    <n v="0.22"/>
    <n v="0.2273"/>
    <n v="0.87"/>
    <n v="0.19400000000000001"/>
    <n v="0"/>
    <n v="61"/>
    <n v="61"/>
    <b v="1"/>
    <s v="January"/>
    <s v="Tuesday"/>
    <s v="Weekday"/>
    <s v="Spring"/>
    <s v="Mist"/>
    <x v="0"/>
    <x v="0"/>
    <s v="High"/>
  </r>
  <r>
    <n v="402"/>
    <d v="2011-01-18T00:00:00"/>
    <n v="1"/>
    <n v="0"/>
    <n v="1"/>
    <n v="17"/>
    <b v="0"/>
    <n v="2"/>
    <n v="2"/>
    <n v="0.22"/>
    <n v="0.2273"/>
    <n v="0.82"/>
    <n v="0.19400000000000001"/>
    <n v="1"/>
    <n v="124"/>
    <n v="125"/>
    <b v="1"/>
    <s v="January"/>
    <s v="Tuesday"/>
    <s v="Weekday"/>
    <s v="Spring"/>
    <s v="Mist"/>
    <x v="2"/>
    <x v="0"/>
    <s v="High"/>
  </r>
  <r>
    <n v="403"/>
    <d v="2011-01-18T00:00:00"/>
    <n v="1"/>
    <n v="0"/>
    <n v="1"/>
    <n v="18"/>
    <b v="0"/>
    <n v="2"/>
    <n v="2"/>
    <n v="0.22"/>
    <n v="0.2273"/>
    <n v="0.8"/>
    <n v="0.16420000000000001"/>
    <n v="1"/>
    <n v="132"/>
    <n v="133"/>
    <b v="1"/>
    <s v="January"/>
    <s v="Tuesday"/>
    <s v="Weekday"/>
    <s v="Spring"/>
    <s v="Mist"/>
    <x v="2"/>
    <x v="0"/>
    <s v="High"/>
  </r>
  <r>
    <n v="404"/>
    <d v="2011-01-18T00:00:00"/>
    <n v="1"/>
    <n v="0"/>
    <n v="1"/>
    <n v="19"/>
    <b v="0"/>
    <n v="2"/>
    <n v="2"/>
    <n v="0.22"/>
    <n v="0.2273"/>
    <n v="0.8"/>
    <n v="0.1343"/>
    <n v="1"/>
    <n v="98"/>
    <n v="99"/>
    <b v="1"/>
    <s v="January"/>
    <s v="Tuesday"/>
    <s v="Weekday"/>
    <s v="Spring"/>
    <s v="Mist"/>
    <x v="2"/>
    <x v="0"/>
    <s v="High"/>
  </r>
  <r>
    <n v="405"/>
    <d v="2011-01-18T00:00:00"/>
    <n v="1"/>
    <n v="0"/>
    <n v="1"/>
    <n v="20"/>
    <b v="0"/>
    <n v="2"/>
    <n v="2"/>
    <n v="0.22"/>
    <n v="0.2727"/>
    <n v="0.87"/>
    <n v="0"/>
    <n v="0"/>
    <n v="83"/>
    <n v="83"/>
    <b v="1"/>
    <s v="January"/>
    <s v="Tuesday"/>
    <s v="Weekday"/>
    <s v="Spring"/>
    <s v="Mist"/>
    <x v="2"/>
    <x v="0"/>
    <s v="High"/>
  </r>
  <r>
    <n v="406"/>
    <d v="2011-01-18T00:00:00"/>
    <n v="1"/>
    <n v="0"/>
    <n v="1"/>
    <n v="21"/>
    <b v="0"/>
    <n v="2"/>
    <n v="2"/>
    <n v="0.22"/>
    <n v="0.2424"/>
    <n v="0.93"/>
    <n v="0.1045"/>
    <n v="0"/>
    <n v="41"/>
    <n v="41"/>
    <b v="1"/>
    <s v="January"/>
    <s v="Tuesday"/>
    <s v="Weekday"/>
    <s v="Spring"/>
    <s v="Mist"/>
    <x v="0"/>
    <x v="0"/>
    <s v="High"/>
  </r>
  <r>
    <n v="407"/>
    <d v="2011-01-18T00:00:00"/>
    <n v="1"/>
    <n v="0"/>
    <n v="1"/>
    <n v="22"/>
    <b v="0"/>
    <n v="2"/>
    <n v="2"/>
    <n v="0.22"/>
    <n v="0.2576"/>
    <n v="0.93"/>
    <n v="8.9599999999999999E-2"/>
    <n v="0"/>
    <n v="33"/>
    <n v="33"/>
    <b v="1"/>
    <s v="January"/>
    <s v="Tuesday"/>
    <s v="Weekday"/>
    <s v="Spring"/>
    <s v="Mist"/>
    <x v="0"/>
    <x v="0"/>
    <s v="High"/>
  </r>
  <r>
    <n v="408"/>
    <d v="2011-01-18T00:00:00"/>
    <n v="1"/>
    <n v="0"/>
    <n v="1"/>
    <n v="23"/>
    <b v="0"/>
    <n v="2"/>
    <n v="2"/>
    <n v="0.22"/>
    <n v="0.2727"/>
    <n v="0.93"/>
    <n v="0"/>
    <n v="1"/>
    <n v="19"/>
    <n v="20"/>
    <b v="1"/>
    <s v="January"/>
    <s v="Tuesday"/>
    <s v="Weekday"/>
    <s v="Spring"/>
    <s v="Mist"/>
    <x v="0"/>
    <x v="0"/>
    <s v="High"/>
  </r>
  <r>
    <n v="409"/>
    <d v="2011-01-19T00:00:00"/>
    <n v="1"/>
    <n v="0"/>
    <n v="1"/>
    <n v="0"/>
    <b v="0"/>
    <n v="3"/>
    <n v="2"/>
    <n v="0.22"/>
    <n v="0.2727"/>
    <n v="0.93"/>
    <n v="0"/>
    <n v="0"/>
    <n v="3"/>
    <n v="3"/>
    <b v="1"/>
    <s v="January"/>
    <s v="Wednesday"/>
    <s v="Weekday"/>
    <s v="Spring"/>
    <s v="Mist"/>
    <x v="0"/>
    <x v="0"/>
    <s v="High"/>
  </r>
  <r>
    <n v="410"/>
    <d v="2011-01-19T00:00:00"/>
    <n v="1"/>
    <n v="0"/>
    <n v="1"/>
    <n v="1"/>
    <b v="0"/>
    <n v="3"/>
    <n v="3"/>
    <n v="0.22"/>
    <n v="0.2273"/>
    <n v="0.93"/>
    <n v="0.1343"/>
    <n v="1"/>
    <n v="6"/>
    <n v="7"/>
    <b v="1"/>
    <s v="January"/>
    <s v="Wednesday"/>
    <s v="Weekday"/>
    <s v="Spring"/>
    <s v="Light Rain"/>
    <x v="0"/>
    <x v="0"/>
    <s v="High"/>
  </r>
  <r>
    <n v="411"/>
    <d v="2011-01-19T00:00:00"/>
    <n v="1"/>
    <n v="0"/>
    <n v="1"/>
    <n v="2"/>
    <b v="0"/>
    <n v="3"/>
    <n v="3"/>
    <n v="0.22"/>
    <n v="0.2273"/>
    <n v="0.93"/>
    <n v="0.1343"/>
    <n v="0"/>
    <n v="3"/>
    <n v="3"/>
    <b v="1"/>
    <s v="January"/>
    <s v="Wednesday"/>
    <s v="Weekday"/>
    <s v="Spring"/>
    <s v="Light Rain"/>
    <x v="0"/>
    <x v="0"/>
    <s v="High"/>
  </r>
  <r>
    <n v="412"/>
    <d v="2011-01-19T00:00:00"/>
    <n v="1"/>
    <n v="0"/>
    <n v="1"/>
    <n v="4"/>
    <b v="0"/>
    <n v="3"/>
    <n v="3"/>
    <n v="0.22"/>
    <n v="0.2273"/>
    <n v="0.93"/>
    <n v="0.1343"/>
    <n v="1"/>
    <n v="1"/>
    <n v="2"/>
    <b v="1"/>
    <s v="January"/>
    <s v="Wednesday"/>
    <s v="Weekday"/>
    <s v="Spring"/>
    <s v="Light Rain"/>
    <x v="0"/>
    <x v="0"/>
    <s v="High"/>
  </r>
  <r>
    <n v="413"/>
    <d v="2011-01-19T00:00:00"/>
    <n v="1"/>
    <n v="0"/>
    <n v="1"/>
    <n v="5"/>
    <b v="0"/>
    <n v="3"/>
    <n v="2"/>
    <n v="0.22"/>
    <n v="0.2576"/>
    <n v="0.93"/>
    <n v="8.9599999999999999E-2"/>
    <n v="0"/>
    <n v="7"/>
    <n v="7"/>
    <b v="1"/>
    <s v="January"/>
    <s v="Wednesday"/>
    <s v="Weekday"/>
    <s v="Spring"/>
    <s v="Mist"/>
    <x v="0"/>
    <x v="0"/>
    <s v="High"/>
  </r>
  <r>
    <n v="414"/>
    <d v="2011-01-19T00:00:00"/>
    <n v="1"/>
    <n v="0"/>
    <n v="1"/>
    <n v="6"/>
    <b v="0"/>
    <n v="3"/>
    <n v="2"/>
    <n v="0.22"/>
    <n v="0.2576"/>
    <n v="0.93"/>
    <n v="8.9599999999999999E-2"/>
    <n v="0"/>
    <n v="32"/>
    <n v="32"/>
    <b v="1"/>
    <s v="January"/>
    <s v="Wednesday"/>
    <s v="Weekday"/>
    <s v="Spring"/>
    <s v="Mist"/>
    <x v="0"/>
    <x v="0"/>
    <s v="High"/>
  </r>
  <r>
    <n v="415"/>
    <d v="2011-01-19T00:00:00"/>
    <n v="1"/>
    <n v="0"/>
    <n v="1"/>
    <n v="7"/>
    <b v="0"/>
    <n v="3"/>
    <n v="2"/>
    <n v="0.24"/>
    <n v="0.2576"/>
    <n v="0.92"/>
    <n v="0.1045"/>
    <n v="1"/>
    <n v="89"/>
    <n v="90"/>
    <b v="1"/>
    <s v="January"/>
    <s v="Wednesday"/>
    <s v="Weekday"/>
    <s v="Spring"/>
    <s v="Mist"/>
    <x v="1"/>
    <x v="0"/>
    <s v="High"/>
  </r>
  <r>
    <n v="416"/>
    <d v="2011-01-19T00:00:00"/>
    <n v="1"/>
    <n v="0"/>
    <n v="1"/>
    <n v="8"/>
    <b v="0"/>
    <n v="3"/>
    <n v="2"/>
    <n v="0.24"/>
    <n v="0.2576"/>
    <n v="0.93"/>
    <n v="0.1045"/>
    <n v="1"/>
    <n v="196"/>
    <n v="197"/>
    <b v="1"/>
    <s v="January"/>
    <s v="Wednesday"/>
    <s v="Weekday"/>
    <s v="Spring"/>
    <s v="Mist"/>
    <x v="1"/>
    <x v="0"/>
    <s v="High"/>
  </r>
  <r>
    <n v="417"/>
    <d v="2011-01-19T00:00:00"/>
    <n v="1"/>
    <n v="0"/>
    <n v="1"/>
    <n v="9"/>
    <b v="0"/>
    <n v="3"/>
    <n v="2"/>
    <n v="0.24"/>
    <n v="0.2576"/>
    <n v="0.93"/>
    <n v="0.1045"/>
    <n v="2"/>
    <n v="107"/>
    <n v="109"/>
    <b v="1"/>
    <s v="January"/>
    <s v="Wednesday"/>
    <s v="Weekday"/>
    <s v="Spring"/>
    <s v="Mist"/>
    <x v="1"/>
    <x v="0"/>
    <s v="High"/>
  </r>
  <r>
    <n v="418"/>
    <d v="2011-01-19T00:00:00"/>
    <n v="1"/>
    <n v="0"/>
    <n v="1"/>
    <n v="10"/>
    <b v="0"/>
    <n v="3"/>
    <n v="2"/>
    <n v="0.26"/>
    <n v="0.2727"/>
    <n v="0.93"/>
    <n v="0.1343"/>
    <n v="1"/>
    <n v="46"/>
    <n v="47"/>
    <b v="1"/>
    <s v="January"/>
    <s v="Wednesday"/>
    <s v="Weekday"/>
    <s v="Spring"/>
    <s v="Mist"/>
    <x v="0"/>
    <x v="0"/>
    <s v="High"/>
  </r>
  <r>
    <n v="419"/>
    <d v="2011-01-19T00:00:00"/>
    <n v="1"/>
    <n v="0"/>
    <n v="1"/>
    <n v="11"/>
    <b v="0"/>
    <n v="3"/>
    <n v="2"/>
    <n v="0.28000000000000003"/>
    <n v="0.30299999999999999"/>
    <n v="0.87"/>
    <n v="8.9599999999999999E-2"/>
    <n v="5"/>
    <n v="47"/>
    <n v="52"/>
    <b v="1"/>
    <s v="January"/>
    <s v="Wednesday"/>
    <s v="Weekday"/>
    <s v="Spring"/>
    <s v="Mist"/>
    <x v="0"/>
    <x v="0"/>
    <s v="High"/>
  </r>
  <r>
    <n v="420"/>
    <d v="2011-01-19T00:00:00"/>
    <n v="1"/>
    <n v="0"/>
    <n v="1"/>
    <n v="12"/>
    <b v="0"/>
    <n v="3"/>
    <n v="2"/>
    <n v="0.3"/>
    <n v="0.31819999999999998"/>
    <n v="0.81"/>
    <n v="8.9599999999999999E-2"/>
    <n v="5"/>
    <n v="65"/>
    <n v="70"/>
    <b v="1"/>
    <s v="January"/>
    <s v="Wednesday"/>
    <s v="Weekday"/>
    <s v="Spring"/>
    <s v="Mist"/>
    <x v="0"/>
    <x v="1"/>
    <s v="High"/>
  </r>
  <r>
    <n v="421"/>
    <d v="2011-01-19T00:00:00"/>
    <n v="1"/>
    <n v="0"/>
    <n v="1"/>
    <n v="13"/>
    <b v="0"/>
    <n v="3"/>
    <n v="1"/>
    <n v="0.4"/>
    <n v="0.40910000000000002"/>
    <n v="0.62"/>
    <n v="0.28360000000000002"/>
    <n v="11"/>
    <n v="67"/>
    <n v="78"/>
    <b v="1"/>
    <s v="January"/>
    <s v="Wednesday"/>
    <s v="Weekday"/>
    <s v="Spring"/>
    <s v="Clear"/>
    <x v="0"/>
    <x v="1"/>
    <s v="Medium"/>
  </r>
  <r>
    <n v="422"/>
    <d v="2011-01-19T00:00:00"/>
    <n v="1"/>
    <n v="0"/>
    <n v="1"/>
    <n v="14"/>
    <b v="0"/>
    <n v="3"/>
    <n v="1"/>
    <n v="0.4"/>
    <n v="0.40910000000000002"/>
    <n v="0.57999999999999996"/>
    <n v="0.25369999999999998"/>
    <n v="7"/>
    <n v="68"/>
    <n v="75"/>
    <b v="1"/>
    <s v="January"/>
    <s v="Wednesday"/>
    <s v="Weekday"/>
    <s v="Spring"/>
    <s v="Clear"/>
    <x v="0"/>
    <x v="1"/>
    <s v="Medium"/>
  </r>
  <r>
    <n v="423"/>
    <d v="2011-01-19T00:00:00"/>
    <n v="1"/>
    <n v="0"/>
    <n v="1"/>
    <n v="15"/>
    <b v="0"/>
    <n v="3"/>
    <n v="1"/>
    <n v="0.4"/>
    <n v="0.40910000000000002"/>
    <n v="0.54"/>
    <n v="0.28360000000000002"/>
    <n v="4"/>
    <n v="78"/>
    <n v="82"/>
    <b v="1"/>
    <s v="January"/>
    <s v="Wednesday"/>
    <s v="Weekday"/>
    <s v="Spring"/>
    <s v="Clear"/>
    <x v="0"/>
    <x v="1"/>
    <s v="Medium"/>
  </r>
  <r>
    <n v="424"/>
    <d v="2011-01-19T00:00:00"/>
    <n v="1"/>
    <n v="0"/>
    <n v="1"/>
    <n v="16"/>
    <b v="0"/>
    <n v="3"/>
    <n v="1"/>
    <n v="0.38"/>
    <n v="0.39389999999999997"/>
    <n v="0.57999999999999996"/>
    <n v="0.3881"/>
    <n v="10"/>
    <n v="94"/>
    <n v="104"/>
    <b v="1"/>
    <s v="January"/>
    <s v="Wednesday"/>
    <s v="Weekday"/>
    <s v="Spring"/>
    <s v="Clear"/>
    <x v="0"/>
    <x v="1"/>
    <s v="Medium"/>
  </r>
  <r>
    <n v="425"/>
    <d v="2011-01-19T00:00:00"/>
    <n v="1"/>
    <n v="0"/>
    <n v="1"/>
    <n v="17"/>
    <b v="0"/>
    <n v="3"/>
    <n v="1"/>
    <n v="0.36"/>
    <n v="0.33329999999999999"/>
    <n v="0.56999999999999995"/>
    <n v="0.32840000000000003"/>
    <n v="7"/>
    <n v="190"/>
    <n v="197"/>
    <b v="1"/>
    <s v="January"/>
    <s v="Wednesday"/>
    <s v="Weekday"/>
    <s v="Spring"/>
    <s v="Clear"/>
    <x v="2"/>
    <x v="1"/>
    <s v="Medium"/>
  </r>
  <r>
    <n v="426"/>
    <d v="2011-01-19T00:00:00"/>
    <n v="1"/>
    <n v="0"/>
    <n v="1"/>
    <n v="18"/>
    <b v="0"/>
    <n v="3"/>
    <n v="1"/>
    <n v="0.34"/>
    <n v="0.31819999999999998"/>
    <n v="0.61"/>
    <n v="0.28360000000000002"/>
    <n v="5"/>
    <n v="156"/>
    <n v="161"/>
    <b v="1"/>
    <s v="January"/>
    <s v="Wednesday"/>
    <s v="Weekday"/>
    <s v="Spring"/>
    <s v="Clear"/>
    <x v="2"/>
    <x v="1"/>
    <s v="Medium"/>
  </r>
  <r>
    <n v="427"/>
    <d v="2011-01-19T00:00:00"/>
    <n v="1"/>
    <n v="0"/>
    <n v="1"/>
    <n v="19"/>
    <b v="0"/>
    <n v="3"/>
    <n v="1"/>
    <n v="0.32"/>
    <n v="0.28789999999999999"/>
    <n v="0.56999999999999995"/>
    <n v="0.41789999999999999"/>
    <n v="4"/>
    <n v="108"/>
    <n v="112"/>
    <b v="1"/>
    <s v="January"/>
    <s v="Wednesday"/>
    <s v="Weekday"/>
    <s v="Spring"/>
    <s v="Clear"/>
    <x v="2"/>
    <x v="1"/>
    <s v="Medium"/>
  </r>
  <r>
    <n v="428"/>
    <d v="2011-01-19T00:00:00"/>
    <n v="1"/>
    <n v="0"/>
    <n v="1"/>
    <n v="20"/>
    <b v="0"/>
    <n v="3"/>
    <n v="1"/>
    <n v="0.32"/>
    <n v="0.30299999999999999"/>
    <n v="0.49"/>
    <n v="0.29849999999999999"/>
    <n v="2"/>
    <n v="74"/>
    <n v="76"/>
    <b v="1"/>
    <s v="January"/>
    <s v="Wednesday"/>
    <s v="Weekday"/>
    <s v="Spring"/>
    <s v="Clear"/>
    <x v="2"/>
    <x v="1"/>
    <s v="Medium"/>
  </r>
  <r>
    <n v="429"/>
    <d v="2011-01-19T00:00:00"/>
    <n v="1"/>
    <n v="0"/>
    <n v="1"/>
    <n v="21"/>
    <b v="0"/>
    <n v="3"/>
    <n v="1"/>
    <n v="0.32"/>
    <n v="0.28789999999999999"/>
    <n v="0.49"/>
    <n v="0.41789999999999999"/>
    <n v="4"/>
    <n v="55"/>
    <n v="59"/>
    <b v="1"/>
    <s v="January"/>
    <s v="Wednesday"/>
    <s v="Weekday"/>
    <s v="Spring"/>
    <s v="Clear"/>
    <x v="0"/>
    <x v="1"/>
    <s v="Medium"/>
  </r>
  <r>
    <n v="430"/>
    <d v="2011-01-19T00:00:00"/>
    <n v="1"/>
    <n v="0"/>
    <n v="1"/>
    <n v="22"/>
    <b v="0"/>
    <n v="3"/>
    <n v="1"/>
    <n v="0.3"/>
    <n v="0.30299999999999999"/>
    <n v="0.52"/>
    <n v="0.16420000000000001"/>
    <n v="6"/>
    <n v="53"/>
    <n v="59"/>
    <b v="1"/>
    <s v="January"/>
    <s v="Wednesday"/>
    <s v="Weekday"/>
    <s v="Spring"/>
    <s v="Clear"/>
    <x v="0"/>
    <x v="1"/>
    <s v="Medium"/>
  </r>
  <r>
    <n v="431"/>
    <d v="2011-01-19T00:00:00"/>
    <n v="1"/>
    <n v="0"/>
    <n v="1"/>
    <n v="23"/>
    <b v="0"/>
    <n v="3"/>
    <n v="1"/>
    <n v="0.3"/>
    <n v="0.2727"/>
    <n v="0.52"/>
    <n v="0.4627"/>
    <n v="1"/>
    <n v="27"/>
    <n v="28"/>
    <b v="1"/>
    <s v="January"/>
    <s v="Wednesday"/>
    <s v="Weekday"/>
    <s v="Spring"/>
    <s v="Clear"/>
    <x v="0"/>
    <x v="1"/>
    <s v="Medium"/>
  </r>
  <r>
    <n v="432"/>
    <d v="2011-01-20T00:00:00"/>
    <n v="1"/>
    <n v="0"/>
    <n v="1"/>
    <n v="0"/>
    <b v="0"/>
    <n v="4"/>
    <n v="1"/>
    <n v="0.26"/>
    <n v="0.2273"/>
    <n v="0.56000000000000005"/>
    <n v="0.3881"/>
    <n v="5"/>
    <n v="8"/>
    <n v="13"/>
    <b v="1"/>
    <s v="January"/>
    <s v="Thursday"/>
    <s v="Weekday"/>
    <s v="Spring"/>
    <s v="Clear"/>
    <x v="0"/>
    <x v="0"/>
    <s v="Medium"/>
  </r>
  <r>
    <n v="433"/>
    <d v="2011-01-20T00:00:00"/>
    <n v="1"/>
    <n v="0"/>
    <n v="1"/>
    <n v="1"/>
    <b v="0"/>
    <n v="4"/>
    <n v="1"/>
    <n v="0.26"/>
    <n v="0.2727"/>
    <n v="0.56000000000000005"/>
    <n v="0"/>
    <n v="2"/>
    <n v="3"/>
    <n v="5"/>
    <b v="1"/>
    <s v="January"/>
    <s v="Thursday"/>
    <s v="Weekday"/>
    <s v="Spring"/>
    <s v="Clear"/>
    <x v="0"/>
    <x v="0"/>
    <s v="Medium"/>
  </r>
  <r>
    <n v="434"/>
    <d v="2011-01-20T00:00:00"/>
    <n v="1"/>
    <n v="0"/>
    <n v="1"/>
    <n v="2"/>
    <b v="0"/>
    <n v="4"/>
    <n v="1"/>
    <n v="0.26"/>
    <n v="0.2727"/>
    <n v="0.56000000000000005"/>
    <n v="0"/>
    <n v="0"/>
    <n v="2"/>
    <n v="2"/>
    <b v="1"/>
    <s v="January"/>
    <s v="Thursday"/>
    <s v="Weekday"/>
    <s v="Spring"/>
    <s v="Clear"/>
    <x v="0"/>
    <x v="0"/>
    <s v="Medium"/>
  </r>
  <r>
    <n v="435"/>
    <d v="2011-01-20T00:00:00"/>
    <n v="1"/>
    <n v="0"/>
    <n v="1"/>
    <n v="3"/>
    <b v="0"/>
    <n v="4"/>
    <n v="1"/>
    <n v="0.26"/>
    <n v="0.2576"/>
    <n v="0.56000000000000005"/>
    <n v="0.16420000000000001"/>
    <n v="0"/>
    <n v="1"/>
    <n v="1"/>
    <b v="1"/>
    <s v="January"/>
    <s v="Thursday"/>
    <s v="Weekday"/>
    <s v="Spring"/>
    <s v="Clear"/>
    <x v="0"/>
    <x v="0"/>
    <s v="Medium"/>
  </r>
  <r>
    <n v="436"/>
    <d v="2011-01-20T00:00:00"/>
    <n v="1"/>
    <n v="0"/>
    <n v="1"/>
    <n v="4"/>
    <b v="0"/>
    <n v="4"/>
    <n v="1"/>
    <n v="0.26"/>
    <n v="0.2576"/>
    <n v="0.56000000000000005"/>
    <n v="0.16420000000000001"/>
    <n v="0"/>
    <n v="1"/>
    <n v="1"/>
    <b v="1"/>
    <s v="January"/>
    <s v="Thursday"/>
    <s v="Weekday"/>
    <s v="Spring"/>
    <s v="Clear"/>
    <x v="0"/>
    <x v="0"/>
    <s v="Medium"/>
  </r>
  <r>
    <n v="437"/>
    <d v="2011-01-20T00:00:00"/>
    <n v="1"/>
    <n v="0"/>
    <n v="1"/>
    <n v="5"/>
    <b v="0"/>
    <n v="4"/>
    <n v="1"/>
    <n v="0.24"/>
    <n v="0.2273"/>
    <n v="0.6"/>
    <n v="0.22389999999999999"/>
    <n v="0"/>
    <n v="6"/>
    <n v="6"/>
    <b v="1"/>
    <s v="January"/>
    <s v="Thursday"/>
    <s v="Weekday"/>
    <s v="Spring"/>
    <s v="Clear"/>
    <x v="0"/>
    <x v="0"/>
    <s v="Medium"/>
  </r>
  <r>
    <n v="438"/>
    <d v="2011-01-20T00:00:00"/>
    <n v="1"/>
    <n v="0"/>
    <n v="1"/>
    <n v="6"/>
    <b v="0"/>
    <n v="4"/>
    <n v="1"/>
    <n v="0.22"/>
    <n v="0.21210000000000001"/>
    <n v="0.6"/>
    <n v="0.22389999999999999"/>
    <n v="0"/>
    <n v="35"/>
    <n v="35"/>
    <b v="1"/>
    <s v="January"/>
    <s v="Thursday"/>
    <s v="Weekday"/>
    <s v="Spring"/>
    <s v="Clear"/>
    <x v="0"/>
    <x v="0"/>
    <s v="Medium"/>
  </r>
  <r>
    <n v="439"/>
    <d v="2011-01-20T00:00:00"/>
    <n v="1"/>
    <n v="0"/>
    <n v="1"/>
    <n v="7"/>
    <b v="0"/>
    <n v="4"/>
    <n v="1"/>
    <n v="0.22"/>
    <n v="0.21210000000000001"/>
    <n v="0.55000000000000004"/>
    <n v="0.22389999999999999"/>
    <n v="1"/>
    <n v="100"/>
    <n v="101"/>
    <b v="1"/>
    <s v="January"/>
    <s v="Thursday"/>
    <s v="Weekday"/>
    <s v="Spring"/>
    <s v="Clear"/>
    <x v="1"/>
    <x v="0"/>
    <s v="Medium"/>
  </r>
  <r>
    <n v="440"/>
    <d v="2011-01-20T00:00:00"/>
    <n v="1"/>
    <n v="0"/>
    <n v="1"/>
    <n v="8"/>
    <b v="0"/>
    <n v="4"/>
    <n v="1"/>
    <n v="0.22"/>
    <n v="0.21210000000000001"/>
    <n v="0.55000000000000004"/>
    <n v="0.28360000000000002"/>
    <n v="2"/>
    <n v="247"/>
    <n v="249"/>
    <b v="1"/>
    <s v="January"/>
    <s v="Thursday"/>
    <s v="Weekday"/>
    <s v="Spring"/>
    <s v="Clear"/>
    <x v="1"/>
    <x v="0"/>
    <s v="Medium"/>
  </r>
  <r>
    <n v="441"/>
    <d v="2011-01-20T00:00:00"/>
    <n v="1"/>
    <n v="0"/>
    <n v="1"/>
    <n v="9"/>
    <b v="0"/>
    <n v="4"/>
    <n v="2"/>
    <n v="0.24"/>
    <n v="0.2273"/>
    <n v="0.52"/>
    <n v="0.22389999999999999"/>
    <n v="3"/>
    <n v="140"/>
    <n v="143"/>
    <b v="1"/>
    <s v="January"/>
    <s v="Thursday"/>
    <s v="Weekday"/>
    <s v="Spring"/>
    <s v="Mist"/>
    <x v="1"/>
    <x v="0"/>
    <s v="Medium"/>
  </r>
  <r>
    <n v="442"/>
    <d v="2011-01-20T00:00:00"/>
    <n v="1"/>
    <n v="0"/>
    <n v="1"/>
    <n v="10"/>
    <b v="0"/>
    <n v="4"/>
    <n v="1"/>
    <n v="0.26"/>
    <n v="0.2273"/>
    <n v="0.48"/>
    <n v="0.29849999999999999"/>
    <n v="1"/>
    <n v="56"/>
    <n v="57"/>
    <b v="1"/>
    <s v="January"/>
    <s v="Thursday"/>
    <s v="Weekday"/>
    <s v="Spring"/>
    <s v="Clear"/>
    <x v="0"/>
    <x v="0"/>
    <s v="Medium"/>
  </r>
  <r>
    <n v="443"/>
    <d v="2011-01-20T00:00:00"/>
    <n v="1"/>
    <n v="0"/>
    <n v="1"/>
    <n v="11"/>
    <b v="0"/>
    <n v="4"/>
    <n v="2"/>
    <n v="0.28000000000000003"/>
    <n v="0.2727"/>
    <n v="0.45"/>
    <n v="0.16420000000000001"/>
    <n v="5"/>
    <n v="63"/>
    <n v="68"/>
    <b v="1"/>
    <s v="January"/>
    <s v="Thursday"/>
    <s v="Weekday"/>
    <s v="Spring"/>
    <s v="Mist"/>
    <x v="0"/>
    <x v="0"/>
    <s v="Medium"/>
  </r>
  <r>
    <n v="444"/>
    <d v="2011-01-20T00:00:00"/>
    <n v="1"/>
    <n v="0"/>
    <n v="1"/>
    <n v="12"/>
    <b v="0"/>
    <n v="4"/>
    <n v="2"/>
    <n v="0.3"/>
    <n v="0.33329999999999999"/>
    <n v="0.42"/>
    <n v="0"/>
    <n v="7"/>
    <n v="77"/>
    <n v="84"/>
    <b v="1"/>
    <s v="January"/>
    <s v="Thursday"/>
    <s v="Weekday"/>
    <s v="Spring"/>
    <s v="Mist"/>
    <x v="0"/>
    <x v="1"/>
    <s v="Medium"/>
  </r>
  <r>
    <n v="445"/>
    <d v="2011-01-20T00:00:00"/>
    <n v="1"/>
    <n v="0"/>
    <n v="1"/>
    <n v="13"/>
    <b v="0"/>
    <n v="4"/>
    <n v="2"/>
    <n v="0.28000000000000003"/>
    <n v="0.28789999999999999"/>
    <n v="0.45"/>
    <n v="0.1045"/>
    <n v="12"/>
    <n v="86"/>
    <n v="98"/>
    <b v="1"/>
    <s v="January"/>
    <s v="Thursday"/>
    <s v="Weekday"/>
    <s v="Spring"/>
    <s v="Mist"/>
    <x v="0"/>
    <x v="0"/>
    <s v="Medium"/>
  </r>
  <r>
    <n v="446"/>
    <d v="2011-01-20T00:00:00"/>
    <n v="1"/>
    <n v="0"/>
    <n v="1"/>
    <n v="14"/>
    <b v="0"/>
    <n v="4"/>
    <n v="2"/>
    <n v="0.3"/>
    <n v="0.30299999999999999"/>
    <n v="0.45"/>
    <n v="0.1343"/>
    <n v="6"/>
    <n v="75"/>
    <n v="81"/>
    <b v="1"/>
    <s v="January"/>
    <s v="Thursday"/>
    <s v="Weekday"/>
    <s v="Spring"/>
    <s v="Mist"/>
    <x v="0"/>
    <x v="1"/>
    <s v="Medium"/>
  </r>
  <r>
    <n v="447"/>
    <d v="2011-01-20T00:00:00"/>
    <n v="1"/>
    <n v="0"/>
    <n v="1"/>
    <n v="15"/>
    <b v="0"/>
    <n v="4"/>
    <n v="2"/>
    <n v="0.32"/>
    <n v="0.31819999999999998"/>
    <n v="0.45"/>
    <n v="0.19400000000000001"/>
    <n v="8"/>
    <n v="62"/>
    <n v="70"/>
    <b v="1"/>
    <s v="January"/>
    <s v="Thursday"/>
    <s v="Weekday"/>
    <s v="Spring"/>
    <s v="Mist"/>
    <x v="0"/>
    <x v="1"/>
    <s v="Medium"/>
  </r>
  <r>
    <n v="448"/>
    <d v="2011-01-20T00:00:00"/>
    <n v="1"/>
    <n v="0"/>
    <n v="1"/>
    <n v="16"/>
    <b v="0"/>
    <n v="4"/>
    <n v="2"/>
    <n v="0.3"/>
    <n v="0.30299999999999999"/>
    <n v="0.49"/>
    <n v="0.1343"/>
    <n v="8"/>
    <n v="83"/>
    <n v="91"/>
    <b v="1"/>
    <s v="January"/>
    <s v="Thursday"/>
    <s v="Weekday"/>
    <s v="Spring"/>
    <s v="Mist"/>
    <x v="0"/>
    <x v="1"/>
    <s v="Medium"/>
  </r>
  <r>
    <n v="449"/>
    <d v="2011-01-20T00:00:00"/>
    <n v="1"/>
    <n v="0"/>
    <n v="1"/>
    <n v="17"/>
    <b v="0"/>
    <n v="4"/>
    <n v="2"/>
    <n v="0.3"/>
    <n v="0.31819999999999998"/>
    <n v="0.49"/>
    <n v="0.1045"/>
    <n v="8"/>
    <n v="207"/>
    <n v="215"/>
    <b v="1"/>
    <s v="January"/>
    <s v="Thursday"/>
    <s v="Weekday"/>
    <s v="Spring"/>
    <s v="Mist"/>
    <x v="2"/>
    <x v="1"/>
    <s v="Medium"/>
  </r>
  <r>
    <n v="450"/>
    <d v="2011-01-20T00:00:00"/>
    <n v="1"/>
    <n v="0"/>
    <n v="1"/>
    <n v="18"/>
    <b v="0"/>
    <n v="4"/>
    <n v="2"/>
    <n v="0.26"/>
    <n v="0.2576"/>
    <n v="0.56000000000000005"/>
    <n v="0.19400000000000001"/>
    <n v="1"/>
    <n v="184"/>
    <n v="185"/>
    <b v="1"/>
    <s v="January"/>
    <s v="Thursday"/>
    <s v="Weekday"/>
    <s v="Spring"/>
    <s v="Mist"/>
    <x v="2"/>
    <x v="0"/>
    <s v="Medium"/>
  </r>
  <r>
    <n v="451"/>
    <d v="2011-01-20T00:00:00"/>
    <n v="1"/>
    <n v="0"/>
    <n v="1"/>
    <n v="19"/>
    <b v="0"/>
    <n v="4"/>
    <n v="1"/>
    <n v="0.26"/>
    <n v="0.2273"/>
    <n v="0.56000000000000005"/>
    <n v="0.32840000000000003"/>
    <n v="6"/>
    <n v="146"/>
    <n v="152"/>
    <b v="1"/>
    <s v="January"/>
    <s v="Thursday"/>
    <s v="Weekday"/>
    <s v="Spring"/>
    <s v="Clear"/>
    <x v="2"/>
    <x v="0"/>
    <s v="Medium"/>
  </r>
  <r>
    <n v="452"/>
    <d v="2011-01-20T00:00:00"/>
    <n v="1"/>
    <n v="0"/>
    <n v="1"/>
    <n v="20"/>
    <b v="0"/>
    <n v="4"/>
    <n v="2"/>
    <n v="0.26"/>
    <n v="0.2424"/>
    <n v="0.6"/>
    <n v="0.28360000000000002"/>
    <n v="2"/>
    <n v="124"/>
    <n v="126"/>
    <b v="1"/>
    <s v="January"/>
    <s v="Thursday"/>
    <s v="Weekday"/>
    <s v="Spring"/>
    <s v="Mist"/>
    <x v="2"/>
    <x v="0"/>
    <s v="Medium"/>
  </r>
  <r>
    <n v="453"/>
    <d v="2011-01-20T00:00:00"/>
    <n v="1"/>
    <n v="0"/>
    <n v="1"/>
    <n v="21"/>
    <b v="0"/>
    <n v="4"/>
    <n v="2"/>
    <n v="0.24"/>
    <n v="0.2273"/>
    <n v="0.6"/>
    <n v="0.25369999999999998"/>
    <n v="3"/>
    <n v="54"/>
    <n v="57"/>
    <b v="1"/>
    <s v="January"/>
    <s v="Thursday"/>
    <s v="Weekday"/>
    <s v="Spring"/>
    <s v="Mist"/>
    <x v="0"/>
    <x v="0"/>
    <s v="Medium"/>
  </r>
  <r>
    <n v="454"/>
    <d v="2011-01-20T00:00:00"/>
    <n v="1"/>
    <n v="0"/>
    <n v="1"/>
    <n v="22"/>
    <b v="0"/>
    <n v="4"/>
    <n v="2"/>
    <n v="0.24"/>
    <n v="0.21210000000000001"/>
    <n v="0.65"/>
    <n v="0.28360000000000002"/>
    <n v="0"/>
    <n v="56"/>
    <n v="56"/>
    <b v="1"/>
    <s v="January"/>
    <s v="Thursday"/>
    <s v="Weekday"/>
    <s v="Spring"/>
    <s v="Mist"/>
    <x v="0"/>
    <x v="0"/>
    <s v="Medium"/>
  </r>
  <r>
    <n v="455"/>
    <d v="2011-01-20T00:00:00"/>
    <n v="1"/>
    <n v="0"/>
    <n v="1"/>
    <n v="23"/>
    <b v="0"/>
    <n v="4"/>
    <n v="2"/>
    <n v="0.24"/>
    <n v="0.21210000000000001"/>
    <n v="0.65"/>
    <n v="0.32840000000000003"/>
    <n v="3"/>
    <n v="28"/>
    <n v="31"/>
    <b v="1"/>
    <s v="January"/>
    <s v="Thursday"/>
    <s v="Weekday"/>
    <s v="Spring"/>
    <s v="Mist"/>
    <x v="0"/>
    <x v="0"/>
    <s v="Medium"/>
  </r>
  <r>
    <n v="456"/>
    <d v="2011-01-21T00:00:00"/>
    <n v="1"/>
    <n v="0"/>
    <n v="1"/>
    <n v="0"/>
    <b v="0"/>
    <n v="5"/>
    <n v="2"/>
    <n v="0.24"/>
    <n v="0.2273"/>
    <n v="0.7"/>
    <n v="0.25369999999999998"/>
    <n v="1"/>
    <n v="20"/>
    <n v="21"/>
    <b v="1"/>
    <s v="January"/>
    <s v="Friday"/>
    <s v="Weekday"/>
    <s v="Spring"/>
    <s v="Mist"/>
    <x v="0"/>
    <x v="0"/>
    <s v="High"/>
  </r>
  <r>
    <n v="457"/>
    <d v="2011-01-21T00:00:00"/>
    <n v="1"/>
    <n v="0"/>
    <n v="1"/>
    <n v="1"/>
    <b v="0"/>
    <n v="5"/>
    <n v="2"/>
    <n v="0.24"/>
    <n v="0.2273"/>
    <n v="0.7"/>
    <n v="0.25369999999999998"/>
    <n v="0"/>
    <n v="6"/>
    <n v="6"/>
    <b v="1"/>
    <s v="January"/>
    <s v="Friday"/>
    <s v="Weekday"/>
    <s v="Spring"/>
    <s v="Mist"/>
    <x v="0"/>
    <x v="0"/>
    <s v="High"/>
  </r>
  <r>
    <n v="458"/>
    <d v="2011-01-21T00:00:00"/>
    <n v="1"/>
    <n v="0"/>
    <n v="1"/>
    <n v="2"/>
    <b v="0"/>
    <n v="5"/>
    <n v="3"/>
    <n v="0.24"/>
    <n v="0.2424"/>
    <n v="0.75"/>
    <n v="0.16420000000000001"/>
    <n v="0"/>
    <n v="2"/>
    <n v="2"/>
    <b v="1"/>
    <s v="January"/>
    <s v="Friday"/>
    <s v="Weekday"/>
    <s v="Spring"/>
    <s v="Light Rain"/>
    <x v="0"/>
    <x v="0"/>
    <s v="High"/>
  </r>
  <r>
    <n v="459"/>
    <d v="2011-01-21T00:00:00"/>
    <n v="1"/>
    <n v="0"/>
    <n v="1"/>
    <n v="3"/>
    <b v="0"/>
    <n v="5"/>
    <n v="3"/>
    <n v="0.22"/>
    <n v="0.21210000000000001"/>
    <n v="0.8"/>
    <n v="0.29849999999999999"/>
    <n v="0"/>
    <n v="1"/>
    <n v="1"/>
    <b v="1"/>
    <s v="January"/>
    <s v="Friday"/>
    <s v="Weekday"/>
    <s v="Spring"/>
    <s v="Light Rain"/>
    <x v="0"/>
    <x v="0"/>
    <s v="High"/>
  </r>
  <r>
    <n v="460"/>
    <d v="2011-01-21T00:00:00"/>
    <n v="1"/>
    <n v="0"/>
    <n v="1"/>
    <n v="4"/>
    <b v="0"/>
    <n v="5"/>
    <n v="2"/>
    <n v="0.22"/>
    <n v="0.2576"/>
    <n v="0.87"/>
    <n v="8.9599999999999999E-2"/>
    <n v="0"/>
    <n v="1"/>
    <n v="1"/>
    <b v="1"/>
    <s v="January"/>
    <s v="Friday"/>
    <s v="Weekday"/>
    <s v="Spring"/>
    <s v="Mist"/>
    <x v="0"/>
    <x v="0"/>
    <s v="High"/>
  </r>
  <r>
    <n v="461"/>
    <d v="2011-01-21T00:00:00"/>
    <n v="1"/>
    <n v="0"/>
    <n v="1"/>
    <n v="5"/>
    <b v="0"/>
    <n v="5"/>
    <n v="1"/>
    <n v="0.24"/>
    <n v="0.19700000000000001"/>
    <n v="0.6"/>
    <n v="0.41789999999999999"/>
    <n v="1"/>
    <n v="4"/>
    <n v="5"/>
    <b v="1"/>
    <s v="January"/>
    <s v="Friday"/>
    <s v="Weekday"/>
    <s v="Spring"/>
    <s v="Clear"/>
    <x v="0"/>
    <x v="0"/>
    <s v="Medium"/>
  </r>
  <r>
    <n v="462"/>
    <d v="2011-01-21T00:00:00"/>
    <n v="1"/>
    <n v="0"/>
    <n v="1"/>
    <n v="6"/>
    <b v="0"/>
    <n v="5"/>
    <n v="1"/>
    <n v="0.22"/>
    <n v="0.21210000000000001"/>
    <n v="0.55000000000000004"/>
    <n v="0.25369999999999998"/>
    <n v="0"/>
    <n v="27"/>
    <n v="27"/>
    <b v="1"/>
    <s v="January"/>
    <s v="Friday"/>
    <s v="Weekday"/>
    <s v="Spring"/>
    <s v="Clear"/>
    <x v="0"/>
    <x v="0"/>
    <s v="Medium"/>
  </r>
  <r>
    <n v="463"/>
    <d v="2011-01-21T00:00:00"/>
    <n v="1"/>
    <n v="0"/>
    <n v="1"/>
    <n v="7"/>
    <b v="0"/>
    <n v="5"/>
    <n v="1"/>
    <n v="0.2"/>
    <n v="0.18179999999999999"/>
    <n v="0.51"/>
    <n v="0.28360000000000002"/>
    <n v="2"/>
    <n v="66"/>
    <n v="68"/>
    <b v="1"/>
    <s v="January"/>
    <s v="Friday"/>
    <s v="Weekday"/>
    <s v="Spring"/>
    <s v="Clear"/>
    <x v="1"/>
    <x v="0"/>
    <s v="Medium"/>
  </r>
  <r>
    <n v="464"/>
    <d v="2011-01-21T00:00:00"/>
    <n v="1"/>
    <n v="0"/>
    <n v="1"/>
    <n v="8"/>
    <b v="0"/>
    <n v="5"/>
    <n v="1"/>
    <n v="0.2"/>
    <n v="0.18179999999999999"/>
    <n v="0.47"/>
    <n v="0.32840000000000003"/>
    <n v="7"/>
    <n v="210"/>
    <n v="217"/>
    <b v="1"/>
    <s v="January"/>
    <s v="Friday"/>
    <s v="Weekday"/>
    <s v="Spring"/>
    <s v="Clear"/>
    <x v="1"/>
    <x v="0"/>
    <s v="Medium"/>
  </r>
  <r>
    <n v="465"/>
    <d v="2011-01-21T00:00:00"/>
    <n v="1"/>
    <n v="0"/>
    <n v="1"/>
    <n v="9"/>
    <b v="0"/>
    <n v="5"/>
    <n v="1"/>
    <n v="0.2"/>
    <n v="0.18179999999999999"/>
    <n v="0.51"/>
    <n v="0.35820000000000002"/>
    <n v="7"/>
    <n v="159"/>
    <n v="166"/>
    <b v="1"/>
    <s v="January"/>
    <s v="Friday"/>
    <s v="Weekday"/>
    <s v="Spring"/>
    <s v="Clear"/>
    <x v="1"/>
    <x v="0"/>
    <s v="Medium"/>
  </r>
  <r>
    <n v="466"/>
    <d v="2011-01-21T00:00:00"/>
    <n v="1"/>
    <n v="0"/>
    <n v="1"/>
    <n v="10"/>
    <b v="0"/>
    <n v="5"/>
    <n v="1"/>
    <n v="0.2"/>
    <n v="0.16669999999999999"/>
    <n v="0.47"/>
    <n v="0.4627"/>
    <n v="6"/>
    <n v="57"/>
    <n v="63"/>
    <b v="1"/>
    <s v="January"/>
    <s v="Friday"/>
    <s v="Weekday"/>
    <s v="Spring"/>
    <s v="Clear"/>
    <x v="0"/>
    <x v="0"/>
    <s v="Medium"/>
  </r>
  <r>
    <n v="467"/>
    <d v="2011-01-21T00:00:00"/>
    <n v="1"/>
    <n v="0"/>
    <n v="1"/>
    <n v="11"/>
    <b v="0"/>
    <n v="5"/>
    <n v="1"/>
    <n v="0.22"/>
    <n v="0.18179999999999999"/>
    <n v="0.41"/>
    <n v="0.4627"/>
    <n v="6"/>
    <n v="53"/>
    <n v="59"/>
    <b v="1"/>
    <s v="January"/>
    <s v="Friday"/>
    <s v="Weekday"/>
    <s v="Spring"/>
    <s v="Clear"/>
    <x v="0"/>
    <x v="0"/>
    <s v="Medium"/>
  </r>
  <r>
    <n v="468"/>
    <d v="2011-01-21T00:00:00"/>
    <n v="1"/>
    <n v="0"/>
    <n v="1"/>
    <n v="12"/>
    <b v="0"/>
    <n v="5"/>
    <n v="1"/>
    <n v="0.22"/>
    <n v="0.18179999999999999"/>
    <n v="0.27"/>
    <n v="0.58209999999999995"/>
    <n v="11"/>
    <n v="67"/>
    <n v="78"/>
    <b v="1"/>
    <s v="January"/>
    <s v="Friday"/>
    <s v="Weekday"/>
    <s v="Spring"/>
    <s v="Clear"/>
    <x v="0"/>
    <x v="0"/>
    <s v="Low"/>
  </r>
  <r>
    <n v="469"/>
    <d v="2011-01-21T00:00:00"/>
    <n v="1"/>
    <n v="0"/>
    <n v="1"/>
    <n v="13"/>
    <b v="0"/>
    <n v="5"/>
    <n v="1"/>
    <n v="0.2"/>
    <n v="0.1515"/>
    <n v="0.21"/>
    <n v="0.58209999999999995"/>
    <n v="8"/>
    <n v="65"/>
    <n v="73"/>
    <b v="1"/>
    <s v="January"/>
    <s v="Friday"/>
    <s v="Weekday"/>
    <s v="Spring"/>
    <s v="Clear"/>
    <x v="0"/>
    <x v="0"/>
    <s v="Low"/>
  </r>
  <r>
    <n v="470"/>
    <d v="2011-01-21T00:00:00"/>
    <n v="1"/>
    <n v="0"/>
    <n v="1"/>
    <n v="14"/>
    <b v="0"/>
    <n v="5"/>
    <n v="1"/>
    <n v="0.2"/>
    <n v="0.1515"/>
    <n v="0.25"/>
    <n v="0.52239999999999998"/>
    <n v="6"/>
    <n v="56"/>
    <n v="62"/>
    <b v="1"/>
    <s v="January"/>
    <s v="Friday"/>
    <s v="Weekday"/>
    <s v="Spring"/>
    <s v="Clear"/>
    <x v="0"/>
    <x v="0"/>
    <s v="Low"/>
  </r>
  <r>
    <n v="471"/>
    <d v="2011-01-21T00:00:00"/>
    <n v="1"/>
    <n v="0"/>
    <n v="1"/>
    <n v="15"/>
    <b v="0"/>
    <n v="5"/>
    <n v="1"/>
    <n v="0.16"/>
    <n v="0.1212"/>
    <n v="0.26"/>
    <n v="0.44779999999999998"/>
    <n v="4"/>
    <n v="61"/>
    <n v="65"/>
    <b v="1"/>
    <s v="January"/>
    <s v="Friday"/>
    <s v="Weekday"/>
    <s v="Spring"/>
    <s v="Clear"/>
    <x v="0"/>
    <x v="0"/>
    <s v="Low"/>
  </r>
  <r>
    <n v="472"/>
    <d v="2011-01-21T00:00:00"/>
    <n v="1"/>
    <n v="0"/>
    <n v="1"/>
    <n v="16"/>
    <b v="0"/>
    <n v="5"/>
    <n v="1"/>
    <n v="0.16"/>
    <n v="0.13639999999999999"/>
    <n v="0.26"/>
    <n v="0.35820000000000002"/>
    <n v="0"/>
    <n v="97"/>
    <n v="97"/>
    <b v="1"/>
    <s v="January"/>
    <s v="Friday"/>
    <s v="Weekday"/>
    <s v="Spring"/>
    <s v="Clear"/>
    <x v="0"/>
    <x v="0"/>
    <s v="Low"/>
  </r>
  <r>
    <n v="473"/>
    <d v="2011-01-21T00:00:00"/>
    <n v="1"/>
    <n v="0"/>
    <n v="1"/>
    <n v="17"/>
    <b v="0"/>
    <n v="5"/>
    <n v="1"/>
    <n v="0.14000000000000001"/>
    <n v="0.1212"/>
    <n v="0.28000000000000003"/>
    <n v="0.35820000000000002"/>
    <n v="10"/>
    <n v="151"/>
    <n v="161"/>
    <b v="1"/>
    <s v="January"/>
    <s v="Friday"/>
    <s v="Weekday"/>
    <s v="Spring"/>
    <s v="Clear"/>
    <x v="2"/>
    <x v="0"/>
    <s v="Low"/>
  </r>
  <r>
    <n v="474"/>
    <d v="2011-01-21T00:00:00"/>
    <n v="1"/>
    <n v="0"/>
    <n v="1"/>
    <n v="18"/>
    <b v="0"/>
    <n v="5"/>
    <n v="1"/>
    <n v="0.12"/>
    <n v="0.1212"/>
    <n v="0.3"/>
    <n v="0.25369999999999998"/>
    <n v="1"/>
    <n v="119"/>
    <n v="120"/>
    <b v="1"/>
    <s v="January"/>
    <s v="Friday"/>
    <s v="Weekday"/>
    <s v="Spring"/>
    <s v="Clear"/>
    <x v="2"/>
    <x v="0"/>
    <s v="Low"/>
  </r>
  <r>
    <n v="475"/>
    <d v="2011-01-21T00:00:00"/>
    <n v="1"/>
    <n v="0"/>
    <n v="1"/>
    <n v="19"/>
    <b v="0"/>
    <n v="5"/>
    <n v="1"/>
    <n v="0.12"/>
    <n v="0.1061"/>
    <n v="0.3"/>
    <n v="0.32840000000000003"/>
    <n v="3"/>
    <n v="93"/>
    <n v="96"/>
    <b v="1"/>
    <s v="January"/>
    <s v="Friday"/>
    <s v="Weekday"/>
    <s v="Spring"/>
    <s v="Clear"/>
    <x v="2"/>
    <x v="0"/>
    <s v="Low"/>
  </r>
  <r>
    <n v="476"/>
    <d v="2011-01-21T00:00:00"/>
    <n v="1"/>
    <n v="0"/>
    <n v="1"/>
    <n v="20"/>
    <b v="0"/>
    <n v="5"/>
    <n v="1"/>
    <n v="0.1"/>
    <n v="7.5800000000000006E-2"/>
    <n v="0.33"/>
    <n v="0.41789999999999999"/>
    <n v="1"/>
    <n v="52"/>
    <n v="53"/>
    <b v="1"/>
    <s v="January"/>
    <s v="Friday"/>
    <s v="Weekday"/>
    <s v="Spring"/>
    <s v="Clear"/>
    <x v="2"/>
    <x v="0"/>
    <s v="Low"/>
  </r>
  <r>
    <n v="477"/>
    <d v="2011-01-21T00:00:00"/>
    <n v="1"/>
    <n v="0"/>
    <n v="1"/>
    <n v="21"/>
    <b v="0"/>
    <n v="5"/>
    <n v="1"/>
    <n v="0.08"/>
    <n v="7.5800000000000006E-2"/>
    <n v="0.38"/>
    <n v="0.28360000000000002"/>
    <n v="0"/>
    <n v="41"/>
    <n v="41"/>
    <b v="1"/>
    <s v="January"/>
    <s v="Friday"/>
    <s v="Weekday"/>
    <s v="Spring"/>
    <s v="Clear"/>
    <x v="0"/>
    <x v="0"/>
    <s v="Low"/>
  </r>
  <r>
    <n v="478"/>
    <d v="2011-01-21T00:00:00"/>
    <n v="1"/>
    <n v="0"/>
    <n v="1"/>
    <n v="22"/>
    <b v="0"/>
    <n v="5"/>
    <n v="1"/>
    <n v="0.06"/>
    <n v="3.0300000000000001E-2"/>
    <n v="0.41"/>
    <n v="0.3881"/>
    <n v="1"/>
    <n v="33"/>
    <n v="34"/>
    <b v="1"/>
    <s v="January"/>
    <s v="Friday"/>
    <s v="Weekday"/>
    <s v="Spring"/>
    <s v="Clear"/>
    <x v="0"/>
    <x v="0"/>
    <s v="Medium"/>
  </r>
  <r>
    <n v="479"/>
    <d v="2011-01-21T00:00:00"/>
    <n v="1"/>
    <n v="0"/>
    <n v="1"/>
    <n v="23"/>
    <b v="0"/>
    <n v="5"/>
    <n v="1"/>
    <n v="0.06"/>
    <n v="4.5499999999999999E-2"/>
    <n v="0.38"/>
    <n v="0.32840000000000003"/>
    <n v="0"/>
    <n v="27"/>
    <n v="27"/>
    <b v="1"/>
    <s v="January"/>
    <s v="Friday"/>
    <s v="Weekday"/>
    <s v="Spring"/>
    <s v="Clear"/>
    <x v="0"/>
    <x v="0"/>
    <s v="Low"/>
  </r>
  <r>
    <n v="480"/>
    <d v="2011-01-22T00:00:00"/>
    <n v="1"/>
    <n v="0"/>
    <n v="1"/>
    <n v="0"/>
    <b v="0"/>
    <n v="6"/>
    <n v="1"/>
    <n v="0.04"/>
    <n v="3.0300000000000001E-2"/>
    <n v="0.45"/>
    <n v="0.25369999999999998"/>
    <n v="0"/>
    <n v="13"/>
    <n v="13"/>
    <b v="1"/>
    <s v="January"/>
    <s v="Saturday"/>
    <s v="Weekend"/>
    <s v="Spring"/>
    <s v="Clear"/>
    <x v="0"/>
    <x v="0"/>
    <s v="Medium"/>
  </r>
  <r>
    <n v="481"/>
    <d v="2011-01-22T00:00:00"/>
    <n v="1"/>
    <n v="0"/>
    <n v="1"/>
    <n v="1"/>
    <b v="0"/>
    <n v="6"/>
    <n v="2"/>
    <n v="0.04"/>
    <n v="0"/>
    <n v="0.41"/>
    <n v="0.3881"/>
    <n v="3"/>
    <n v="9"/>
    <n v="12"/>
    <b v="1"/>
    <s v="January"/>
    <s v="Saturday"/>
    <s v="Weekend"/>
    <s v="Spring"/>
    <s v="Mist"/>
    <x v="0"/>
    <x v="0"/>
    <s v="Medium"/>
  </r>
  <r>
    <n v="482"/>
    <d v="2011-01-22T00:00:00"/>
    <n v="1"/>
    <n v="0"/>
    <n v="1"/>
    <n v="2"/>
    <b v="0"/>
    <n v="6"/>
    <n v="2"/>
    <n v="0.04"/>
    <n v="3.0300000000000001E-2"/>
    <n v="0.41"/>
    <n v="0.25369999999999998"/>
    <n v="0"/>
    <n v="11"/>
    <n v="11"/>
    <b v="1"/>
    <s v="January"/>
    <s v="Saturday"/>
    <s v="Weekend"/>
    <s v="Spring"/>
    <s v="Mist"/>
    <x v="0"/>
    <x v="0"/>
    <s v="Medium"/>
  </r>
  <r>
    <n v="483"/>
    <d v="2011-01-22T00:00:00"/>
    <n v="1"/>
    <n v="0"/>
    <n v="1"/>
    <n v="3"/>
    <b v="0"/>
    <n v="6"/>
    <n v="2"/>
    <n v="0.04"/>
    <n v="3.0300000000000001E-2"/>
    <n v="0.41"/>
    <n v="0.28360000000000002"/>
    <n v="1"/>
    <n v="6"/>
    <n v="7"/>
    <b v="1"/>
    <s v="January"/>
    <s v="Saturday"/>
    <s v="Weekend"/>
    <s v="Spring"/>
    <s v="Mist"/>
    <x v="0"/>
    <x v="0"/>
    <s v="Medium"/>
  </r>
  <r>
    <n v="484"/>
    <d v="2011-01-22T00:00:00"/>
    <n v="1"/>
    <n v="0"/>
    <n v="1"/>
    <n v="4"/>
    <b v="0"/>
    <n v="6"/>
    <n v="2"/>
    <n v="0.02"/>
    <n v="1.52E-2"/>
    <n v="0.48"/>
    <n v="0.29849999999999999"/>
    <n v="0"/>
    <n v="3"/>
    <n v="3"/>
    <b v="1"/>
    <s v="January"/>
    <s v="Saturday"/>
    <s v="Weekend"/>
    <s v="Spring"/>
    <s v="Mist"/>
    <x v="0"/>
    <x v="0"/>
    <s v="Medium"/>
  </r>
  <r>
    <n v="485"/>
    <d v="2011-01-22T00:00:00"/>
    <n v="1"/>
    <n v="0"/>
    <n v="1"/>
    <n v="6"/>
    <b v="0"/>
    <n v="6"/>
    <n v="2"/>
    <n v="0.02"/>
    <n v="3.0300000000000001E-2"/>
    <n v="0.44"/>
    <n v="0.22389999999999999"/>
    <n v="0"/>
    <n v="2"/>
    <n v="2"/>
    <b v="1"/>
    <s v="January"/>
    <s v="Saturday"/>
    <s v="Weekend"/>
    <s v="Spring"/>
    <s v="Mist"/>
    <x v="0"/>
    <x v="0"/>
    <s v="Medium"/>
  </r>
  <r>
    <n v="486"/>
    <d v="2011-01-22T00:00:00"/>
    <n v="1"/>
    <n v="0"/>
    <n v="1"/>
    <n v="7"/>
    <b v="0"/>
    <n v="6"/>
    <n v="1"/>
    <n v="0.02"/>
    <n v="1.52E-2"/>
    <n v="0.44"/>
    <n v="0.28360000000000002"/>
    <n v="0"/>
    <n v="8"/>
    <n v="8"/>
    <b v="1"/>
    <s v="January"/>
    <s v="Saturday"/>
    <s v="Weekend"/>
    <s v="Spring"/>
    <s v="Clear"/>
    <x v="1"/>
    <x v="0"/>
    <s v="Medium"/>
  </r>
  <r>
    <n v="487"/>
    <d v="2011-01-22T00:00:00"/>
    <n v="1"/>
    <n v="0"/>
    <n v="1"/>
    <n v="8"/>
    <b v="0"/>
    <n v="6"/>
    <n v="1"/>
    <n v="0.02"/>
    <n v="0"/>
    <n v="0.44"/>
    <n v="0.32840000000000003"/>
    <n v="1"/>
    <n v="26"/>
    <n v="27"/>
    <b v="1"/>
    <s v="January"/>
    <s v="Saturday"/>
    <s v="Weekend"/>
    <s v="Spring"/>
    <s v="Clear"/>
    <x v="1"/>
    <x v="0"/>
    <s v="Medium"/>
  </r>
  <r>
    <n v="488"/>
    <d v="2011-01-22T00:00:00"/>
    <n v="1"/>
    <n v="0"/>
    <n v="1"/>
    <n v="9"/>
    <b v="0"/>
    <n v="6"/>
    <n v="1"/>
    <n v="0.04"/>
    <n v="3.0300000000000001E-2"/>
    <n v="0.41"/>
    <n v="0.25369999999999998"/>
    <n v="3"/>
    <n v="37"/>
    <n v="40"/>
    <b v="1"/>
    <s v="January"/>
    <s v="Saturday"/>
    <s v="Weekend"/>
    <s v="Spring"/>
    <s v="Clear"/>
    <x v="1"/>
    <x v="0"/>
    <s v="Medium"/>
  </r>
  <r>
    <n v="489"/>
    <d v="2011-01-22T00:00:00"/>
    <n v="1"/>
    <n v="0"/>
    <n v="1"/>
    <n v="10"/>
    <b v="0"/>
    <n v="6"/>
    <n v="2"/>
    <n v="0.04"/>
    <n v="6.0600000000000001E-2"/>
    <n v="0.41"/>
    <n v="0.16420000000000001"/>
    <n v="3"/>
    <n v="50"/>
    <n v="53"/>
    <b v="1"/>
    <s v="January"/>
    <s v="Saturday"/>
    <s v="Weekend"/>
    <s v="Spring"/>
    <s v="Mist"/>
    <x v="0"/>
    <x v="0"/>
    <s v="Medium"/>
  </r>
  <r>
    <n v="490"/>
    <d v="2011-01-22T00:00:00"/>
    <n v="1"/>
    <n v="0"/>
    <n v="1"/>
    <n v="11"/>
    <b v="0"/>
    <n v="6"/>
    <n v="2"/>
    <n v="0.06"/>
    <n v="7.5800000000000006E-2"/>
    <n v="0.38"/>
    <n v="0.1343"/>
    <n v="4"/>
    <n v="59"/>
    <n v="63"/>
    <b v="1"/>
    <s v="January"/>
    <s v="Saturday"/>
    <s v="Weekend"/>
    <s v="Spring"/>
    <s v="Mist"/>
    <x v="0"/>
    <x v="0"/>
    <s v="Low"/>
  </r>
  <r>
    <n v="491"/>
    <d v="2011-01-22T00:00:00"/>
    <n v="1"/>
    <n v="0"/>
    <n v="1"/>
    <n v="12"/>
    <b v="0"/>
    <n v="6"/>
    <n v="2"/>
    <n v="0.06"/>
    <n v="0.1061"/>
    <n v="0.38"/>
    <n v="0.1045"/>
    <n v="10"/>
    <n v="60"/>
    <n v="70"/>
    <b v="1"/>
    <s v="January"/>
    <s v="Saturday"/>
    <s v="Weekend"/>
    <s v="Spring"/>
    <s v="Mist"/>
    <x v="0"/>
    <x v="0"/>
    <s v="Low"/>
  </r>
  <r>
    <n v="492"/>
    <d v="2011-01-22T00:00:00"/>
    <n v="1"/>
    <n v="0"/>
    <n v="1"/>
    <n v="13"/>
    <b v="0"/>
    <n v="6"/>
    <n v="1"/>
    <n v="0.08"/>
    <n v="0.16669999999999999"/>
    <n v="0.35"/>
    <n v="0"/>
    <n v="12"/>
    <n v="72"/>
    <n v="84"/>
    <b v="1"/>
    <s v="January"/>
    <s v="Saturday"/>
    <s v="Weekend"/>
    <s v="Spring"/>
    <s v="Clear"/>
    <x v="0"/>
    <x v="0"/>
    <s v="Low"/>
  </r>
  <r>
    <n v="493"/>
    <d v="2011-01-22T00:00:00"/>
    <n v="1"/>
    <n v="0"/>
    <n v="1"/>
    <n v="14"/>
    <b v="0"/>
    <n v="6"/>
    <n v="1"/>
    <n v="0.1"/>
    <n v="0.13639999999999999"/>
    <n v="0.33"/>
    <n v="0.1045"/>
    <n v="11"/>
    <n v="64"/>
    <n v="75"/>
    <b v="1"/>
    <s v="January"/>
    <s v="Saturday"/>
    <s v="Weekend"/>
    <s v="Spring"/>
    <s v="Clear"/>
    <x v="0"/>
    <x v="0"/>
    <s v="Low"/>
  </r>
  <r>
    <n v="494"/>
    <d v="2011-01-22T00:00:00"/>
    <n v="1"/>
    <n v="0"/>
    <n v="1"/>
    <n v="15"/>
    <b v="0"/>
    <n v="6"/>
    <n v="1"/>
    <n v="0.12"/>
    <n v="0.1515"/>
    <n v="0.28000000000000003"/>
    <n v="0"/>
    <n v="10"/>
    <n v="93"/>
    <n v="103"/>
    <b v="1"/>
    <s v="January"/>
    <s v="Saturday"/>
    <s v="Weekend"/>
    <s v="Spring"/>
    <s v="Clear"/>
    <x v="0"/>
    <x v="0"/>
    <s v="Low"/>
  </r>
  <r>
    <n v="495"/>
    <d v="2011-01-22T00:00:00"/>
    <n v="1"/>
    <n v="0"/>
    <n v="1"/>
    <n v="16"/>
    <b v="0"/>
    <n v="6"/>
    <n v="1"/>
    <n v="0.12"/>
    <n v="0.13639999999999999"/>
    <n v="0.28000000000000003"/>
    <n v="0.19400000000000001"/>
    <n v="11"/>
    <n v="72"/>
    <n v="83"/>
    <b v="1"/>
    <s v="January"/>
    <s v="Saturday"/>
    <s v="Weekend"/>
    <s v="Spring"/>
    <s v="Clear"/>
    <x v="0"/>
    <x v="0"/>
    <s v="Low"/>
  </r>
  <r>
    <n v="496"/>
    <d v="2011-01-22T00:00:00"/>
    <n v="1"/>
    <n v="0"/>
    <n v="1"/>
    <n v="17"/>
    <b v="0"/>
    <n v="6"/>
    <n v="1"/>
    <n v="0.12"/>
    <n v="0.19700000000000001"/>
    <n v="0.28000000000000003"/>
    <n v="0"/>
    <n v="8"/>
    <n v="59"/>
    <n v="67"/>
    <b v="1"/>
    <s v="January"/>
    <s v="Saturday"/>
    <s v="Weekend"/>
    <s v="Spring"/>
    <s v="Clear"/>
    <x v="2"/>
    <x v="0"/>
    <s v="Low"/>
  </r>
  <r>
    <n v="497"/>
    <d v="2011-01-22T00:00:00"/>
    <n v="1"/>
    <n v="0"/>
    <n v="1"/>
    <n v="18"/>
    <b v="0"/>
    <n v="6"/>
    <n v="1"/>
    <n v="0.08"/>
    <n v="9.0899999999999995E-2"/>
    <n v="0.35"/>
    <n v="0.19400000000000001"/>
    <n v="0"/>
    <n v="54"/>
    <n v="54"/>
    <b v="1"/>
    <s v="January"/>
    <s v="Saturday"/>
    <s v="Weekend"/>
    <s v="Spring"/>
    <s v="Clear"/>
    <x v="2"/>
    <x v="0"/>
    <s v="Low"/>
  </r>
  <r>
    <n v="498"/>
    <d v="2011-01-22T00:00:00"/>
    <n v="1"/>
    <n v="0"/>
    <n v="1"/>
    <n v="19"/>
    <b v="0"/>
    <n v="6"/>
    <n v="1"/>
    <n v="0.08"/>
    <n v="0.1061"/>
    <n v="0.35"/>
    <n v="0.1343"/>
    <n v="6"/>
    <n v="53"/>
    <n v="59"/>
    <b v="1"/>
    <s v="January"/>
    <s v="Saturday"/>
    <s v="Weekend"/>
    <s v="Spring"/>
    <s v="Clear"/>
    <x v="2"/>
    <x v="0"/>
    <s v="Low"/>
  </r>
  <r>
    <n v="499"/>
    <d v="2011-01-22T00:00:00"/>
    <n v="1"/>
    <n v="0"/>
    <n v="1"/>
    <n v="20"/>
    <b v="0"/>
    <n v="6"/>
    <n v="1"/>
    <n v="0.06"/>
    <n v="7.5800000000000006E-2"/>
    <n v="0.45"/>
    <n v="0.16420000000000001"/>
    <n v="1"/>
    <n v="44"/>
    <n v="45"/>
    <b v="1"/>
    <s v="January"/>
    <s v="Saturday"/>
    <s v="Weekend"/>
    <s v="Spring"/>
    <s v="Clear"/>
    <x v="2"/>
    <x v="0"/>
    <s v="Medium"/>
  </r>
  <r>
    <n v="500"/>
    <d v="2011-01-22T00:00:00"/>
    <n v="1"/>
    <n v="0"/>
    <n v="1"/>
    <n v="21"/>
    <b v="0"/>
    <n v="6"/>
    <n v="1"/>
    <n v="0.06"/>
    <n v="0.1061"/>
    <n v="0.41"/>
    <n v="8.9599999999999999E-2"/>
    <n v="0"/>
    <n v="39"/>
    <n v="39"/>
    <b v="1"/>
    <s v="January"/>
    <s v="Saturday"/>
    <s v="Weekend"/>
    <s v="Spring"/>
    <s v="Clear"/>
    <x v="0"/>
    <x v="0"/>
    <s v="Medium"/>
  </r>
  <r>
    <n v="501"/>
    <d v="2011-01-22T00:00:00"/>
    <n v="1"/>
    <n v="0"/>
    <n v="1"/>
    <n v="22"/>
    <b v="0"/>
    <n v="6"/>
    <n v="1"/>
    <n v="0.06"/>
    <n v="0.1515"/>
    <n v="0.49"/>
    <n v="0"/>
    <n v="7"/>
    <n v="23"/>
    <n v="30"/>
    <b v="1"/>
    <s v="January"/>
    <s v="Saturday"/>
    <s v="Weekend"/>
    <s v="Spring"/>
    <s v="Clear"/>
    <x v="0"/>
    <x v="0"/>
    <s v="Medium"/>
  </r>
  <r>
    <n v="502"/>
    <d v="2011-01-22T00:00:00"/>
    <n v="1"/>
    <n v="0"/>
    <n v="1"/>
    <n v="23"/>
    <b v="0"/>
    <n v="6"/>
    <n v="1"/>
    <n v="0.04"/>
    <n v="7.5800000000000006E-2"/>
    <n v="0.56999999999999995"/>
    <n v="0.1045"/>
    <n v="2"/>
    <n v="31"/>
    <n v="33"/>
    <b v="1"/>
    <s v="January"/>
    <s v="Saturday"/>
    <s v="Weekend"/>
    <s v="Spring"/>
    <s v="Clear"/>
    <x v="0"/>
    <x v="0"/>
    <s v="Medium"/>
  </r>
  <r>
    <n v="503"/>
    <d v="2011-01-23T00:00:00"/>
    <n v="1"/>
    <n v="0"/>
    <n v="1"/>
    <n v="0"/>
    <b v="0"/>
    <n v="0"/>
    <n v="1"/>
    <n v="0.04"/>
    <n v="7.5800000000000006E-2"/>
    <n v="0.56999999999999995"/>
    <n v="0.1045"/>
    <n v="2"/>
    <n v="20"/>
    <n v="22"/>
    <b v="1"/>
    <s v="January"/>
    <s v="Sunday"/>
    <s v="Weekend"/>
    <s v="Spring"/>
    <s v="Clear"/>
    <x v="0"/>
    <x v="0"/>
    <s v="Medium"/>
  </r>
  <r>
    <n v="504"/>
    <d v="2011-01-23T00:00:00"/>
    <n v="1"/>
    <n v="0"/>
    <n v="1"/>
    <n v="1"/>
    <b v="0"/>
    <n v="0"/>
    <n v="1"/>
    <n v="0.04"/>
    <n v="7.5800000000000006E-2"/>
    <n v="0.56999999999999995"/>
    <n v="0.1045"/>
    <n v="1"/>
    <n v="12"/>
    <n v="13"/>
    <b v="1"/>
    <s v="January"/>
    <s v="Sunday"/>
    <s v="Weekend"/>
    <s v="Spring"/>
    <s v="Clear"/>
    <x v="0"/>
    <x v="0"/>
    <s v="Medium"/>
  </r>
  <r>
    <n v="505"/>
    <d v="2011-01-23T00:00:00"/>
    <n v="1"/>
    <n v="0"/>
    <n v="1"/>
    <n v="2"/>
    <b v="0"/>
    <n v="0"/>
    <n v="1"/>
    <n v="0.02"/>
    <n v="6.0600000000000001E-2"/>
    <n v="0.62"/>
    <n v="0.1343"/>
    <n v="3"/>
    <n v="15"/>
    <n v="18"/>
    <b v="1"/>
    <s v="January"/>
    <s v="Sunday"/>
    <s v="Weekend"/>
    <s v="Spring"/>
    <s v="Clear"/>
    <x v="0"/>
    <x v="0"/>
    <s v="Medium"/>
  </r>
  <r>
    <n v="506"/>
    <d v="2011-01-23T00:00:00"/>
    <n v="1"/>
    <n v="0"/>
    <n v="1"/>
    <n v="3"/>
    <b v="0"/>
    <n v="0"/>
    <n v="1"/>
    <n v="0.02"/>
    <n v="6.0600000000000001E-2"/>
    <n v="0.62"/>
    <n v="0.1343"/>
    <n v="1"/>
    <n v="4"/>
    <n v="5"/>
    <b v="1"/>
    <s v="January"/>
    <s v="Sunday"/>
    <s v="Weekend"/>
    <s v="Spring"/>
    <s v="Clear"/>
    <x v="0"/>
    <x v="0"/>
    <s v="Medium"/>
  </r>
  <r>
    <n v="507"/>
    <d v="2011-01-23T00:00:00"/>
    <n v="1"/>
    <n v="0"/>
    <n v="1"/>
    <n v="5"/>
    <b v="0"/>
    <n v="0"/>
    <n v="2"/>
    <n v="0.04"/>
    <n v="7.5800000000000006E-2"/>
    <n v="0.56999999999999995"/>
    <n v="0.1045"/>
    <n v="0"/>
    <n v="3"/>
    <n v="3"/>
    <b v="1"/>
    <s v="January"/>
    <s v="Sunday"/>
    <s v="Weekend"/>
    <s v="Spring"/>
    <s v="Mist"/>
    <x v="0"/>
    <x v="0"/>
    <s v="Medium"/>
  </r>
  <r>
    <n v="508"/>
    <d v="2011-01-23T00:00:00"/>
    <n v="1"/>
    <n v="0"/>
    <n v="1"/>
    <n v="6"/>
    <b v="0"/>
    <n v="0"/>
    <n v="2"/>
    <n v="0.04"/>
    <n v="7.5800000000000006E-2"/>
    <n v="0.56999999999999995"/>
    <n v="0.1045"/>
    <n v="0"/>
    <n v="1"/>
    <n v="1"/>
    <b v="1"/>
    <s v="January"/>
    <s v="Sunday"/>
    <s v="Weekend"/>
    <s v="Spring"/>
    <s v="Mist"/>
    <x v="0"/>
    <x v="0"/>
    <s v="Medium"/>
  </r>
  <r>
    <n v="509"/>
    <d v="2011-01-23T00:00:00"/>
    <n v="1"/>
    <n v="0"/>
    <n v="1"/>
    <n v="7"/>
    <b v="0"/>
    <n v="0"/>
    <n v="1"/>
    <n v="0.08"/>
    <n v="0.1061"/>
    <n v="0.57999999999999996"/>
    <n v="0.16420000000000001"/>
    <n v="1"/>
    <n v="1"/>
    <n v="2"/>
    <b v="1"/>
    <s v="January"/>
    <s v="Sunday"/>
    <s v="Weekend"/>
    <s v="Spring"/>
    <s v="Clear"/>
    <x v="1"/>
    <x v="0"/>
    <s v="Medium"/>
  </r>
  <r>
    <n v="510"/>
    <d v="2011-01-23T00:00:00"/>
    <n v="1"/>
    <n v="0"/>
    <n v="1"/>
    <n v="8"/>
    <b v="0"/>
    <n v="0"/>
    <n v="1"/>
    <n v="0.06"/>
    <n v="7.5800000000000006E-2"/>
    <n v="0.62"/>
    <n v="0.16420000000000001"/>
    <n v="2"/>
    <n v="17"/>
    <n v="19"/>
    <b v="1"/>
    <s v="January"/>
    <s v="Sunday"/>
    <s v="Weekend"/>
    <s v="Spring"/>
    <s v="Clear"/>
    <x v="1"/>
    <x v="0"/>
    <s v="Medium"/>
  </r>
  <r>
    <n v="511"/>
    <d v="2011-01-23T00:00:00"/>
    <n v="1"/>
    <n v="0"/>
    <n v="1"/>
    <n v="9"/>
    <b v="0"/>
    <n v="0"/>
    <n v="1"/>
    <n v="0.1"/>
    <n v="7.5800000000000006E-2"/>
    <n v="0.54"/>
    <n v="0.35820000000000002"/>
    <n v="3"/>
    <n v="25"/>
    <n v="28"/>
    <b v="1"/>
    <s v="January"/>
    <s v="Sunday"/>
    <s v="Weekend"/>
    <s v="Spring"/>
    <s v="Clear"/>
    <x v="1"/>
    <x v="0"/>
    <s v="Medium"/>
  </r>
  <r>
    <n v="512"/>
    <d v="2011-01-23T00:00:00"/>
    <n v="1"/>
    <n v="0"/>
    <n v="1"/>
    <n v="10"/>
    <b v="0"/>
    <n v="0"/>
    <n v="1"/>
    <n v="0.14000000000000001"/>
    <n v="0.1061"/>
    <n v="0.46"/>
    <n v="0.3881"/>
    <n v="7"/>
    <n v="51"/>
    <n v="58"/>
    <b v="1"/>
    <s v="January"/>
    <s v="Sunday"/>
    <s v="Weekend"/>
    <s v="Spring"/>
    <s v="Clear"/>
    <x v="0"/>
    <x v="0"/>
    <s v="Medium"/>
  </r>
  <r>
    <n v="513"/>
    <d v="2011-01-23T00:00:00"/>
    <n v="1"/>
    <n v="0"/>
    <n v="1"/>
    <n v="11"/>
    <b v="0"/>
    <n v="0"/>
    <n v="1"/>
    <n v="0.14000000000000001"/>
    <n v="0.13639999999999999"/>
    <n v="0.43"/>
    <n v="0.22389999999999999"/>
    <n v="22"/>
    <n v="77"/>
    <n v="99"/>
    <b v="1"/>
    <s v="January"/>
    <s v="Sunday"/>
    <s v="Weekend"/>
    <s v="Spring"/>
    <s v="Clear"/>
    <x v="0"/>
    <x v="0"/>
    <s v="Medium"/>
  </r>
  <r>
    <n v="514"/>
    <d v="2011-01-23T00:00:00"/>
    <n v="1"/>
    <n v="0"/>
    <n v="1"/>
    <n v="12"/>
    <b v="0"/>
    <n v="0"/>
    <n v="1"/>
    <n v="0.16"/>
    <n v="0.1212"/>
    <n v="0.37"/>
    <n v="0.4627"/>
    <n v="24"/>
    <n v="92"/>
    <n v="116"/>
    <b v="1"/>
    <s v="January"/>
    <s v="Sunday"/>
    <s v="Weekend"/>
    <s v="Spring"/>
    <s v="Clear"/>
    <x v="0"/>
    <x v="0"/>
    <s v="Low"/>
  </r>
  <r>
    <n v="515"/>
    <d v="2011-01-23T00:00:00"/>
    <n v="1"/>
    <n v="0"/>
    <n v="1"/>
    <n v="13"/>
    <b v="0"/>
    <n v="0"/>
    <n v="1"/>
    <n v="0.14000000000000001"/>
    <n v="0.1061"/>
    <n v="0.33"/>
    <n v="0.3881"/>
    <n v="12"/>
    <n v="75"/>
    <n v="87"/>
    <b v="1"/>
    <s v="January"/>
    <s v="Sunday"/>
    <s v="Weekend"/>
    <s v="Spring"/>
    <s v="Clear"/>
    <x v="0"/>
    <x v="0"/>
    <s v="Low"/>
  </r>
  <r>
    <n v="516"/>
    <d v="2011-01-23T00:00:00"/>
    <n v="1"/>
    <n v="0"/>
    <n v="1"/>
    <n v="14"/>
    <b v="0"/>
    <n v="0"/>
    <n v="1"/>
    <n v="0.16"/>
    <n v="0.13639999999999999"/>
    <n v="0.28000000000000003"/>
    <n v="0.35820000000000002"/>
    <n v="17"/>
    <n v="93"/>
    <n v="110"/>
    <b v="1"/>
    <s v="January"/>
    <s v="Sunday"/>
    <s v="Weekend"/>
    <s v="Spring"/>
    <s v="Clear"/>
    <x v="0"/>
    <x v="0"/>
    <s v="Low"/>
  </r>
  <r>
    <n v="517"/>
    <d v="2011-01-23T00:00:00"/>
    <n v="1"/>
    <n v="0"/>
    <n v="1"/>
    <n v="15"/>
    <b v="0"/>
    <n v="0"/>
    <n v="1"/>
    <n v="0.16"/>
    <n v="0.13639999999999999"/>
    <n v="0.28000000000000003"/>
    <n v="0.35820000000000002"/>
    <n v="13"/>
    <n v="64"/>
    <n v="77"/>
    <b v="1"/>
    <s v="January"/>
    <s v="Sunday"/>
    <s v="Weekend"/>
    <s v="Spring"/>
    <s v="Clear"/>
    <x v="0"/>
    <x v="0"/>
    <s v="Low"/>
  </r>
  <r>
    <n v="518"/>
    <d v="2011-01-23T00:00:00"/>
    <n v="1"/>
    <n v="0"/>
    <n v="1"/>
    <n v="16"/>
    <b v="0"/>
    <n v="0"/>
    <n v="1"/>
    <n v="0.16"/>
    <n v="0.13639999999999999"/>
    <n v="0.26"/>
    <n v="0.32840000000000003"/>
    <n v="9"/>
    <n v="56"/>
    <n v="65"/>
    <b v="1"/>
    <s v="January"/>
    <s v="Sunday"/>
    <s v="Weekend"/>
    <s v="Spring"/>
    <s v="Clear"/>
    <x v="0"/>
    <x v="0"/>
    <s v="Low"/>
  </r>
  <r>
    <n v="519"/>
    <d v="2011-01-23T00:00:00"/>
    <n v="1"/>
    <n v="0"/>
    <n v="1"/>
    <n v="17"/>
    <b v="0"/>
    <n v="0"/>
    <n v="1"/>
    <n v="0.14000000000000001"/>
    <n v="0.1061"/>
    <n v="0.26"/>
    <n v="0.3881"/>
    <n v="5"/>
    <n v="50"/>
    <n v="55"/>
    <b v="1"/>
    <s v="January"/>
    <s v="Sunday"/>
    <s v="Weekend"/>
    <s v="Spring"/>
    <s v="Clear"/>
    <x v="2"/>
    <x v="0"/>
    <s v="Low"/>
  </r>
  <r>
    <n v="520"/>
    <d v="2011-01-23T00:00:00"/>
    <n v="1"/>
    <n v="0"/>
    <n v="1"/>
    <n v="18"/>
    <b v="0"/>
    <n v="0"/>
    <n v="1"/>
    <n v="0.12"/>
    <n v="0.1212"/>
    <n v="0.3"/>
    <n v="0.25369999999999998"/>
    <n v="5"/>
    <n v="44"/>
    <n v="49"/>
    <b v="1"/>
    <s v="January"/>
    <s v="Sunday"/>
    <s v="Weekend"/>
    <s v="Spring"/>
    <s v="Clear"/>
    <x v="2"/>
    <x v="0"/>
    <s v="Low"/>
  </r>
  <r>
    <n v="521"/>
    <d v="2011-01-23T00:00:00"/>
    <n v="1"/>
    <n v="0"/>
    <n v="1"/>
    <n v="19"/>
    <b v="0"/>
    <n v="0"/>
    <n v="1"/>
    <n v="0.12"/>
    <n v="0.1212"/>
    <n v="0.3"/>
    <n v="0.28360000000000002"/>
    <n v="5"/>
    <n v="45"/>
    <n v="50"/>
    <b v="1"/>
    <s v="January"/>
    <s v="Sunday"/>
    <s v="Weekend"/>
    <s v="Spring"/>
    <s v="Clear"/>
    <x v="2"/>
    <x v="0"/>
    <s v="Low"/>
  </r>
  <r>
    <n v="522"/>
    <d v="2011-01-23T00:00:00"/>
    <n v="1"/>
    <n v="0"/>
    <n v="1"/>
    <n v="20"/>
    <b v="0"/>
    <n v="0"/>
    <n v="1"/>
    <n v="0.1"/>
    <n v="0.1061"/>
    <n v="0.36"/>
    <n v="0.25369999999999998"/>
    <n v="4"/>
    <n v="31"/>
    <n v="35"/>
    <b v="1"/>
    <s v="January"/>
    <s v="Sunday"/>
    <s v="Weekend"/>
    <s v="Spring"/>
    <s v="Clear"/>
    <x v="2"/>
    <x v="0"/>
    <s v="Low"/>
  </r>
  <r>
    <n v="523"/>
    <d v="2011-01-23T00:00:00"/>
    <n v="1"/>
    <n v="0"/>
    <n v="1"/>
    <n v="21"/>
    <b v="0"/>
    <n v="0"/>
    <n v="1"/>
    <n v="0.1"/>
    <n v="0.1061"/>
    <n v="0.36"/>
    <n v="0.19400000000000001"/>
    <n v="5"/>
    <n v="20"/>
    <n v="25"/>
    <b v="1"/>
    <s v="January"/>
    <s v="Sunday"/>
    <s v="Weekend"/>
    <s v="Spring"/>
    <s v="Clear"/>
    <x v="0"/>
    <x v="0"/>
    <s v="Low"/>
  </r>
  <r>
    <n v="524"/>
    <d v="2011-01-23T00:00:00"/>
    <n v="1"/>
    <n v="0"/>
    <n v="1"/>
    <n v="22"/>
    <b v="0"/>
    <n v="0"/>
    <n v="1"/>
    <n v="0.08"/>
    <n v="9.0899999999999995E-2"/>
    <n v="0.38"/>
    <n v="0.19400000000000001"/>
    <n v="5"/>
    <n v="23"/>
    <n v="28"/>
    <b v="1"/>
    <s v="January"/>
    <s v="Sunday"/>
    <s v="Weekend"/>
    <s v="Spring"/>
    <s v="Clear"/>
    <x v="0"/>
    <x v="0"/>
    <s v="Low"/>
  </r>
  <r>
    <n v="525"/>
    <d v="2011-01-23T00:00:00"/>
    <n v="1"/>
    <n v="0"/>
    <n v="1"/>
    <n v="23"/>
    <b v="0"/>
    <n v="0"/>
    <n v="1"/>
    <n v="0.06"/>
    <n v="6.0600000000000001E-2"/>
    <n v="0.41"/>
    <n v="0.22389999999999999"/>
    <n v="4"/>
    <n v="17"/>
    <n v="21"/>
    <b v="1"/>
    <s v="January"/>
    <s v="Sunday"/>
    <s v="Weekend"/>
    <s v="Spring"/>
    <s v="Clear"/>
    <x v="0"/>
    <x v="0"/>
    <s v="Medium"/>
  </r>
  <r>
    <n v="526"/>
    <d v="2011-01-24T00:00:00"/>
    <n v="1"/>
    <n v="0"/>
    <n v="1"/>
    <n v="0"/>
    <b v="0"/>
    <n v="1"/>
    <n v="1"/>
    <n v="0.06"/>
    <n v="6.0600000000000001E-2"/>
    <n v="0.41"/>
    <n v="0.19400000000000001"/>
    <n v="0"/>
    <n v="7"/>
    <n v="7"/>
    <b v="1"/>
    <s v="January"/>
    <s v="Monday"/>
    <s v="Weekday"/>
    <s v="Spring"/>
    <s v="Clear"/>
    <x v="0"/>
    <x v="0"/>
    <s v="Medium"/>
  </r>
  <r>
    <n v="527"/>
    <d v="2011-01-24T00:00:00"/>
    <n v="1"/>
    <n v="0"/>
    <n v="1"/>
    <n v="1"/>
    <b v="0"/>
    <n v="1"/>
    <n v="1"/>
    <n v="0.04"/>
    <n v="4.5499999999999999E-2"/>
    <n v="0.45"/>
    <n v="0.19400000000000001"/>
    <n v="0"/>
    <n v="1"/>
    <n v="1"/>
    <b v="1"/>
    <s v="January"/>
    <s v="Monday"/>
    <s v="Weekday"/>
    <s v="Spring"/>
    <s v="Clear"/>
    <x v="0"/>
    <x v="0"/>
    <s v="Medium"/>
  </r>
  <r>
    <n v="528"/>
    <d v="2011-01-24T00:00:00"/>
    <n v="1"/>
    <n v="0"/>
    <n v="1"/>
    <n v="3"/>
    <b v="0"/>
    <n v="1"/>
    <n v="1"/>
    <n v="0.04"/>
    <n v="3.0300000000000001E-2"/>
    <n v="0.45"/>
    <n v="0.25369999999999998"/>
    <n v="0"/>
    <n v="1"/>
    <n v="1"/>
    <b v="1"/>
    <s v="January"/>
    <s v="Monday"/>
    <s v="Weekday"/>
    <s v="Spring"/>
    <s v="Clear"/>
    <x v="0"/>
    <x v="0"/>
    <s v="Medium"/>
  </r>
  <r>
    <n v="529"/>
    <d v="2011-01-24T00:00:00"/>
    <n v="1"/>
    <n v="0"/>
    <n v="1"/>
    <n v="4"/>
    <b v="0"/>
    <n v="1"/>
    <n v="1"/>
    <n v="0.02"/>
    <n v="6.0600000000000001E-2"/>
    <n v="0.48"/>
    <n v="0.1343"/>
    <n v="0"/>
    <n v="1"/>
    <n v="1"/>
    <b v="1"/>
    <s v="January"/>
    <s v="Monday"/>
    <s v="Weekday"/>
    <s v="Spring"/>
    <s v="Clear"/>
    <x v="0"/>
    <x v="0"/>
    <s v="Medium"/>
  </r>
  <r>
    <n v="530"/>
    <d v="2011-01-24T00:00:00"/>
    <n v="1"/>
    <n v="0"/>
    <n v="1"/>
    <n v="5"/>
    <b v="0"/>
    <n v="1"/>
    <n v="1"/>
    <n v="0.02"/>
    <n v="6.0600000000000001E-2"/>
    <n v="0.48"/>
    <n v="0.1343"/>
    <n v="0"/>
    <n v="5"/>
    <n v="5"/>
    <b v="1"/>
    <s v="January"/>
    <s v="Monday"/>
    <s v="Weekday"/>
    <s v="Spring"/>
    <s v="Clear"/>
    <x v="0"/>
    <x v="0"/>
    <s v="Medium"/>
  </r>
  <r>
    <n v="531"/>
    <d v="2011-01-24T00:00:00"/>
    <n v="1"/>
    <n v="0"/>
    <n v="1"/>
    <n v="6"/>
    <b v="0"/>
    <n v="1"/>
    <n v="1"/>
    <n v="0.02"/>
    <n v="7.5800000000000006E-2"/>
    <n v="0.48"/>
    <n v="8.9599999999999999E-2"/>
    <n v="0"/>
    <n v="15"/>
    <n v="15"/>
    <b v="1"/>
    <s v="January"/>
    <s v="Monday"/>
    <s v="Weekday"/>
    <s v="Spring"/>
    <s v="Clear"/>
    <x v="0"/>
    <x v="0"/>
    <s v="Medium"/>
  </r>
  <r>
    <n v="532"/>
    <d v="2011-01-24T00:00:00"/>
    <n v="1"/>
    <n v="0"/>
    <n v="1"/>
    <n v="7"/>
    <b v="0"/>
    <n v="1"/>
    <n v="1"/>
    <n v="0.02"/>
    <n v="0.1212"/>
    <n v="0.48"/>
    <n v="0"/>
    <n v="5"/>
    <n v="79"/>
    <n v="84"/>
    <b v="1"/>
    <s v="January"/>
    <s v="Monday"/>
    <s v="Weekday"/>
    <s v="Spring"/>
    <s v="Clear"/>
    <x v="1"/>
    <x v="0"/>
    <s v="Medium"/>
  </r>
  <r>
    <n v="533"/>
    <d v="2011-01-24T00:00:00"/>
    <n v="1"/>
    <n v="0"/>
    <n v="1"/>
    <n v="8"/>
    <b v="0"/>
    <n v="1"/>
    <n v="1"/>
    <n v="0.04"/>
    <n v="0.13639999999999999"/>
    <n v="0.49"/>
    <n v="0"/>
    <n v="6"/>
    <n v="171"/>
    <n v="177"/>
    <b v="1"/>
    <s v="January"/>
    <s v="Monday"/>
    <s v="Weekday"/>
    <s v="Spring"/>
    <s v="Clear"/>
    <x v="1"/>
    <x v="0"/>
    <s v="Medium"/>
  </r>
  <r>
    <n v="534"/>
    <d v="2011-01-24T00:00:00"/>
    <n v="1"/>
    <n v="0"/>
    <n v="1"/>
    <n v="9"/>
    <b v="0"/>
    <n v="1"/>
    <n v="1"/>
    <n v="0.06"/>
    <n v="0.1515"/>
    <n v="0.41"/>
    <n v="0"/>
    <n v="4"/>
    <n v="98"/>
    <n v="102"/>
    <b v="1"/>
    <s v="January"/>
    <s v="Monday"/>
    <s v="Weekday"/>
    <s v="Spring"/>
    <s v="Clear"/>
    <x v="1"/>
    <x v="0"/>
    <s v="Medium"/>
  </r>
  <r>
    <n v="535"/>
    <d v="2011-01-24T00:00:00"/>
    <n v="1"/>
    <n v="0"/>
    <n v="1"/>
    <n v="10"/>
    <b v="0"/>
    <n v="1"/>
    <n v="1"/>
    <n v="0.1"/>
    <n v="0.13639999999999999"/>
    <n v="0.42"/>
    <n v="0"/>
    <n v="6"/>
    <n v="34"/>
    <n v="40"/>
    <b v="1"/>
    <s v="January"/>
    <s v="Monday"/>
    <s v="Weekday"/>
    <s v="Spring"/>
    <s v="Clear"/>
    <x v="0"/>
    <x v="0"/>
    <s v="Medium"/>
  </r>
  <r>
    <n v="536"/>
    <d v="2011-01-24T00:00:00"/>
    <n v="1"/>
    <n v="0"/>
    <n v="1"/>
    <n v="11"/>
    <b v="0"/>
    <n v="1"/>
    <n v="1"/>
    <n v="0.1"/>
    <n v="0.1212"/>
    <n v="0.46"/>
    <n v="0.1343"/>
    <n v="3"/>
    <n v="43"/>
    <n v="46"/>
    <b v="1"/>
    <s v="January"/>
    <s v="Monday"/>
    <s v="Weekday"/>
    <s v="Spring"/>
    <s v="Clear"/>
    <x v="0"/>
    <x v="0"/>
    <s v="Medium"/>
  </r>
  <r>
    <n v="537"/>
    <d v="2011-01-24T00:00:00"/>
    <n v="1"/>
    <n v="0"/>
    <n v="1"/>
    <n v="12"/>
    <b v="0"/>
    <n v="1"/>
    <n v="2"/>
    <n v="0.12"/>
    <n v="0.13639999999999999"/>
    <n v="0.42"/>
    <n v="0.19400000000000001"/>
    <n v="11"/>
    <n v="52"/>
    <n v="63"/>
    <b v="1"/>
    <s v="January"/>
    <s v="Monday"/>
    <s v="Weekday"/>
    <s v="Spring"/>
    <s v="Mist"/>
    <x v="0"/>
    <x v="0"/>
    <s v="Medium"/>
  </r>
  <r>
    <n v="538"/>
    <d v="2011-01-24T00:00:00"/>
    <n v="1"/>
    <n v="0"/>
    <n v="1"/>
    <n v="13"/>
    <b v="0"/>
    <n v="1"/>
    <n v="2"/>
    <n v="0.14000000000000001"/>
    <n v="0.13639999999999999"/>
    <n v="0.43"/>
    <n v="0.22389999999999999"/>
    <n v="6"/>
    <n v="54"/>
    <n v="60"/>
    <b v="1"/>
    <s v="January"/>
    <s v="Monday"/>
    <s v="Weekday"/>
    <s v="Spring"/>
    <s v="Mist"/>
    <x v="0"/>
    <x v="0"/>
    <s v="Medium"/>
  </r>
  <r>
    <n v="539"/>
    <d v="2011-01-24T00:00:00"/>
    <n v="1"/>
    <n v="0"/>
    <n v="1"/>
    <n v="14"/>
    <b v="0"/>
    <n v="1"/>
    <n v="2"/>
    <n v="0.14000000000000001"/>
    <n v="0.13639999999999999"/>
    <n v="0.46"/>
    <n v="0.22389999999999999"/>
    <n v="2"/>
    <n v="43"/>
    <n v="45"/>
    <b v="1"/>
    <s v="January"/>
    <s v="Monday"/>
    <s v="Weekday"/>
    <s v="Spring"/>
    <s v="Mist"/>
    <x v="0"/>
    <x v="0"/>
    <s v="Medium"/>
  </r>
  <r>
    <n v="540"/>
    <d v="2011-01-24T00:00:00"/>
    <n v="1"/>
    <n v="0"/>
    <n v="1"/>
    <n v="15"/>
    <b v="0"/>
    <n v="1"/>
    <n v="1"/>
    <n v="0.16"/>
    <n v="0.16669999999999999"/>
    <n v="0.4"/>
    <n v="0.16420000000000001"/>
    <n v="7"/>
    <n v="50"/>
    <n v="57"/>
    <b v="1"/>
    <s v="January"/>
    <s v="Monday"/>
    <s v="Weekday"/>
    <s v="Spring"/>
    <s v="Clear"/>
    <x v="0"/>
    <x v="0"/>
    <s v="Medium"/>
  </r>
  <r>
    <n v="541"/>
    <d v="2011-01-24T00:00:00"/>
    <n v="1"/>
    <n v="0"/>
    <n v="1"/>
    <n v="16"/>
    <b v="0"/>
    <n v="1"/>
    <n v="1"/>
    <n v="0.16"/>
    <n v="0.1515"/>
    <n v="0.47"/>
    <n v="0.25369999999999998"/>
    <n v="4"/>
    <n v="66"/>
    <n v="70"/>
    <b v="1"/>
    <s v="January"/>
    <s v="Monday"/>
    <s v="Weekday"/>
    <s v="Spring"/>
    <s v="Clear"/>
    <x v="0"/>
    <x v="0"/>
    <s v="Medium"/>
  </r>
  <r>
    <n v="542"/>
    <d v="2011-01-24T00:00:00"/>
    <n v="1"/>
    <n v="0"/>
    <n v="1"/>
    <n v="17"/>
    <b v="0"/>
    <n v="1"/>
    <n v="1"/>
    <n v="0.14000000000000001"/>
    <n v="0.1212"/>
    <n v="0.5"/>
    <n v="0.25369999999999998"/>
    <n v="6"/>
    <n v="178"/>
    <n v="184"/>
    <b v="1"/>
    <s v="January"/>
    <s v="Monday"/>
    <s v="Weekday"/>
    <s v="Spring"/>
    <s v="Clear"/>
    <x v="2"/>
    <x v="0"/>
    <s v="Medium"/>
  </r>
  <r>
    <n v="543"/>
    <d v="2011-01-24T00:00:00"/>
    <n v="1"/>
    <n v="0"/>
    <n v="1"/>
    <n v="18"/>
    <b v="0"/>
    <n v="1"/>
    <n v="1"/>
    <n v="0.14000000000000001"/>
    <n v="0.13639999999999999"/>
    <n v="0.59"/>
    <n v="0.19400000000000001"/>
    <n v="8"/>
    <n v="145"/>
    <n v="153"/>
    <b v="1"/>
    <s v="January"/>
    <s v="Monday"/>
    <s v="Weekday"/>
    <s v="Spring"/>
    <s v="Clear"/>
    <x v="2"/>
    <x v="0"/>
    <s v="Medium"/>
  </r>
  <r>
    <n v="544"/>
    <d v="2011-01-24T00:00:00"/>
    <n v="1"/>
    <n v="0"/>
    <n v="1"/>
    <n v="19"/>
    <b v="0"/>
    <n v="1"/>
    <n v="1"/>
    <n v="0.14000000000000001"/>
    <n v="0.1515"/>
    <n v="0.54"/>
    <n v="0.16420000000000001"/>
    <n v="5"/>
    <n v="101"/>
    <n v="106"/>
    <b v="1"/>
    <s v="January"/>
    <s v="Monday"/>
    <s v="Weekday"/>
    <s v="Spring"/>
    <s v="Clear"/>
    <x v="2"/>
    <x v="0"/>
    <s v="Medium"/>
  </r>
  <r>
    <n v="545"/>
    <d v="2011-01-24T00:00:00"/>
    <n v="1"/>
    <n v="0"/>
    <n v="1"/>
    <n v="20"/>
    <b v="0"/>
    <n v="1"/>
    <n v="1"/>
    <n v="0.14000000000000001"/>
    <n v="0.13639999999999999"/>
    <n v="0.59"/>
    <n v="0.19400000000000001"/>
    <n v="1"/>
    <n v="80"/>
    <n v="81"/>
    <b v="1"/>
    <s v="January"/>
    <s v="Monday"/>
    <s v="Weekday"/>
    <s v="Spring"/>
    <s v="Clear"/>
    <x v="2"/>
    <x v="0"/>
    <s v="Medium"/>
  </r>
  <r>
    <n v="546"/>
    <d v="2011-01-24T00:00:00"/>
    <n v="1"/>
    <n v="0"/>
    <n v="1"/>
    <n v="21"/>
    <b v="0"/>
    <n v="1"/>
    <n v="1"/>
    <n v="0.14000000000000001"/>
    <n v="0.1515"/>
    <n v="0.63"/>
    <n v="0.16420000000000001"/>
    <n v="6"/>
    <n v="53"/>
    <n v="59"/>
    <b v="1"/>
    <s v="January"/>
    <s v="Monday"/>
    <s v="Weekday"/>
    <s v="Spring"/>
    <s v="Clear"/>
    <x v="0"/>
    <x v="0"/>
    <s v="Medium"/>
  </r>
  <r>
    <n v="547"/>
    <d v="2011-01-24T00:00:00"/>
    <n v="1"/>
    <n v="0"/>
    <n v="1"/>
    <n v="22"/>
    <b v="0"/>
    <n v="1"/>
    <n v="2"/>
    <n v="0.14000000000000001"/>
    <n v="0.13639999999999999"/>
    <n v="0.63"/>
    <n v="0.22389999999999999"/>
    <n v="3"/>
    <n v="32"/>
    <n v="35"/>
    <b v="1"/>
    <s v="January"/>
    <s v="Monday"/>
    <s v="Weekday"/>
    <s v="Spring"/>
    <s v="Mist"/>
    <x v="0"/>
    <x v="0"/>
    <s v="Medium"/>
  </r>
  <r>
    <n v="548"/>
    <d v="2011-01-24T00:00:00"/>
    <n v="1"/>
    <n v="0"/>
    <n v="1"/>
    <n v="23"/>
    <b v="0"/>
    <n v="1"/>
    <n v="2"/>
    <n v="0.16"/>
    <n v="0.1515"/>
    <n v="0.64"/>
    <n v="0.25369999999999998"/>
    <n v="3"/>
    <n v="21"/>
    <n v="24"/>
    <b v="1"/>
    <s v="January"/>
    <s v="Monday"/>
    <s v="Weekday"/>
    <s v="Spring"/>
    <s v="Mist"/>
    <x v="0"/>
    <x v="0"/>
    <s v="Medium"/>
  </r>
  <r>
    <n v="549"/>
    <d v="2011-01-25T00:00:00"/>
    <n v="1"/>
    <n v="0"/>
    <n v="1"/>
    <n v="0"/>
    <b v="0"/>
    <n v="2"/>
    <n v="2"/>
    <n v="0.16"/>
    <n v="0.13639999999999999"/>
    <n v="0.69"/>
    <n v="0.28360000000000002"/>
    <n v="3"/>
    <n v="6"/>
    <n v="9"/>
    <b v="1"/>
    <s v="January"/>
    <s v="Tuesday"/>
    <s v="Weekday"/>
    <s v="Spring"/>
    <s v="Mist"/>
    <x v="0"/>
    <x v="0"/>
    <s v="Medium"/>
  </r>
  <r>
    <n v="550"/>
    <d v="2011-01-25T00:00:00"/>
    <n v="1"/>
    <n v="0"/>
    <n v="1"/>
    <n v="1"/>
    <b v="0"/>
    <n v="2"/>
    <n v="2"/>
    <n v="0.16"/>
    <n v="0.16669999999999999"/>
    <n v="0.69"/>
    <n v="0.16420000000000001"/>
    <n v="0"/>
    <n v="5"/>
    <n v="5"/>
    <b v="1"/>
    <s v="January"/>
    <s v="Tuesday"/>
    <s v="Weekday"/>
    <s v="Spring"/>
    <s v="Mist"/>
    <x v="0"/>
    <x v="0"/>
    <s v="Medium"/>
  </r>
  <r>
    <n v="551"/>
    <d v="2011-01-25T00:00:00"/>
    <n v="1"/>
    <n v="0"/>
    <n v="1"/>
    <n v="2"/>
    <b v="0"/>
    <n v="2"/>
    <n v="1"/>
    <n v="0.16"/>
    <n v="0.1515"/>
    <n v="0.69"/>
    <n v="0.22389999999999999"/>
    <n v="0"/>
    <n v="2"/>
    <n v="2"/>
    <b v="1"/>
    <s v="January"/>
    <s v="Tuesday"/>
    <s v="Weekday"/>
    <s v="Spring"/>
    <s v="Clear"/>
    <x v="0"/>
    <x v="0"/>
    <s v="Medium"/>
  </r>
  <r>
    <n v="552"/>
    <d v="2011-01-25T00:00:00"/>
    <n v="1"/>
    <n v="0"/>
    <n v="1"/>
    <n v="4"/>
    <b v="0"/>
    <n v="2"/>
    <n v="1"/>
    <n v="0.14000000000000001"/>
    <n v="0.16669999999999999"/>
    <n v="0.74"/>
    <n v="0.1045"/>
    <n v="0"/>
    <n v="1"/>
    <n v="1"/>
    <b v="1"/>
    <s v="January"/>
    <s v="Tuesday"/>
    <s v="Weekday"/>
    <s v="Spring"/>
    <s v="Clear"/>
    <x v="0"/>
    <x v="0"/>
    <s v="High"/>
  </r>
  <r>
    <n v="553"/>
    <d v="2011-01-25T00:00:00"/>
    <n v="1"/>
    <n v="0"/>
    <n v="1"/>
    <n v="5"/>
    <b v="0"/>
    <n v="2"/>
    <n v="1"/>
    <n v="0.14000000000000001"/>
    <n v="0.13639999999999999"/>
    <n v="0.74"/>
    <n v="0.22389999999999999"/>
    <n v="0"/>
    <n v="9"/>
    <n v="9"/>
    <b v="1"/>
    <s v="January"/>
    <s v="Tuesday"/>
    <s v="Weekday"/>
    <s v="Spring"/>
    <s v="Clear"/>
    <x v="0"/>
    <x v="0"/>
    <s v="High"/>
  </r>
  <r>
    <n v="554"/>
    <d v="2011-01-25T00:00:00"/>
    <n v="1"/>
    <n v="0"/>
    <n v="1"/>
    <n v="6"/>
    <b v="0"/>
    <n v="2"/>
    <n v="1"/>
    <n v="0.16"/>
    <n v="0.18179999999999999"/>
    <n v="0.74"/>
    <n v="0.1045"/>
    <n v="1"/>
    <n v="35"/>
    <n v="36"/>
    <b v="1"/>
    <s v="January"/>
    <s v="Tuesday"/>
    <s v="Weekday"/>
    <s v="Spring"/>
    <s v="Clear"/>
    <x v="0"/>
    <x v="0"/>
    <s v="High"/>
  </r>
  <r>
    <n v="555"/>
    <d v="2011-01-25T00:00:00"/>
    <n v="1"/>
    <n v="0"/>
    <n v="1"/>
    <n v="7"/>
    <b v="0"/>
    <n v="2"/>
    <n v="1"/>
    <n v="0.16"/>
    <n v="0.1515"/>
    <n v="0.74"/>
    <n v="0.22389999999999999"/>
    <n v="5"/>
    <n v="103"/>
    <n v="108"/>
    <b v="1"/>
    <s v="January"/>
    <s v="Tuesday"/>
    <s v="Weekday"/>
    <s v="Spring"/>
    <s v="Clear"/>
    <x v="1"/>
    <x v="0"/>
    <s v="High"/>
  </r>
  <r>
    <n v="556"/>
    <d v="2011-01-25T00:00:00"/>
    <n v="1"/>
    <n v="0"/>
    <n v="1"/>
    <n v="8"/>
    <b v="0"/>
    <n v="2"/>
    <n v="2"/>
    <n v="0.16"/>
    <n v="0.18179999999999999"/>
    <n v="0.74"/>
    <n v="0.1343"/>
    <n v="5"/>
    <n v="233"/>
    <n v="238"/>
    <b v="1"/>
    <s v="January"/>
    <s v="Tuesday"/>
    <s v="Weekday"/>
    <s v="Spring"/>
    <s v="Mist"/>
    <x v="1"/>
    <x v="0"/>
    <s v="High"/>
  </r>
  <r>
    <n v="557"/>
    <d v="2011-01-25T00:00:00"/>
    <n v="1"/>
    <n v="0"/>
    <n v="1"/>
    <n v="9"/>
    <b v="0"/>
    <n v="2"/>
    <n v="2"/>
    <n v="0.2"/>
    <n v="0.2273"/>
    <n v="0.64"/>
    <n v="8.9599999999999999E-2"/>
    <n v="10"/>
    <n v="134"/>
    <n v="144"/>
    <b v="1"/>
    <s v="January"/>
    <s v="Tuesday"/>
    <s v="Weekday"/>
    <s v="Spring"/>
    <s v="Mist"/>
    <x v="1"/>
    <x v="0"/>
    <s v="Medium"/>
  </r>
  <r>
    <n v="558"/>
    <d v="2011-01-25T00:00:00"/>
    <n v="1"/>
    <n v="0"/>
    <n v="1"/>
    <n v="10"/>
    <b v="0"/>
    <n v="2"/>
    <n v="2"/>
    <n v="0.22"/>
    <n v="0.2424"/>
    <n v="0.6"/>
    <n v="0.1045"/>
    <n v="6"/>
    <n v="49"/>
    <n v="55"/>
    <b v="1"/>
    <s v="January"/>
    <s v="Tuesday"/>
    <s v="Weekday"/>
    <s v="Spring"/>
    <s v="Mist"/>
    <x v="0"/>
    <x v="0"/>
    <s v="Medium"/>
  </r>
  <r>
    <n v="559"/>
    <d v="2011-01-25T00:00:00"/>
    <n v="1"/>
    <n v="0"/>
    <n v="1"/>
    <n v="11"/>
    <b v="0"/>
    <n v="2"/>
    <n v="2"/>
    <n v="0.24"/>
    <n v="0.2424"/>
    <n v="0.6"/>
    <n v="0.1343"/>
    <n v="6"/>
    <n v="55"/>
    <n v="61"/>
    <b v="1"/>
    <s v="January"/>
    <s v="Tuesday"/>
    <s v="Weekday"/>
    <s v="Spring"/>
    <s v="Mist"/>
    <x v="0"/>
    <x v="0"/>
    <s v="Medium"/>
  </r>
  <r>
    <n v="560"/>
    <d v="2011-01-25T00:00:00"/>
    <n v="1"/>
    <n v="0"/>
    <n v="1"/>
    <n v="12"/>
    <b v="0"/>
    <n v="2"/>
    <n v="2"/>
    <n v="0.26"/>
    <n v="0.28789999999999999"/>
    <n v="0.56000000000000005"/>
    <n v="8.9599999999999999E-2"/>
    <n v="21"/>
    <n v="85"/>
    <n v="106"/>
    <b v="1"/>
    <s v="January"/>
    <s v="Tuesday"/>
    <s v="Weekday"/>
    <s v="Spring"/>
    <s v="Mist"/>
    <x v="0"/>
    <x v="0"/>
    <s v="Medium"/>
  </r>
  <r>
    <n v="561"/>
    <d v="2011-01-25T00:00:00"/>
    <n v="1"/>
    <n v="0"/>
    <n v="1"/>
    <n v="13"/>
    <b v="0"/>
    <n v="2"/>
    <n v="2"/>
    <n v="0.26"/>
    <n v="0.2727"/>
    <n v="0.56000000000000005"/>
    <n v="0.1343"/>
    <n v="21"/>
    <n v="72"/>
    <n v="93"/>
    <b v="1"/>
    <s v="January"/>
    <s v="Tuesday"/>
    <s v="Weekday"/>
    <s v="Spring"/>
    <s v="Mist"/>
    <x v="0"/>
    <x v="0"/>
    <s v="Medium"/>
  </r>
  <r>
    <n v="562"/>
    <d v="2011-01-25T00:00:00"/>
    <n v="1"/>
    <n v="0"/>
    <n v="1"/>
    <n v="14"/>
    <b v="0"/>
    <n v="2"/>
    <n v="2"/>
    <n v="0.3"/>
    <n v="0.33329999999999999"/>
    <n v="0.45"/>
    <n v="0"/>
    <n v="11"/>
    <n v="57"/>
    <n v="68"/>
    <b v="1"/>
    <s v="January"/>
    <s v="Tuesday"/>
    <s v="Weekday"/>
    <s v="Spring"/>
    <s v="Mist"/>
    <x v="0"/>
    <x v="1"/>
    <s v="Medium"/>
  </r>
  <r>
    <n v="563"/>
    <d v="2011-01-25T00:00:00"/>
    <n v="1"/>
    <n v="0"/>
    <n v="1"/>
    <n v="15"/>
    <b v="0"/>
    <n v="2"/>
    <n v="2"/>
    <n v="0.32"/>
    <n v="0.34849999999999998"/>
    <n v="0.42"/>
    <n v="0"/>
    <n v="21"/>
    <n v="63"/>
    <n v="84"/>
    <b v="1"/>
    <s v="January"/>
    <s v="Tuesday"/>
    <s v="Weekday"/>
    <s v="Spring"/>
    <s v="Mist"/>
    <x v="0"/>
    <x v="1"/>
    <s v="Medium"/>
  </r>
  <r>
    <n v="564"/>
    <d v="2011-01-25T00:00:00"/>
    <n v="1"/>
    <n v="0"/>
    <n v="1"/>
    <n v="16"/>
    <b v="0"/>
    <n v="2"/>
    <n v="2"/>
    <n v="0.32"/>
    <n v="0.34849999999999998"/>
    <n v="0.42"/>
    <n v="0"/>
    <n v="14"/>
    <n v="102"/>
    <n v="116"/>
    <b v="1"/>
    <s v="January"/>
    <s v="Tuesday"/>
    <s v="Weekday"/>
    <s v="Spring"/>
    <s v="Mist"/>
    <x v="0"/>
    <x v="1"/>
    <s v="Medium"/>
  </r>
  <r>
    <n v="565"/>
    <d v="2011-01-25T00:00:00"/>
    <n v="1"/>
    <n v="0"/>
    <n v="1"/>
    <n v="17"/>
    <b v="0"/>
    <n v="2"/>
    <n v="1"/>
    <n v="0.3"/>
    <n v="0.33329999999999999"/>
    <n v="0.45"/>
    <n v="0"/>
    <n v="14"/>
    <n v="208"/>
    <n v="222"/>
    <b v="1"/>
    <s v="January"/>
    <s v="Tuesday"/>
    <s v="Weekday"/>
    <s v="Spring"/>
    <s v="Clear"/>
    <x v="2"/>
    <x v="1"/>
    <s v="Medium"/>
  </r>
  <r>
    <n v="566"/>
    <d v="2011-01-25T00:00:00"/>
    <n v="1"/>
    <n v="0"/>
    <n v="1"/>
    <n v="18"/>
    <b v="0"/>
    <n v="2"/>
    <n v="2"/>
    <n v="0.3"/>
    <n v="0.31819999999999998"/>
    <n v="0.49"/>
    <n v="8.9599999999999999E-2"/>
    <n v="7"/>
    <n v="218"/>
    <n v="225"/>
    <b v="1"/>
    <s v="January"/>
    <s v="Tuesday"/>
    <s v="Weekday"/>
    <s v="Spring"/>
    <s v="Mist"/>
    <x v="2"/>
    <x v="1"/>
    <s v="Medium"/>
  </r>
  <r>
    <n v="567"/>
    <d v="2011-01-25T00:00:00"/>
    <n v="1"/>
    <n v="0"/>
    <n v="1"/>
    <n v="19"/>
    <b v="0"/>
    <n v="2"/>
    <n v="2"/>
    <n v="0.26"/>
    <n v="0.2576"/>
    <n v="0.65"/>
    <n v="0.16420000000000001"/>
    <n v="13"/>
    <n v="133"/>
    <n v="146"/>
    <b v="1"/>
    <s v="January"/>
    <s v="Tuesday"/>
    <s v="Weekday"/>
    <s v="Spring"/>
    <s v="Mist"/>
    <x v="2"/>
    <x v="0"/>
    <s v="Medium"/>
  </r>
  <r>
    <n v="568"/>
    <d v="2011-01-25T00:00:00"/>
    <n v="1"/>
    <n v="0"/>
    <n v="1"/>
    <n v="20"/>
    <b v="0"/>
    <n v="2"/>
    <n v="1"/>
    <n v="0.24"/>
    <n v="0.2273"/>
    <n v="0.65"/>
    <n v="0.19400000000000001"/>
    <n v="16"/>
    <n v="103"/>
    <n v="119"/>
    <b v="1"/>
    <s v="January"/>
    <s v="Tuesday"/>
    <s v="Weekday"/>
    <s v="Spring"/>
    <s v="Clear"/>
    <x v="2"/>
    <x v="0"/>
    <s v="Medium"/>
  </r>
  <r>
    <n v="569"/>
    <d v="2011-01-25T00:00:00"/>
    <n v="1"/>
    <n v="0"/>
    <n v="1"/>
    <n v="21"/>
    <b v="0"/>
    <n v="2"/>
    <n v="1"/>
    <n v="0.24"/>
    <n v="0.2273"/>
    <n v="0.65"/>
    <n v="0.19400000000000001"/>
    <n v="5"/>
    <n v="40"/>
    <n v="45"/>
    <b v="1"/>
    <s v="January"/>
    <s v="Tuesday"/>
    <s v="Weekday"/>
    <s v="Spring"/>
    <s v="Clear"/>
    <x v="0"/>
    <x v="0"/>
    <s v="Medium"/>
  </r>
  <r>
    <n v="570"/>
    <d v="2011-01-25T00:00:00"/>
    <n v="1"/>
    <n v="0"/>
    <n v="1"/>
    <n v="22"/>
    <b v="0"/>
    <n v="2"/>
    <n v="1"/>
    <n v="0.22"/>
    <n v="0.2273"/>
    <n v="0.64"/>
    <n v="0.16420000000000001"/>
    <n v="4"/>
    <n v="49"/>
    <n v="53"/>
    <b v="1"/>
    <s v="January"/>
    <s v="Tuesday"/>
    <s v="Weekday"/>
    <s v="Spring"/>
    <s v="Clear"/>
    <x v="0"/>
    <x v="0"/>
    <s v="Medium"/>
  </r>
  <r>
    <n v="571"/>
    <d v="2011-01-25T00:00:00"/>
    <n v="1"/>
    <n v="0"/>
    <n v="1"/>
    <n v="23"/>
    <b v="0"/>
    <n v="2"/>
    <n v="2"/>
    <n v="0.22"/>
    <n v="0.2273"/>
    <n v="0.64"/>
    <n v="0.16420000000000001"/>
    <n v="3"/>
    <n v="37"/>
    <n v="40"/>
    <b v="1"/>
    <s v="January"/>
    <s v="Tuesday"/>
    <s v="Weekday"/>
    <s v="Spring"/>
    <s v="Mist"/>
    <x v="0"/>
    <x v="0"/>
    <s v="Medium"/>
  </r>
  <r>
    <n v="572"/>
    <d v="2011-01-26T00:00:00"/>
    <n v="1"/>
    <n v="0"/>
    <n v="1"/>
    <n v="0"/>
    <b v="0"/>
    <n v="3"/>
    <n v="2"/>
    <n v="0.22"/>
    <n v="0.2273"/>
    <n v="0.69"/>
    <n v="0.1343"/>
    <n v="3"/>
    <n v="14"/>
    <n v="17"/>
    <b v="1"/>
    <s v="January"/>
    <s v="Wednesday"/>
    <s v="Weekday"/>
    <s v="Spring"/>
    <s v="Mist"/>
    <x v="0"/>
    <x v="0"/>
    <s v="Medium"/>
  </r>
  <r>
    <n v="573"/>
    <d v="2011-01-26T00:00:00"/>
    <n v="1"/>
    <n v="0"/>
    <n v="1"/>
    <n v="1"/>
    <b v="0"/>
    <n v="3"/>
    <n v="2"/>
    <n v="0.24"/>
    <n v="0.2424"/>
    <n v="0.65"/>
    <n v="0.1343"/>
    <n v="0"/>
    <n v="5"/>
    <n v="5"/>
    <b v="1"/>
    <s v="January"/>
    <s v="Wednesday"/>
    <s v="Weekday"/>
    <s v="Spring"/>
    <s v="Mist"/>
    <x v="0"/>
    <x v="0"/>
    <s v="Medium"/>
  </r>
  <r>
    <n v="574"/>
    <d v="2011-01-26T00:00:00"/>
    <n v="1"/>
    <n v="0"/>
    <n v="1"/>
    <n v="2"/>
    <b v="0"/>
    <n v="3"/>
    <n v="3"/>
    <n v="0.22"/>
    <n v="0.2273"/>
    <n v="0.69"/>
    <n v="0.19400000000000001"/>
    <n v="3"/>
    <n v="7"/>
    <n v="10"/>
    <b v="1"/>
    <s v="January"/>
    <s v="Wednesday"/>
    <s v="Weekday"/>
    <s v="Spring"/>
    <s v="Light Rain"/>
    <x v="0"/>
    <x v="0"/>
    <s v="Medium"/>
  </r>
  <r>
    <n v="575"/>
    <d v="2011-01-26T00:00:00"/>
    <n v="1"/>
    <n v="0"/>
    <n v="1"/>
    <n v="5"/>
    <b v="0"/>
    <n v="3"/>
    <n v="3"/>
    <n v="0.2"/>
    <n v="0.18179999999999999"/>
    <n v="0.86"/>
    <n v="0.28360000000000002"/>
    <n v="0"/>
    <n v="1"/>
    <n v="1"/>
    <b v="1"/>
    <s v="January"/>
    <s v="Wednesday"/>
    <s v="Weekday"/>
    <s v="Spring"/>
    <s v="Light Rain"/>
    <x v="0"/>
    <x v="0"/>
    <s v="High"/>
  </r>
  <r>
    <n v="576"/>
    <d v="2011-01-26T00:00:00"/>
    <n v="1"/>
    <n v="0"/>
    <n v="1"/>
    <n v="6"/>
    <b v="0"/>
    <n v="3"/>
    <n v="3"/>
    <n v="0.2"/>
    <n v="0.18179999999999999"/>
    <n v="0.86"/>
    <n v="0.28360000000000002"/>
    <n v="0"/>
    <n v="8"/>
    <n v="8"/>
    <b v="1"/>
    <s v="January"/>
    <s v="Wednesday"/>
    <s v="Weekday"/>
    <s v="Spring"/>
    <s v="Light Rain"/>
    <x v="0"/>
    <x v="0"/>
    <s v="High"/>
  </r>
  <r>
    <n v="577"/>
    <d v="2011-01-26T00:00:00"/>
    <n v="1"/>
    <n v="0"/>
    <n v="1"/>
    <n v="7"/>
    <b v="0"/>
    <n v="3"/>
    <n v="3"/>
    <n v="0.22"/>
    <n v="0.21210000000000001"/>
    <n v="0.87"/>
    <n v="0.29849999999999999"/>
    <n v="1"/>
    <n v="29"/>
    <n v="30"/>
    <b v="1"/>
    <s v="January"/>
    <s v="Wednesday"/>
    <s v="Weekday"/>
    <s v="Spring"/>
    <s v="Light Rain"/>
    <x v="1"/>
    <x v="0"/>
    <s v="High"/>
  </r>
  <r>
    <n v="578"/>
    <d v="2011-01-26T00:00:00"/>
    <n v="1"/>
    <n v="0"/>
    <n v="1"/>
    <n v="8"/>
    <b v="0"/>
    <n v="3"/>
    <n v="3"/>
    <n v="0.22"/>
    <n v="0.21210000000000001"/>
    <n v="0.87"/>
    <n v="0.29849999999999999"/>
    <n v="3"/>
    <n v="69"/>
    <n v="72"/>
    <b v="1"/>
    <s v="January"/>
    <s v="Wednesday"/>
    <s v="Weekday"/>
    <s v="Spring"/>
    <s v="Light Rain"/>
    <x v="1"/>
    <x v="0"/>
    <s v="High"/>
  </r>
  <r>
    <n v="579"/>
    <d v="2011-01-26T00:00:00"/>
    <n v="1"/>
    <n v="0"/>
    <n v="1"/>
    <n v="9"/>
    <b v="0"/>
    <n v="3"/>
    <n v="3"/>
    <n v="0.22"/>
    <n v="0.21210000000000001"/>
    <n v="0.87"/>
    <n v="0.29849999999999999"/>
    <n v="3"/>
    <n v="55"/>
    <n v="58"/>
    <b v="1"/>
    <s v="January"/>
    <s v="Wednesday"/>
    <s v="Weekday"/>
    <s v="Spring"/>
    <s v="Light Rain"/>
    <x v="1"/>
    <x v="0"/>
    <s v="High"/>
  </r>
  <r>
    <n v="580"/>
    <d v="2011-01-26T00:00:00"/>
    <n v="1"/>
    <n v="0"/>
    <n v="1"/>
    <n v="10"/>
    <b v="0"/>
    <n v="3"/>
    <n v="3"/>
    <n v="0.22"/>
    <n v="0.21210000000000001"/>
    <n v="0.93"/>
    <n v="0.28360000000000002"/>
    <n v="2"/>
    <n v="26"/>
    <n v="28"/>
    <b v="1"/>
    <s v="January"/>
    <s v="Wednesday"/>
    <s v="Weekday"/>
    <s v="Spring"/>
    <s v="Light Rain"/>
    <x v="0"/>
    <x v="0"/>
    <s v="High"/>
  </r>
  <r>
    <n v="581"/>
    <d v="2011-01-26T00:00:00"/>
    <n v="1"/>
    <n v="0"/>
    <n v="1"/>
    <n v="11"/>
    <b v="0"/>
    <n v="3"/>
    <n v="3"/>
    <n v="0.22"/>
    <n v="0.19700000000000001"/>
    <n v="0.93"/>
    <n v="0.32840000000000003"/>
    <n v="6"/>
    <n v="35"/>
    <n v="41"/>
    <b v="1"/>
    <s v="January"/>
    <s v="Wednesday"/>
    <s v="Weekday"/>
    <s v="Spring"/>
    <s v="Light Rain"/>
    <x v="0"/>
    <x v="0"/>
    <s v="High"/>
  </r>
  <r>
    <n v="582"/>
    <d v="2011-01-26T00:00:00"/>
    <n v="1"/>
    <n v="0"/>
    <n v="1"/>
    <n v="12"/>
    <b v="0"/>
    <n v="3"/>
    <n v="3"/>
    <n v="0.22"/>
    <n v="0.19700000000000001"/>
    <n v="0.93"/>
    <n v="0.32840000000000003"/>
    <n v="7"/>
    <n v="41"/>
    <n v="48"/>
    <b v="1"/>
    <s v="January"/>
    <s v="Wednesday"/>
    <s v="Weekday"/>
    <s v="Spring"/>
    <s v="Light Rain"/>
    <x v="0"/>
    <x v="0"/>
    <s v="High"/>
  </r>
  <r>
    <n v="583"/>
    <d v="2011-01-26T00:00:00"/>
    <n v="1"/>
    <n v="0"/>
    <n v="1"/>
    <n v="13"/>
    <b v="0"/>
    <n v="3"/>
    <n v="3"/>
    <n v="0.22"/>
    <n v="0.19700000000000001"/>
    <n v="0.93"/>
    <n v="0.32840000000000003"/>
    <n v="4"/>
    <n v="43"/>
    <n v="47"/>
    <b v="1"/>
    <s v="January"/>
    <s v="Wednesday"/>
    <s v="Weekday"/>
    <s v="Spring"/>
    <s v="Light Rain"/>
    <x v="0"/>
    <x v="0"/>
    <s v="High"/>
  </r>
  <r>
    <n v="584"/>
    <d v="2011-01-26T00:00:00"/>
    <n v="1"/>
    <n v="0"/>
    <n v="1"/>
    <n v="14"/>
    <b v="0"/>
    <n v="3"/>
    <n v="3"/>
    <n v="0.22"/>
    <n v="0.19700000000000001"/>
    <n v="0.93"/>
    <n v="0.35820000000000002"/>
    <n v="0"/>
    <n v="36"/>
    <n v="36"/>
    <b v="1"/>
    <s v="January"/>
    <s v="Wednesday"/>
    <s v="Weekday"/>
    <s v="Spring"/>
    <s v="Light Rain"/>
    <x v="0"/>
    <x v="0"/>
    <s v="High"/>
  </r>
  <r>
    <n v="585"/>
    <d v="2011-01-26T00:00:00"/>
    <n v="1"/>
    <n v="0"/>
    <n v="1"/>
    <n v="15"/>
    <b v="0"/>
    <n v="3"/>
    <n v="3"/>
    <n v="0.22"/>
    <n v="0.18179999999999999"/>
    <n v="0.93"/>
    <n v="0.4627"/>
    <n v="1"/>
    <n v="42"/>
    <n v="43"/>
    <b v="1"/>
    <s v="January"/>
    <s v="Wednesday"/>
    <s v="Weekday"/>
    <s v="Spring"/>
    <s v="Light Rain"/>
    <x v="0"/>
    <x v="0"/>
    <s v="High"/>
  </r>
  <r>
    <n v="586"/>
    <d v="2011-01-26T00:00:00"/>
    <n v="1"/>
    <n v="0"/>
    <n v="1"/>
    <n v="16"/>
    <b v="0"/>
    <n v="3"/>
    <n v="4"/>
    <n v="0.22"/>
    <n v="0.19700000000000001"/>
    <n v="0.93"/>
    <n v="0.32840000000000003"/>
    <n v="1"/>
    <n v="35"/>
    <n v="36"/>
    <b v="1"/>
    <s v="January"/>
    <s v="Wednesday"/>
    <s v="Weekday"/>
    <s v="Spring"/>
    <s v="Heavy Rain"/>
    <x v="0"/>
    <x v="0"/>
    <s v="High"/>
  </r>
  <r>
    <n v="587"/>
    <d v="2011-01-26T00:00:00"/>
    <n v="1"/>
    <n v="0"/>
    <n v="1"/>
    <n v="17"/>
    <b v="0"/>
    <n v="3"/>
    <n v="3"/>
    <n v="0.2"/>
    <n v="0.18179999999999999"/>
    <n v="0.93"/>
    <n v="0.35820000000000002"/>
    <n v="0"/>
    <n v="26"/>
    <n v="26"/>
    <b v="1"/>
    <s v="January"/>
    <s v="Wednesday"/>
    <s v="Weekday"/>
    <s v="Spring"/>
    <s v="Light Rain"/>
    <x v="2"/>
    <x v="0"/>
    <s v="High"/>
  </r>
  <r>
    <n v="588"/>
    <d v="2011-01-27T00:00:00"/>
    <n v="1"/>
    <n v="0"/>
    <n v="1"/>
    <n v="16"/>
    <b v="0"/>
    <n v="4"/>
    <n v="1"/>
    <n v="0.22"/>
    <n v="0.2273"/>
    <n v="0.55000000000000004"/>
    <n v="0.19400000000000001"/>
    <n v="1"/>
    <n v="23"/>
    <n v="24"/>
    <b v="1"/>
    <s v="January"/>
    <s v="Thursday"/>
    <s v="Weekday"/>
    <s v="Spring"/>
    <s v="Clear"/>
    <x v="0"/>
    <x v="0"/>
    <s v="Medium"/>
  </r>
  <r>
    <n v="589"/>
    <d v="2011-01-27T00:00:00"/>
    <n v="1"/>
    <n v="0"/>
    <n v="1"/>
    <n v="17"/>
    <b v="0"/>
    <n v="4"/>
    <n v="1"/>
    <n v="0.22"/>
    <n v="0.2424"/>
    <n v="0.55000000000000004"/>
    <n v="0.1045"/>
    <n v="2"/>
    <n v="82"/>
    <n v="84"/>
    <b v="1"/>
    <s v="January"/>
    <s v="Thursday"/>
    <s v="Weekday"/>
    <s v="Spring"/>
    <s v="Clear"/>
    <x v="2"/>
    <x v="0"/>
    <s v="Medium"/>
  </r>
  <r>
    <n v="590"/>
    <d v="2011-01-27T00:00:00"/>
    <n v="1"/>
    <n v="0"/>
    <n v="1"/>
    <n v="18"/>
    <b v="0"/>
    <n v="4"/>
    <n v="1"/>
    <n v="0.2"/>
    <n v="0.2273"/>
    <n v="0.69"/>
    <n v="8.9599999999999999E-2"/>
    <n v="3"/>
    <n v="101"/>
    <n v="104"/>
    <b v="1"/>
    <s v="January"/>
    <s v="Thursday"/>
    <s v="Weekday"/>
    <s v="Spring"/>
    <s v="Clear"/>
    <x v="2"/>
    <x v="0"/>
    <s v="Medium"/>
  </r>
  <r>
    <n v="591"/>
    <d v="2011-01-27T00:00:00"/>
    <n v="1"/>
    <n v="0"/>
    <n v="1"/>
    <n v="19"/>
    <b v="0"/>
    <n v="4"/>
    <n v="1"/>
    <n v="0.2"/>
    <n v="0.2273"/>
    <n v="0.69"/>
    <n v="8.9599999999999999E-2"/>
    <n v="3"/>
    <n v="76"/>
    <n v="79"/>
    <b v="1"/>
    <s v="January"/>
    <s v="Thursday"/>
    <s v="Weekday"/>
    <s v="Spring"/>
    <s v="Clear"/>
    <x v="2"/>
    <x v="0"/>
    <s v="Medium"/>
  </r>
  <r>
    <n v="592"/>
    <d v="2011-01-27T00:00:00"/>
    <n v="1"/>
    <n v="0"/>
    <n v="1"/>
    <n v="20"/>
    <b v="0"/>
    <n v="4"/>
    <n v="1"/>
    <n v="0.18"/>
    <n v="0.21210000000000001"/>
    <n v="0.74"/>
    <n v="8.9599999999999999E-2"/>
    <n v="4"/>
    <n v="55"/>
    <n v="59"/>
    <b v="1"/>
    <s v="January"/>
    <s v="Thursday"/>
    <s v="Weekday"/>
    <s v="Spring"/>
    <s v="Clear"/>
    <x v="2"/>
    <x v="0"/>
    <s v="High"/>
  </r>
  <r>
    <n v="593"/>
    <d v="2011-01-27T00:00:00"/>
    <n v="1"/>
    <n v="0"/>
    <n v="1"/>
    <n v="21"/>
    <b v="0"/>
    <n v="4"/>
    <n v="1"/>
    <n v="0.18"/>
    <n v="0.21210000000000001"/>
    <n v="0.74"/>
    <n v="8.9599999999999999E-2"/>
    <n v="2"/>
    <n v="36"/>
    <n v="38"/>
    <b v="1"/>
    <s v="January"/>
    <s v="Thursday"/>
    <s v="Weekday"/>
    <s v="Spring"/>
    <s v="Clear"/>
    <x v="0"/>
    <x v="0"/>
    <s v="High"/>
  </r>
  <r>
    <n v="594"/>
    <d v="2011-01-27T00:00:00"/>
    <n v="1"/>
    <n v="0"/>
    <n v="1"/>
    <n v="22"/>
    <b v="0"/>
    <n v="4"/>
    <n v="1"/>
    <n v="0.18"/>
    <n v="0.21210000000000001"/>
    <n v="0.74"/>
    <n v="8.9599999999999999E-2"/>
    <n v="0"/>
    <n v="27"/>
    <n v="27"/>
    <b v="1"/>
    <s v="January"/>
    <s v="Thursday"/>
    <s v="Weekday"/>
    <s v="Spring"/>
    <s v="Clear"/>
    <x v="0"/>
    <x v="0"/>
    <s v="High"/>
  </r>
  <r>
    <n v="595"/>
    <d v="2011-01-27T00:00:00"/>
    <n v="1"/>
    <n v="0"/>
    <n v="1"/>
    <n v="23"/>
    <b v="0"/>
    <n v="4"/>
    <n v="1"/>
    <n v="0.18"/>
    <n v="0.19700000000000001"/>
    <n v="0.8"/>
    <n v="0.16420000000000001"/>
    <n v="0"/>
    <n v="16"/>
    <n v="16"/>
    <b v="1"/>
    <s v="January"/>
    <s v="Thursday"/>
    <s v="Weekday"/>
    <s v="Spring"/>
    <s v="Clear"/>
    <x v="0"/>
    <x v="0"/>
    <s v="High"/>
  </r>
  <r>
    <n v="596"/>
    <d v="2011-01-28T00:00:00"/>
    <n v="1"/>
    <n v="0"/>
    <n v="1"/>
    <n v="0"/>
    <b v="0"/>
    <n v="5"/>
    <n v="2"/>
    <n v="0.2"/>
    <n v="0.21210000000000001"/>
    <n v="0.75"/>
    <n v="0.1343"/>
    <n v="0"/>
    <n v="9"/>
    <n v="9"/>
    <b v="1"/>
    <s v="January"/>
    <s v="Friday"/>
    <s v="Weekday"/>
    <s v="Spring"/>
    <s v="Mist"/>
    <x v="0"/>
    <x v="0"/>
    <s v="High"/>
  </r>
  <r>
    <n v="597"/>
    <d v="2011-01-28T00:00:00"/>
    <n v="1"/>
    <n v="0"/>
    <n v="1"/>
    <n v="1"/>
    <b v="0"/>
    <n v="5"/>
    <n v="2"/>
    <n v="0.2"/>
    <n v="0.21210000000000001"/>
    <n v="0.75"/>
    <n v="0.1343"/>
    <n v="1"/>
    <n v="2"/>
    <n v="3"/>
    <b v="1"/>
    <s v="January"/>
    <s v="Friday"/>
    <s v="Weekday"/>
    <s v="Spring"/>
    <s v="Mist"/>
    <x v="0"/>
    <x v="0"/>
    <s v="High"/>
  </r>
  <r>
    <n v="598"/>
    <d v="2011-01-28T00:00:00"/>
    <n v="1"/>
    <n v="0"/>
    <n v="1"/>
    <n v="2"/>
    <b v="0"/>
    <n v="5"/>
    <n v="2"/>
    <n v="0.2"/>
    <n v="0.21210000000000001"/>
    <n v="0.75"/>
    <n v="0.16420000000000001"/>
    <n v="0"/>
    <n v="2"/>
    <n v="2"/>
    <b v="1"/>
    <s v="January"/>
    <s v="Friday"/>
    <s v="Weekday"/>
    <s v="Spring"/>
    <s v="Mist"/>
    <x v="0"/>
    <x v="0"/>
    <s v="High"/>
  </r>
  <r>
    <n v="599"/>
    <d v="2011-01-28T00:00:00"/>
    <n v="1"/>
    <n v="0"/>
    <n v="1"/>
    <n v="3"/>
    <b v="0"/>
    <n v="5"/>
    <n v="2"/>
    <n v="0.2"/>
    <n v="0.2273"/>
    <n v="0.75"/>
    <n v="0.1045"/>
    <n v="1"/>
    <n v="0"/>
    <n v="1"/>
    <b v="1"/>
    <s v="January"/>
    <s v="Friday"/>
    <s v="Weekday"/>
    <s v="Spring"/>
    <s v="Mist"/>
    <x v="0"/>
    <x v="0"/>
    <s v="High"/>
  </r>
  <r>
    <n v="600"/>
    <d v="2011-01-28T00:00:00"/>
    <n v="1"/>
    <n v="0"/>
    <n v="1"/>
    <n v="5"/>
    <b v="0"/>
    <n v="5"/>
    <n v="2"/>
    <n v="0.18"/>
    <n v="0.21210000000000001"/>
    <n v="0.8"/>
    <n v="0.1045"/>
    <n v="0"/>
    <n v="4"/>
    <n v="4"/>
    <b v="1"/>
    <s v="January"/>
    <s v="Friday"/>
    <s v="Weekday"/>
    <s v="Spring"/>
    <s v="Mist"/>
    <x v="0"/>
    <x v="0"/>
    <s v="High"/>
  </r>
  <r>
    <n v="601"/>
    <d v="2011-01-28T00:00:00"/>
    <n v="1"/>
    <n v="0"/>
    <n v="1"/>
    <n v="6"/>
    <b v="0"/>
    <n v="5"/>
    <n v="2"/>
    <n v="0.18"/>
    <n v="0.19700000000000001"/>
    <n v="0.8"/>
    <n v="0.1343"/>
    <n v="0"/>
    <n v="16"/>
    <n v="16"/>
    <b v="1"/>
    <s v="January"/>
    <s v="Friday"/>
    <s v="Weekday"/>
    <s v="Spring"/>
    <s v="Mist"/>
    <x v="0"/>
    <x v="0"/>
    <s v="High"/>
  </r>
  <r>
    <n v="602"/>
    <d v="2011-01-28T00:00:00"/>
    <n v="1"/>
    <n v="0"/>
    <n v="1"/>
    <n v="7"/>
    <b v="0"/>
    <n v="5"/>
    <n v="2"/>
    <n v="0.16"/>
    <n v="0.19700000000000001"/>
    <n v="0.86"/>
    <n v="8.9599999999999999E-2"/>
    <n v="2"/>
    <n v="58"/>
    <n v="60"/>
    <b v="1"/>
    <s v="January"/>
    <s v="Friday"/>
    <s v="Weekday"/>
    <s v="Spring"/>
    <s v="Mist"/>
    <x v="1"/>
    <x v="0"/>
    <s v="High"/>
  </r>
  <r>
    <n v="603"/>
    <d v="2011-01-28T00:00:00"/>
    <n v="1"/>
    <n v="0"/>
    <n v="1"/>
    <n v="8"/>
    <b v="0"/>
    <n v="5"/>
    <n v="2"/>
    <n v="0.16"/>
    <n v="0.19700000000000001"/>
    <n v="0.86"/>
    <n v="8.9599999999999999E-2"/>
    <n v="2"/>
    <n v="155"/>
    <n v="157"/>
    <b v="1"/>
    <s v="January"/>
    <s v="Friday"/>
    <s v="Weekday"/>
    <s v="Spring"/>
    <s v="Mist"/>
    <x v="1"/>
    <x v="0"/>
    <s v="High"/>
  </r>
  <r>
    <n v="604"/>
    <d v="2011-01-28T00:00:00"/>
    <n v="1"/>
    <n v="0"/>
    <n v="1"/>
    <n v="9"/>
    <b v="0"/>
    <n v="5"/>
    <n v="3"/>
    <n v="0.18"/>
    <n v="0.21210000000000001"/>
    <n v="0.86"/>
    <n v="8.9599999999999999E-2"/>
    <n v="6"/>
    <n v="95"/>
    <n v="101"/>
    <b v="1"/>
    <s v="January"/>
    <s v="Friday"/>
    <s v="Weekday"/>
    <s v="Spring"/>
    <s v="Light Rain"/>
    <x v="1"/>
    <x v="0"/>
    <s v="High"/>
  </r>
  <r>
    <n v="605"/>
    <d v="2011-01-28T00:00:00"/>
    <n v="1"/>
    <n v="0"/>
    <n v="1"/>
    <n v="10"/>
    <b v="0"/>
    <n v="5"/>
    <n v="3"/>
    <n v="0.18"/>
    <n v="0.21210000000000001"/>
    <n v="0.86"/>
    <n v="0.1045"/>
    <n v="0"/>
    <n v="49"/>
    <n v="49"/>
    <b v="1"/>
    <s v="January"/>
    <s v="Friday"/>
    <s v="Weekday"/>
    <s v="Spring"/>
    <s v="Light Rain"/>
    <x v="0"/>
    <x v="0"/>
    <s v="High"/>
  </r>
  <r>
    <n v="606"/>
    <d v="2011-01-28T00:00:00"/>
    <n v="1"/>
    <n v="0"/>
    <n v="1"/>
    <n v="11"/>
    <b v="0"/>
    <n v="5"/>
    <n v="3"/>
    <n v="0.18"/>
    <n v="0.21210000000000001"/>
    <n v="0.93"/>
    <n v="0.1045"/>
    <n v="0"/>
    <n v="30"/>
    <n v="30"/>
    <b v="1"/>
    <s v="January"/>
    <s v="Friday"/>
    <s v="Weekday"/>
    <s v="Spring"/>
    <s v="Light Rain"/>
    <x v="0"/>
    <x v="0"/>
    <s v="High"/>
  </r>
  <r>
    <n v="607"/>
    <d v="2011-01-28T00:00:00"/>
    <n v="1"/>
    <n v="0"/>
    <n v="1"/>
    <n v="12"/>
    <b v="0"/>
    <n v="5"/>
    <n v="3"/>
    <n v="0.18"/>
    <n v="0.21210000000000001"/>
    <n v="0.93"/>
    <n v="0.1045"/>
    <n v="1"/>
    <n v="28"/>
    <n v="29"/>
    <b v="1"/>
    <s v="January"/>
    <s v="Friday"/>
    <s v="Weekday"/>
    <s v="Spring"/>
    <s v="Light Rain"/>
    <x v="0"/>
    <x v="0"/>
    <s v="High"/>
  </r>
  <r>
    <n v="608"/>
    <d v="2011-01-28T00:00:00"/>
    <n v="1"/>
    <n v="0"/>
    <n v="1"/>
    <n v="13"/>
    <b v="0"/>
    <n v="5"/>
    <n v="3"/>
    <n v="0.18"/>
    <n v="0.21210000000000001"/>
    <n v="0.93"/>
    <n v="0.1045"/>
    <n v="0"/>
    <n v="31"/>
    <n v="31"/>
    <b v="1"/>
    <s v="January"/>
    <s v="Friday"/>
    <s v="Weekday"/>
    <s v="Spring"/>
    <s v="Light Rain"/>
    <x v="0"/>
    <x v="0"/>
    <s v="High"/>
  </r>
  <r>
    <n v="609"/>
    <d v="2011-01-28T00:00:00"/>
    <n v="1"/>
    <n v="0"/>
    <n v="1"/>
    <n v="14"/>
    <b v="0"/>
    <n v="5"/>
    <n v="3"/>
    <n v="0.22"/>
    <n v="0.2727"/>
    <n v="0.8"/>
    <n v="0"/>
    <n v="2"/>
    <n v="36"/>
    <n v="38"/>
    <b v="1"/>
    <s v="January"/>
    <s v="Friday"/>
    <s v="Weekday"/>
    <s v="Spring"/>
    <s v="Light Rain"/>
    <x v="0"/>
    <x v="0"/>
    <s v="High"/>
  </r>
  <r>
    <n v="610"/>
    <d v="2011-01-28T00:00:00"/>
    <n v="1"/>
    <n v="0"/>
    <n v="1"/>
    <n v="15"/>
    <b v="0"/>
    <n v="5"/>
    <n v="2"/>
    <n v="0.2"/>
    <n v="0.2576"/>
    <n v="0.86"/>
    <n v="0"/>
    <n v="1"/>
    <n v="40"/>
    <n v="41"/>
    <b v="1"/>
    <s v="January"/>
    <s v="Friday"/>
    <s v="Weekday"/>
    <s v="Spring"/>
    <s v="Mist"/>
    <x v="0"/>
    <x v="0"/>
    <s v="High"/>
  </r>
  <r>
    <m/>
    <m/>
    <m/>
    <m/>
    <m/>
    <m/>
    <m/>
    <m/>
    <m/>
    <m/>
    <m/>
    <m/>
    <m/>
    <m/>
    <m/>
    <m/>
    <m/>
    <m/>
    <m/>
    <m/>
    <m/>
    <m/>
    <x v="3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3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Temp Category">
  <location ref="A84:B8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h="1" x="2"/>
        <item t="default"/>
      </items>
    </pivotField>
    <pivotField showAll="0"/>
  </pivotFields>
  <rowFields count="1">
    <field x="23"/>
  </rowFields>
  <rowItems count="3">
    <i>
      <x/>
    </i>
    <i>
      <x v="1"/>
    </i>
    <i t="grand">
      <x/>
    </i>
  </rowItems>
  <colItems count="1">
    <i/>
  </colItems>
  <dataFields count="1">
    <dataField name="Sum of cnt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3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Peak Hours">
  <location ref="A70:B74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2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nt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33" dataOnRows="1" applyNumberFormats="0" applyBorderFormats="0" applyFontFormats="0" applyPatternFormats="0" applyAlignmentFormats="0" applyWidthHeightFormats="1" dataCaption="User Type" updatedVersion="3" minRefreshableVersion="3" showCalcMbrs="0" useAutoFormatting="1" itemPrintTitles="1" createdVersion="3" indent="0" outline="1" outlineData="1" multipleFieldFilters="0" chartFormat="4">
  <location ref="A56:B58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Sum of casual" fld="13" baseField="0" baseItem="0"/>
    <dataField name="Sum of registered" fld="14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3" cacheId="2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Weather">
  <location ref="A42:B47" firstHeaderRow="1" firstDataRow="1" firstDataCol="1"/>
  <pivotFields count="25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1" showAll="0"/>
    <pivotField numFmtId="1" showAll="0"/>
    <pivotField dataField="1" numFmtId="1" showAll="0"/>
    <pivotField showAll="0"/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ntals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2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Hours">
  <location ref="A12:B37" firstHeaderRow="1" firstDataRow="1" firstDataCol="1"/>
  <pivotFields count="25">
    <pivotField showAll="0"/>
    <pivotField numFmtId="14" showAll="0"/>
    <pivotField showAll="0"/>
    <pivotField showAll="0"/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1" showAll="0"/>
    <pivotField numFmtId="1" showAll="0"/>
    <pivotField dataField="1"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Total Rentals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Month">
  <location ref="A1:B3" firstHeaderRow="1" firstDataRow="1" firstDataCol="1"/>
  <pivotFields count="25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1" showAll="0"/>
    <pivotField numFmtId="1" showAll="0"/>
    <pivotField dataField="1" numFmtId="1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2">
    <i>
      <x/>
    </i>
    <i t="grand">
      <x/>
    </i>
  </rowItems>
  <colItems count="1">
    <i/>
  </colItems>
  <dataFields count="1">
    <dataField name="Rentals By Month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11"/>
  <sheetViews>
    <sheetView workbookViewId="0">
      <selection activeCell="R9" sqref="R9"/>
    </sheetView>
  </sheetViews>
  <sheetFormatPr defaultRowHeight="15"/>
  <cols>
    <col min="2" max="2" width="14.7109375" style="4" bestFit="1" customWidth="1"/>
    <col min="13" max="13" width="10.7109375" customWidth="1"/>
  </cols>
  <sheetData>
    <row r="1" spans="1:16" s="30" customFormat="1" ht="26.25" thickBot="1">
      <c r="A1" s="27" t="s">
        <v>0</v>
      </c>
      <c r="B1" s="28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9" t="s">
        <v>10</v>
      </c>
      <c r="L1" s="29" t="s">
        <v>11</v>
      </c>
      <c r="M1" s="29" t="s">
        <v>12</v>
      </c>
      <c r="N1" s="29" t="s">
        <v>13</v>
      </c>
      <c r="O1" s="29" t="s">
        <v>14</v>
      </c>
      <c r="P1" s="29" t="s">
        <v>15</v>
      </c>
    </row>
    <row r="2" spans="1:16" ht="15.75" thickBot="1">
      <c r="A2" s="1">
        <v>1</v>
      </c>
      <c r="B2" s="2">
        <v>40544</v>
      </c>
      <c r="C2" s="1">
        <v>1</v>
      </c>
      <c r="D2" s="1">
        <v>0</v>
      </c>
      <c r="E2" s="1">
        <v>1</v>
      </c>
      <c r="F2" s="1">
        <v>0</v>
      </c>
      <c r="G2" s="3" t="b">
        <v>0</v>
      </c>
      <c r="H2" s="1">
        <v>6</v>
      </c>
      <c r="I2" s="1">
        <v>1</v>
      </c>
      <c r="J2" s="1">
        <v>0.24</v>
      </c>
      <c r="K2">
        <f>VLOOKUP($A2,'Temprorary Data'!$A:$G,2,FALSE)</f>
        <v>0.28789999999999999</v>
      </c>
      <c r="L2">
        <f>VLOOKUP($A2,'Temprorary Data'!$A:$G,3,FALSE)</f>
        <v>0.81</v>
      </c>
      <c r="M2">
        <f>VLOOKUP($A2,'Temprorary Data'!$A:$G,4,FALSE)</f>
        <v>0</v>
      </c>
      <c r="N2">
        <f>VLOOKUP($A2,'Temprorary Data'!$A:$G,5,FALSE)</f>
        <v>3</v>
      </c>
      <c r="O2">
        <f>VLOOKUP($A2,'Temprorary Data'!$A:$G,6,FALSE)</f>
        <v>13</v>
      </c>
      <c r="P2">
        <f>VLOOKUP($A2,'Temprorary Data'!$A:$G,7,FALSE)</f>
        <v>16</v>
      </c>
    </row>
    <row r="3" spans="1:16" ht="15.75" thickBot="1">
      <c r="A3" s="1">
        <v>2</v>
      </c>
      <c r="B3" s="2">
        <v>40544</v>
      </c>
      <c r="C3" s="1">
        <v>1</v>
      </c>
      <c r="D3" s="1">
        <v>0</v>
      </c>
      <c r="E3" s="1">
        <v>1</v>
      </c>
      <c r="F3" s="1">
        <v>1</v>
      </c>
      <c r="G3" s="3" t="b">
        <v>0</v>
      </c>
      <c r="H3" s="1">
        <v>6</v>
      </c>
      <c r="I3" s="1">
        <v>1</v>
      </c>
      <c r="J3" s="1">
        <v>0.22</v>
      </c>
      <c r="K3">
        <f>VLOOKUP($A3,'Temprorary Data'!$A:$G,2,FALSE)</f>
        <v>0.2727</v>
      </c>
      <c r="L3">
        <f>VLOOKUP($A3,'Temprorary Data'!$A:$G,3,FALSE)</f>
        <v>0.8</v>
      </c>
      <c r="M3">
        <f>VLOOKUP($A3,'Temprorary Data'!$A:$G,4,FALSE)</f>
        <v>0</v>
      </c>
      <c r="N3">
        <f>VLOOKUP($A3,'Temprorary Data'!$A:$G,5,FALSE)</f>
        <v>8</v>
      </c>
      <c r="O3">
        <f>VLOOKUP($A3,'Temprorary Data'!$A:$G,6,FALSE)</f>
        <v>32</v>
      </c>
      <c r="P3">
        <f>VLOOKUP($A3,'Temprorary Data'!$A:$G,7,FALSE)</f>
        <v>40</v>
      </c>
    </row>
    <row r="4" spans="1:16" ht="15.75" thickBot="1">
      <c r="A4" s="1">
        <v>3</v>
      </c>
      <c r="B4" s="2">
        <v>40544</v>
      </c>
      <c r="C4" s="1">
        <v>1</v>
      </c>
      <c r="D4" s="1">
        <v>0</v>
      </c>
      <c r="E4" s="1">
        <v>1</v>
      </c>
      <c r="F4" s="1">
        <v>2</v>
      </c>
      <c r="G4" s="3" t="b">
        <v>0</v>
      </c>
      <c r="H4" s="1">
        <v>6</v>
      </c>
      <c r="I4" s="1">
        <v>1</v>
      </c>
      <c r="J4" s="1">
        <v>0.22</v>
      </c>
      <c r="K4">
        <f>VLOOKUP($A4,'Temprorary Data'!$A:$G,2,FALSE)</f>
        <v>0.2727</v>
      </c>
      <c r="L4">
        <f>VLOOKUP($A4,'Temprorary Data'!$A:$G,3,FALSE)</f>
        <v>0.8</v>
      </c>
      <c r="M4">
        <f>VLOOKUP($A4,'Temprorary Data'!$A:$G,4,FALSE)</f>
        <v>0</v>
      </c>
      <c r="N4">
        <f>VLOOKUP($A4,'Temprorary Data'!$A:$G,5,FALSE)</f>
        <v>5</v>
      </c>
      <c r="O4">
        <f>VLOOKUP($A4,'Temprorary Data'!$A:$G,6,FALSE)</f>
        <v>27</v>
      </c>
      <c r="P4">
        <f>VLOOKUP($A4,'Temprorary Data'!$A:$G,7,FALSE)</f>
        <v>32</v>
      </c>
    </row>
    <row r="5" spans="1:16" ht="15.75" thickBot="1">
      <c r="A5" s="1">
        <v>4</v>
      </c>
      <c r="B5" s="2">
        <v>40544</v>
      </c>
      <c r="C5" s="1">
        <v>1</v>
      </c>
      <c r="D5" s="1">
        <v>0</v>
      </c>
      <c r="E5" s="1">
        <v>1</v>
      </c>
      <c r="F5" s="1">
        <v>3</v>
      </c>
      <c r="G5" s="3" t="b">
        <v>0</v>
      </c>
      <c r="H5" s="1">
        <v>6</v>
      </c>
      <c r="I5" s="1">
        <v>1</v>
      </c>
      <c r="J5" s="1">
        <v>0.24</v>
      </c>
      <c r="K5">
        <f>VLOOKUP($A5,'Temprorary Data'!$A:$G,2,FALSE)</f>
        <v>0.28789999999999999</v>
      </c>
      <c r="L5">
        <f>VLOOKUP($A5,'Temprorary Data'!$A:$G,3,FALSE)</f>
        <v>0.75</v>
      </c>
      <c r="M5">
        <f>VLOOKUP($A5,'Temprorary Data'!$A:$G,4,FALSE)</f>
        <v>0</v>
      </c>
      <c r="N5">
        <f>VLOOKUP($A5,'Temprorary Data'!$A:$G,5,FALSE)</f>
        <v>3</v>
      </c>
      <c r="O5">
        <f>VLOOKUP($A5,'Temprorary Data'!$A:$G,6,FALSE)</f>
        <v>10</v>
      </c>
      <c r="P5">
        <f>VLOOKUP($A5,'Temprorary Data'!$A:$G,7,FALSE)</f>
        <v>13</v>
      </c>
    </row>
    <row r="6" spans="1:16" ht="15.75" thickBot="1">
      <c r="A6" s="1">
        <v>5</v>
      </c>
      <c r="B6" s="2">
        <v>40544</v>
      </c>
      <c r="C6" s="1">
        <v>1</v>
      </c>
      <c r="D6" s="1">
        <v>0</v>
      </c>
      <c r="E6" s="1">
        <v>1</v>
      </c>
      <c r="F6" s="1">
        <v>4</v>
      </c>
      <c r="G6" s="3" t="b">
        <v>0</v>
      </c>
      <c r="H6" s="1">
        <v>6</v>
      </c>
      <c r="I6" s="1">
        <v>1</v>
      </c>
      <c r="J6" s="1">
        <v>0.24</v>
      </c>
      <c r="K6">
        <f>VLOOKUP($A6,'Temprorary Data'!$A:$G,2,FALSE)</f>
        <v>0.28789999999999999</v>
      </c>
      <c r="L6">
        <f>VLOOKUP($A6,'Temprorary Data'!$A:$G,3,FALSE)</f>
        <v>0.75</v>
      </c>
      <c r="M6">
        <f>VLOOKUP($A6,'Temprorary Data'!$A:$G,4,FALSE)</f>
        <v>0</v>
      </c>
      <c r="N6">
        <f>VLOOKUP($A6,'Temprorary Data'!$A:$G,5,FALSE)</f>
        <v>0</v>
      </c>
      <c r="O6">
        <f>VLOOKUP($A6,'Temprorary Data'!$A:$G,6,FALSE)</f>
        <v>1</v>
      </c>
      <c r="P6">
        <f>VLOOKUP($A6,'Temprorary Data'!$A:$G,7,FALSE)</f>
        <v>1</v>
      </c>
    </row>
    <row r="7" spans="1:16" ht="15.75" thickBot="1">
      <c r="A7" s="1">
        <v>6</v>
      </c>
      <c r="B7" s="2">
        <v>40544</v>
      </c>
      <c r="C7" s="1">
        <v>1</v>
      </c>
      <c r="D7" s="1">
        <v>0</v>
      </c>
      <c r="E7" s="1">
        <v>1</v>
      </c>
      <c r="F7" s="1">
        <v>5</v>
      </c>
      <c r="G7" s="3" t="b">
        <v>0</v>
      </c>
      <c r="H7" s="1">
        <v>6</v>
      </c>
      <c r="I7" s="1">
        <v>2</v>
      </c>
      <c r="J7" s="1">
        <v>0.24</v>
      </c>
      <c r="K7">
        <f>VLOOKUP($A7,'Temprorary Data'!$A:$G,2,FALSE)</f>
        <v>0.2576</v>
      </c>
      <c r="L7">
        <f>VLOOKUP($A7,'Temprorary Data'!$A:$G,3,FALSE)</f>
        <v>0.75</v>
      </c>
      <c r="M7">
        <f>VLOOKUP($A7,'Temprorary Data'!$A:$G,4,FALSE)</f>
        <v>8.9599999999999999E-2</v>
      </c>
      <c r="N7">
        <f>VLOOKUP($A7,'Temprorary Data'!$A:$G,5,FALSE)</f>
        <v>0</v>
      </c>
      <c r="O7">
        <f>VLOOKUP($A7,'Temprorary Data'!$A:$G,6,FALSE)</f>
        <v>1</v>
      </c>
      <c r="P7">
        <f>VLOOKUP($A7,'Temprorary Data'!$A:$G,7,FALSE)</f>
        <v>1</v>
      </c>
    </row>
    <row r="8" spans="1:16" ht="15.75" thickBot="1">
      <c r="A8" s="1">
        <v>7</v>
      </c>
      <c r="B8" s="2">
        <v>40544</v>
      </c>
      <c r="C8" s="1">
        <v>1</v>
      </c>
      <c r="D8" s="1">
        <v>0</v>
      </c>
      <c r="E8" s="1">
        <v>1</v>
      </c>
      <c r="F8" s="1">
        <v>6</v>
      </c>
      <c r="G8" s="3" t="b">
        <v>0</v>
      </c>
      <c r="H8" s="1">
        <v>6</v>
      </c>
      <c r="I8" s="1">
        <v>1</v>
      </c>
      <c r="J8" s="1">
        <v>0.22</v>
      </c>
      <c r="K8">
        <f>VLOOKUP($A8,'Temprorary Data'!$A:$G,2,FALSE)</f>
        <v>0.2727</v>
      </c>
      <c r="L8">
        <f>VLOOKUP($A8,'Temprorary Data'!$A:$G,3,FALSE)</f>
        <v>0.8</v>
      </c>
      <c r="M8">
        <f>VLOOKUP($A8,'Temprorary Data'!$A:$G,4,FALSE)</f>
        <v>0</v>
      </c>
      <c r="N8">
        <f>VLOOKUP($A8,'Temprorary Data'!$A:$G,5,FALSE)</f>
        <v>2</v>
      </c>
      <c r="O8">
        <f>VLOOKUP($A8,'Temprorary Data'!$A:$G,6,FALSE)</f>
        <v>0</v>
      </c>
      <c r="P8">
        <f>VLOOKUP($A8,'Temprorary Data'!$A:$G,7,FALSE)</f>
        <v>2</v>
      </c>
    </row>
    <row r="9" spans="1:16" ht="15.75" thickBot="1">
      <c r="A9" s="1">
        <v>8</v>
      </c>
      <c r="B9" s="2">
        <v>40544</v>
      </c>
      <c r="C9" s="1">
        <v>1</v>
      </c>
      <c r="D9" s="1">
        <v>0</v>
      </c>
      <c r="E9" s="1">
        <v>1</v>
      </c>
      <c r="F9" s="1">
        <v>7</v>
      </c>
      <c r="G9" s="3" t="b">
        <v>0</v>
      </c>
      <c r="H9" s="1">
        <v>6</v>
      </c>
      <c r="I9" s="1">
        <v>1</v>
      </c>
      <c r="J9" s="1">
        <v>0.2</v>
      </c>
      <c r="K9">
        <f>VLOOKUP($A9,'Temprorary Data'!$A:$G,2,FALSE)</f>
        <v>0.2576</v>
      </c>
      <c r="L9">
        <f>VLOOKUP($A9,'Temprorary Data'!$A:$G,3,FALSE)</f>
        <v>0.86</v>
      </c>
      <c r="M9">
        <f>VLOOKUP($A9,'Temprorary Data'!$A:$G,4,FALSE)</f>
        <v>0</v>
      </c>
      <c r="N9">
        <f>VLOOKUP($A9,'Temprorary Data'!$A:$G,5,FALSE)</f>
        <v>1</v>
      </c>
      <c r="O9">
        <f>VLOOKUP($A9,'Temprorary Data'!$A:$G,6,FALSE)</f>
        <v>2</v>
      </c>
      <c r="P9">
        <f>VLOOKUP($A9,'Temprorary Data'!$A:$G,7,FALSE)</f>
        <v>3</v>
      </c>
    </row>
    <row r="10" spans="1:16" ht="15.75" thickBot="1">
      <c r="A10" s="1">
        <v>9</v>
      </c>
      <c r="B10" s="2">
        <v>40544</v>
      </c>
      <c r="C10" s="1">
        <v>1</v>
      </c>
      <c r="D10" s="1">
        <v>0</v>
      </c>
      <c r="E10" s="1">
        <v>1</v>
      </c>
      <c r="F10" s="1">
        <v>8</v>
      </c>
      <c r="G10" s="3" t="b">
        <v>0</v>
      </c>
      <c r="H10" s="1">
        <v>6</v>
      </c>
      <c r="I10" s="1">
        <v>1</v>
      </c>
      <c r="J10" s="1">
        <v>0.24</v>
      </c>
      <c r="K10">
        <f>VLOOKUP($A10,'Temprorary Data'!$A:$G,2,FALSE)</f>
        <v>0</v>
      </c>
      <c r="L10">
        <f>VLOOKUP($A10,'Temprorary Data'!$A:$G,3,FALSE)</f>
        <v>0.75</v>
      </c>
      <c r="M10">
        <f>VLOOKUP($A10,'Temprorary Data'!$A:$G,4,FALSE)</f>
        <v>0</v>
      </c>
      <c r="N10">
        <f>VLOOKUP($A10,'Temprorary Data'!$A:$G,5,FALSE)</f>
        <v>1</v>
      </c>
      <c r="O10">
        <f>VLOOKUP($A10,'Temprorary Data'!$A:$G,6,FALSE)</f>
        <v>7</v>
      </c>
      <c r="P10">
        <f>VLOOKUP($A10,'Temprorary Data'!$A:$G,7,FALSE)</f>
        <v>8</v>
      </c>
    </row>
    <row r="11" spans="1:16" ht="15.75" thickBot="1">
      <c r="A11" s="1">
        <v>10</v>
      </c>
      <c r="B11" s="2">
        <v>40544</v>
      </c>
      <c r="C11" s="1">
        <v>1</v>
      </c>
      <c r="D11" s="1">
        <v>0</v>
      </c>
      <c r="E11" s="1">
        <v>1</v>
      </c>
      <c r="F11" s="1">
        <v>9</v>
      </c>
      <c r="G11" s="3" t="b">
        <v>0</v>
      </c>
      <c r="H11" s="1">
        <v>6</v>
      </c>
      <c r="I11" s="1">
        <v>1</v>
      </c>
      <c r="J11" s="1">
        <v>0.32</v>
      </c>
      <c r="K11">
        <f>VLOOKUP($A11,'Temprorary Data'!$A:$G,2,FALSE)</f>
        <v>0.34849999999999998</v>
      </c>
      <c r="L11">
        <f>VLOOKUP($A11,'Temprorary Data'!$A:$G,3,FALSE)</f>
        <v>0.76</v>
      </c>
      <c r="M11">
        <f>VLOOKUP($A11,'Temprorary Data'!$A:$G,4,FALSE)</f>
        <v>0</v>
      </c>
      <c r="N11">
        <f>VLOOKUP($A11,'Temprorary Data'!$A:$G,5,FALSE)</f>
        <v>8</v>
      </c>
      <c r="O11">
        <f>VLOOKUP($A11,'Temprorary Data'!$A:$G,6,FALSE)</f>
        <v>6</v>
      </c>
      <c r="P11">
        <f>VLOOKUP($A11,'Temprorary Data'!$A:$G,7,FALSE)</f>
        <v>14</v>
      </c>
    </row>
    <row r="12" spans="1:16" ht="15.75" thickBot="1">
      <c r="A12" s="1">
        <v>11</v>
      </c>
      <c r="B12" s="2">
        <v>40544</v>
      </c>
      <c r="C12" s="1">
        <v>1</v>
      </c>
      <c r="D12" s="1">
        <v>0</v>
      </c>
      <c r="E12" s="1">
        <v>1</v>
      </c>
      <c r="F12" s="1">
        <v>10</v>
      </c>
      <c r="G12" s="3" t="b">
        <v>0</v>
      </c>
      <c r="H12" s="1">
        <v>6</v>
      </c>
      <c r="I12" s="1">
        <v>1</v>
      </c>
      <c r="J12" s="1">
        <v>0.38</v>
      </c>
      <c r="K12">
        <f>VLOOKUP($A12,'Temprorary Data'!$A:$G,2,FALSE)</f>
        <v>0.39389999999999997</v>
      </c>
      <c r="L12">
        <f>VLOOKUP($A12,'Temprorary Data'!$A:$G,3,FALSE)</f>
        <v>0.76</v>
      </c>
      <c r="M12">
        <f>VLOOKUP($A12,'Temprorary Data'!$A:$G,4,FALSE)</f>
        <v>0.25369999999999998</v>
      </c>
      <c r="N12">
        <f>VLOOKUP($A12,'Temprorary Data'!$A:$G,5,FALSE)</f>
        <v>12</v>
      </c>
      <c r="O12">
        <f>VLOOKUP($A12,'Temprorary Data'!$A:$G,6,FALSE)</f>
        <v>24</v>
      </c>
      <c r="P12">
        <f>VLOOKUP($A12,'Temprorary Data'!$A:$G,7,FALSE)</f>
        <v>36</v>
      </c>
    </row>
    <row r="13" spans="1:16" ht="15.75" thickBot="1">
      <c r="A13" s="1">
        <v>12</v>
      </c>
      <c r="B13" s="2">
        <v>40544</v>
      </c>
      <c r="C13" s="1">
        <v>1</v>
      </c>
      <c r="D13" s="1">
        <v>0</v>
      </c>
      <c r="E13" s="1">
        <v>1</v>
      </c>
      <c r="F13" s="1">
        <v>11</v>
      </c>
      <c r="G13" s="3" t="b">
        <v>0</v>
      </c>
      <c r="H13" s="1">
        <v>6</v>
      </c>
      <c r="I13" s="1">
        <v>1</v>
      </c>
      <c r="J13" s="1">
        <v>0.36</v>
      </c>
      <c r="K13">
        <f>VLOOKUP($A13,'Temprorary Data'!$A:$G,2,FALSE)</f>
        <v>0.33329999999999999</v>
      </c>
      <c r="L13">
        <f>VLOOKUP($A13,'Temprorary Data'!$A:$G,3,FALSE)</f>
        <v>0.81</v>
      </c>
      <c r="M13">
        <f>VLOOKUP($A13,'Temprorary Data'!$A:$G,4,FALSE)</f>
        <v>0.28360000000000002</v>
      </c>
      <c r="N13">
        <f>VLOOKUP($A13,'Temprorary Data'!$A:$G,5,FALSE)</f>
        <v>26</v>
      </c>
      <c r="O13">
        <f>VLOOKUP($A13,'Temprorary Data'!$A:$G,6,FALSE)</f>
        <v>30</v>
      </c>
      <c r="P13">
        <f>VLOOKUP($A13,'Temprorary Data'!$A:$G,7,FALSE)</f>
        <v>56</v>
      </c>
    </row>
    <row r="14" spans="1:16" ht="15.75" thickBot="1">
      <c r="A14" s="1">
        <v>13</v>
      </c>
      <c r="B14" s="2">
        <v>40544</v>
      </c>
      <c r="C14" s="1">
        <v>1</v>
      </c>
      <c r="D14" s="1">
        <v>0</v>
      </c>
      <c r="E14" s="1">
        <v>1</v>
      </c>
      <c r="F14" s="1">
        <v>12</v>
      </c>
      <c r="G14" s="3" t="b">
        <v>0</v>
      </c>
      <c r="H14" s="1">
        <v>6</v>
      </c>
      <c r="I14" s="1">
        <v>1</v>
      </c>
      <c r="J14" s="1">
        <v>0.42</v>
      </c>
      <c r="K14">
        <f>VLOOKUP($A14,'Temprorary Data'!$A:$G,2,FALSE)</f>
        <v>0.42420000000000002</v>
      </c>
      <c r="L14">
        <f>VLOOKUP($A14,'Temprorary Data'!$A:$G,3,FALSE)</f>
        <v>0.77</v>
      </c>
      <c r="M14">
        <f>VLOOKUP($A14,'Temprorary Data'!$A:$G,4,FALSE)</f>
        <v>0.28360000000000002</v>
      </c>
      <c r="N14">
        <f>VLOOKUP($A14,'Temprorary Data'!$A:$G,5,FALSE)</f>
        <v>29</v>
      </c>
      <c r="O14">
        <f>VLOOKUP($A14,'Temprorary Data'!$A:$G,6,FALSE)</f>
        <v>55</v>
      </c>
      <c r="P14">
        <f>VLOOKUP($A14,'Temprorary Data'!$A:$G,7,FALSE)</f>
        <v>84</v>
      </c>
    </row>
    <row r="15" spans="1:16" ht="15.75" thickBot="1">
      <c r="A15" s="1">
        <v>14</v>
      </c>
      <c r="B15" s="2">
        <v>40544</v>
      </c>
      <c r="C15" s="1">
        <v>1</v>
      </c>
      <c r="D15" s="1">
        <v>0</v>
      </c>
      <c r="E15" s="1">
        <v>1</v>
      </c>
      <c r="F15" s="1">
        <v>13</v>
      </c>
      <c r="G15" s="3" t="b">
        <v>0</v>
      </c>
      <c r="H15" s="1">
        <v>6</v>
      </c>
      <c r="I15" s="1">
        <v>2</v>
      </c>
      <c r="J15" s="1">
        <v>0.46</v>
      </c>
      <c r="K15">
        <f>VLOOKUP($A15,'Temprorary Data'!$A:$G,2,FALSE)</f>
        <v>0.45450000000000002</v>
      </c>
      <c r="L15">
        <f>VLOOKUP($A15,'Temprorary Data'!$A:$G,3,FALSE)</f>
        <v>0.72</v>
      </c>
      <c r="M15">
        <f>VLOOKUP($A15,'Temprorary Data'!$A:$G,4,FALSE)</f>
        <v>0.29849999999999999</v>
      </c>
      <c r="N15">
        <f>VLOOKUP($A15,'Temprorary Data'!$A:$G,5,FALSE)</f>
        <v>47</v>
      </c>
      <c r="O15">
        <f>VLOOKUP($A15,'Temprorary Data'!$A:$G,6,FALSE)</f>
        <v>47</v>
      </c>
      <c r="P15">
        <f>VLOOKUP($A15,'Temprorary Data'!$A:$G,7,FALSE)</f>
        <v>94</v>
      </c>
    </row>
    <row r="16" spans="1:16" ht="15.75" thickBot="1">
      <c r="A16" s="1">
        <v>15</v>
      </c>
      <c r="B16" s="2">
        <v>40544</v>
      </c>
      <c r="C16" s="1">
        <v>1</v>
      </c>
      <c r="D16" s="1">
        <v>0</v>
      </c>
      <c r="E16" s="1">
        <v>1</v>
      </c>
      <c r="F16" s="1">
        <v>14</v>
      </c>
      <c r="G16" s="3" t="b">
        <v>0</v>
      </c>
      <c r="H16" s="1">
        <v>6</v>
      </c>
      <c r="I16" s="1">
        <v>2</v>
      </c>
      <c r="J16" s="1">
        <v>0.46</v>
      </c>
      <c r="K16">
        <f>VLOOKUP($A16,'Temprorary Data'!$A:$G,2,FALSE)</f>
        <v>0.45450000000000002</v>
      </c>
      <c r="L16">
        <f>VLOOKUP($A16,'Temprorary Data'!$A:$G,3,FALSE)</f>
        <v>0.72</v>
      </c>
      <c r="M16">
        <f>VLOOKUP($A16,'Temprorary Data'!$A:$G,4,FALSE)</f>
        <v>0.28360000000000002</v>
      </c>
      <c r="N16">
        <f>VLOOKUP($A16,'Temprorary Data'!$A:$G,5,FALSE)</f>
        <v>35</v>
      </c>
      <c r="O16">
        <f>VLOOKUP($A16,'Temprorary Data'!$A:$G,6,FALSE)</f>
        <v>71</v>
      </c>
      <c r="P16">
        <f>VLOOKUP($A16,'Temprorary Data'!$A:$G,7,FALSE)</f>
        <v>106</v>
      </c>
    </row>
    <row r="17" spans="1:16" ht="15.75" thickBot="1">
      <c r="A17" s="1">
        <v>16</v>
      </c>
      <c r="B17" s="2">
        <v>40544</v>
      </c>
      <c r="C17" s="1">
        <v>1</v>
      </c>
      <c r="D17" s="1">
        <v>0</v>
      </c>
      <c r="E17" s="1">
        <v>1</v>
      </c>
      <c r="F17" s="1">
        <v>15</v>
      </c>
      <c r="G17" s="3" t="b">
        <v>0</v>
      </c>
      <c r="H17" s="1">
        <v>6</v>
      </c>
      <c r="I17" s="1">
        <v>2</v>
      </c>
      <c r="J17" s="1">
        <v>0.44</v>
      </c>
      <c r="K17">
        <f>VLOOKUP($A17,'Temprorary Data'!$A:$G,2,FALSE)</f>
        <v>0.43940000000000001</v>
      </c>
      <c r="L17">
        <f>VLOOKUP($A17,'Temprorary Data'!$A:$G,3,FALSE)</f>
        <v>0.77</v>
      </c>
      <c r="M17">
        <f>VLOOKUP($A17,'Temprorary Data'!$A:$G,4,FALSE)</f>
        <v>0.29849999999999999</v>
      </c>
      <c r="N17">
        <f>VLOOKUP($A17,'Temprorary Data'!$A:$G,5,FALSE)</f>
        <v>40</v>
      </c>
      <c r="O17">
        <f>VLOOKUP($A17,'Temprorary Data'!$A:$G,6,FALSE)</f>
        <v>70</v>
      </c>
      <c r="P17">
        <f>VLOOKUP($A17,'Temprorary Data'!$A:$G,7,FALSE)</f>
        <v>110</v>
      </c>
    </row>
    <row r="18" spans="1:16" ht="15.75" thickBot="1">
      <c r="A18" s="1">
        <v>17</v>
      </c>
      <c r="B18" s="2">
        <v>40544</v>
      </c>
      <c r="C18" s="1">
        <v>1</v>
      </c>
      <c r="D18" s="1">
        <v>0</v>
      </c>
      <c r="E18" s="1">
        <v>1</v>
      </c>
      <c r="F18" s="1">
        <v>16</v>
      </c>
      <c r="G18" s="3" t="b">
        <v>0</v>
      </c>
      <c r="H18" s="1">
        <v>6</v>
      </c>
      <c r="I18" s="1">
        <v>2</v>
      </c>
      <c r="J18" s="1">
        <v>0.42</v>
      </c>
      <c r="K18">
        <f>VLOOKUP($A18,'Temprorary Data'!$A:$G,2,FALSE)</f>
        <v>0.42420000000000002</v>
      </c>
      <c r="L18">
        <f>VLOOKUP($A18,'Temprorary Data'!$A:$G,3,FALSE)</f>
        <v>0.82</v>
      </c>
      <c r="M18">
        <f>VLOOKUP($A18,'Temprorary Data'!$A:$G,4,FALSE)</f>
        <v>0.29849999999999999</v>
      </c>
      <c r="N18">
        <f>VLOOKUP($A18,'Temprorary Data'!$A:$G,5,FALSE)</f>
        <v>41</v>
      </c>
      <c r="O18">
        <f>VLOOKUP($A18,'Temprorary Data'!$A:$G,6,FALSE)</f>
        <v>52</v>
      </c>
      <c r="P18">
        <f>VLOOKUP($A18,'Temprorary Data'!$A:$G,7,FALSE)</f>
        <v>93</v>
      </c>
    </row>
    <row r="19" spans="1:16" ht="15.75" thickBot="1">
      <c r="A19" s="1">
        <v>18</v>
      </c>
      <c r="B19" s="2">
        <v>40544</v>
      </c>
      <c r="C19" s="1">
        <v>1</v>
      </c>
      <c r="D19" s="1">
        <v>0</v>
      </c>
      <c r="E19" s="1">
        <v>1</v>
      </c>
      <c r="F19" s="1">
        <v>17</v>
      </c>
      <c r="G19" s="3" t="b">
        <v>0</v>
      </c>
      <c r="H19" s="1">
        <v>6</v>
      </c>
      <c r="I19" s="1">
        <v>2</v>
      </c>
      <c r="J19" s="1">
        <v>0.44</v>
      </c>
      <c r="K19">
        <f>VLOOKUP($A19,'Temprorary Data'!$A:$G,2,FALSE)</f>
        <v>0</v>
      </c>
      <c r="L19">
        <f>VLOOKUP($A19,'Temprorary Data'!$A:$G,3,FALSE)</f>
        <v>0.82</v>
      </c>
      <c r="M19">
        <f>VLOOKUP($A19,'Temprorary Data'!$A:$G,4,FALSE)</f>
        <v>0.28360000000000002</v>
      </c>
      <c r="N19">
        <f>VLOOKUP($A19,'Temprorary Data'!$A:$G,5,FALSE)</f>
        <v>15</v>
      </c>
      <c r="O19">
        <f>VLOOKUP($A19,'Temprorary Data'!$A:$G,6,FALSE)</f>
        <v>52</v>
      </c>
      <c r="P19">
        <f>VLOOKUP($A19,'Temprorary Data'!$A:$G,7,FALSE)</f>
        <v>67</v>
      </c>
    </row>
    <row r="20" spans="1:16" ht="15.75" thickBot="1">
      <c r="A20" s="1">
        <v>19</v>
      </c>
      <c r="B20" s="2">
        <v>40544</v>
      </c>
      <c r="C20" s="1">
        <v>1</v>
      </c>
      <c r="D20" s="1">
        <v>0</v>
      </c>
      <c r="E20" s="1">
        <v>1</v>
      </c>
      <c r="F20" s="1">
        <v>18</v>
      </c>
      <c r="G20" s="3" t="b">
        <v>0</v>
      </c>
      <c r="H20" s="1">
        <v>6</v>
      </c>
      <c r="I20" s="1">
        <v>3</v>
      </c>
      <c r="J20" s="1">
        <v>0.42</v>
      </c>
      <c r="K20">
        <f>VLOOKUP($A20,'Temprorary Data'!$A:$G,2,FALSE)</f>
        <v>0.42420000000000002</v>
      </c>
      <c r="L20">
        <f>VLOOKUP($A20,'Temprorary Data'!$A:$G,3,FALSE)</f>
        <v>0.88</v>
      </c>
      <c r="M20">
        <f>VLOOKUP($A20,'Temprorary Data'!$A:$G,4,FALSE)</f>
        <v>0.25369999999999998</v>
      </c>
      <c r="N20">
        <f>VLOOKUP($A20,'Temprorary Data'!$A:$G,5,FALSE)</f>
        <v>9</v>
      </c>
      <c r="O20">
        <f>VLOOKUP($A20,'Temprorary Data'!$A:$G,6,FALSE)</f>
        <v>26</v>
      </c>
      <c r="P20">
        <f>VLOOKUP($A20,'Temprorary Data'!$A:$G,7,FALSE)</f>
        <v>35</v>
      </c>
    </row>
    <row r="21" spans="1:16" ht="15.75" thickBot="1">
      <c r="A21" s="1">
        <v>20</v>
      </c>
      <c r="B21" s="2">
        <v>40544</v>
      </c>
      <c r="C21" s="1">
        <v>1</v>
      </c>
      <c r="D21" s="1">
        <v>0</v>
      </c>
      <c r="E21" s="1">
        <v>1</v>
      </c>
      <c r="F21" s="1">
        <v>19</v>
      </c>
      <c r="G21" s="3" t="b">
        <v>0</v>
      </c>
      <c r="H21" s="1">
        <v>6</v>
      </c>
      <c r="I21" s="1">
        <v>3</v>
      </c>
      <c r="J21" s="1">
        <v>0.42</v>
      </c>
      <c r="K21">
        <f>VLOOKUP($A21,'Temprorary Data'!$A:$G,2,FALSE)</f>
        <v>0.42420000000000002</v>
      </c>
      <c r="L21">
        <f>VLOOKUP($A21,'Temprorary Data'!$A:$G,3,FALSE)</f>
        <v>0.88</v>
      </c>
      <c r="M21">
        <f>VLOOKUP($A21,'Temprorary Data'!$A:$G,4,FALSE)</f>
        <v>0.25369999999999998</v>
      </c>
      <c r="N21">
        <f>VLOOKUP($A21,'Temprorary Data'!$A:$G,5,FALSE)</f>
        <v>6</v>
      </c>
      <c r="O21">
        <f>VLOOKUP($A21,'Temprorary Data'!$A:$G,6,FALSE)</f>
        <v>31</v>
      </c>
      <c r="P21">
        <f>VLOOKUP($A21,'Temprorary Data'!$A:$G,7,FALSE)</f>
        <v>37</v>
      </c>
    </row>
    <row r="22" spans="1:16" ht="15.75" thickBot="1">
      <c r="A22" s="1">
        <v>21</v>
      </c>
      <c r="B22" s="2">
        <v>40544</v>
      </c>
      <c r="C22" s="1">
        <v>1</v>
      </c>
      <c r="D22" s="1">
        <v>0</v>
      </c>
      <c r="E22" s="1">
        <v>1</v>
      </c>
      <c r="F22" s="1">
        <v>20</v>
      </c>
      <c r="G22" s="3" t="b">
        <v>0</v>
      </c>
      <c r="H22" s="1">
        <v>6</v>
      </c>
      <c r="I22" s="1">
        <v>2</v>
      </c>
      <c r="J22" s="1">
        <v>0.4</v>
      </c>
      <c r="K22">
        <f>VLOOKUP($A22,'Temprorary Data'!$A:$G,2,FALSE)</f>
        <v>0.40910000000000002</v>
      </c>
      <c r="L22">
        <f>VLOOKUP($A22,'Temprorary Data'!$A:$G,3,FALSE)</f>
        <v>0.87</v>
      </c>
      <c r="M22">
        <f>VLOOKUP($A22,'Temprorary Data'!$A:$G,4,FALSE)</f>
        <v>0.25369999999999998</v>
      </c>
      <c r="N22">
        <f>VLOOKUP($A22,'Temprorary Data'!$A:$G,5,FALSE)</f>
        <v>11</v>
      </c>
      <c r="O22">
        <f>VLOOKUP($A22,'Temprorary Data'!$A:$G,6,FALSE)</f>
        <v>25</v>
      </c>
      <c r="P22">
        <f>VLOOKUP($A22,'Temprorary Data'!$A:$G,7,FALSE)</f>
        <v>36</v>
      </c>
    </row>
    <row r="23" spans="1:16" ht="15.75" thickBot="1">
      <c r="A23" s="1">
        <v>22</v>
      </c>
      <c r="B23" s="2">
        <v>40544</v>
      </c>
      <c r="C23" s="1">
        <v>1</v>
      </c>
      <c r="D23" s="1">
        <v>0</v>
      </c>
      <c r="E23" s="1">
        <v>1</v>
      </c>
      <c r="F23" s="1">
        <v>21</v>
      </c>
      <c r="G23" s="3" t="b">
        <v>0</v>
      </c>
      <c r="H23" s="1">
        <v>6</v>
      </c>
      <c r="I23" s="1">
        <v>2</v>
      </c>
      <c r="J23" s="1">
        <v>0.4</v>
      </c>
      <c r="K23">
        <f>VLOOKUP($A23,'Temprorary Data'!$A:$G,2,FALSE)</f>
        <v>0.40910000000000002</v>
      </c>
      <c r="L23">
        <f>VLOOKUP($A23,'Temprorary Data'!$A:$G,3,FALSE)</f>
        <v>0.87</v>
      </c>
      <c r="M23">
        <f>VLOOKUP($A23,'Temprorary Data'!$A:$G,4,FALSE)</f>
        <v>0.19400000000000001</v>
      </c>
      <c r="N23">
        <f>VLOOKUP($A23,'Temprorary Data'!$A:$G,5,FALSE)</f>
        <v>3</v>
      </c>
      <c r="O23">
        <f>VLOOKUP($A23,'Temprorary Data'!$A:$G,6,FALSE)</f>
        <v>31</v>
      </c>
      <c r="P23">
        <f>VLOOKUP($A23,'Temprorary Data'!$A:$G,7,FALSE)</f>
        <v>34</v>
      </c>
    </row>
    <row r="24" spans="1:16" ht="15.75" thickBot="1">
      <c r="A24" s="1">
        <v>23</v>
      </c>
      <c r="B24" s="2">
        <v>40544</v>
      </c>
      <c r="C24" s="1">
        <v>1</v>
      </c>
      <c r="D24" s="1">
        <v>0</v>
      </c>
      <c r="E24" s="1">
        <v>1</v>
      </c>
      <c r="F24" s="1">
        <v>22</v>
      </c>
      <c r="G24" s="3" t="b">
        <v>0</v>
      </c>
      <c r="H24" s="1">
        <v>6</v>
      </c>
      <c r="I24" s="1">
        <v>2</v>
      </c>
      <c r="J24" s="1">
        <v>0.4</v>
      </c>
      <c r="K24">
        <f>VLOOKUP($A24,'Temprorary Data'!$A:$G,2,FALSE)</f>
        <v>0.40910000000000002</v>
      </c>
      <c r="L24">
        <f>VLOOKUP($A24,'Temprorary Data'!$A:$G,3,FALSE)</f>
        <v>0.94</v>
      </c>
      <c r="M24">
        <f>VLOOKUP($A24,'Temprorary Data'!$A:$G,4,FALSE)</f>
        <v>0.22389999999999999</v>
      </c>
      <c r="N24">
        <f>VLOOKUP($A24,'Temprorary Data'!$A:$G,5,FALSE)</f>
        <v>11</v>
      </c>
      <c r="O24">
        <f>VLOOKUP($A24,'Temprorary Data'!$A:$G,6,FALSE)</f>
        <v>17</v>
      </c>
      <c r="P24">
        <f>VLOOKUP($A24,'Temprorary Data'!$A:$G,7,FALSE)</f>
        <v>28</v>
      </c>
    </row>
    <row r="25" spans="1:16" ht="15.75" thickBot="1">
      <c r="A25" s="1">
        <v>24</v>
      </c>
      <c r="B25" s="2">
        <v>40544</v>
      </c>
      <c r="C25" s="1">
        <v>1</v>
      </c>
      <c r="D25" s="1">
        <v>0</v>
      </c>
      <c r="E25" s="1">
        <v>1</v>
      </c>
      <c r="F25" s="1">
        <v>23</v>
      </c>
      <c r="G25" s="3" t="b">
        <v>0</v>
      </c>
      <c r="H25" s="1">
        <v>6</v>
      </c>
      <c r="I25" s="1">
        <v>2</v>
      </c>
      <c r="J25" s="1">
        <v>0.46</v>
      </c>
      <c r="K25">
        <f>VLOOKUP($A25,'Temprorary Data'!$A:$G,2,FALSE)</f>
        <v>0</v>
      </c>
      <c r="L25">
        <f>VLOOKUP($A25,'Temprorary Data'!$A:$G,3,FALSE)</f>
        <v>0.88</v>
      </c>
      <c r="M25">
        <f>VLOOKUP($A25,'Temprorary Data'!$A:$G,4,FALSE)</f>
        <v>0.29849999999999999</v>
      </c>
      <c r="N25">
        <f>VLOOKUP($A25,'Temprorary Data'!$A:$G,5,FALSE)</f>
        <v>15</v>
      </c>
      <c r="O25">
        <f>VLOOKUP($A25,'Temprorary Data'!$A:$G,6,FALSE)</f>
        <v>24</v>
      </c>
      <c r="P25">
        <f>VLOOKUP($A25,'Temprorary Data'!$A:$G,7,FALSE)</f>
        <v>39</v>
      </c>
    </row>
    <row r="26" spans="1:16" ht="15.75" thickBot="1">
      <c r="A26" s="1">
        <v>25</v>
      </c>
      <c r="B26" s="2">
        <v>40545</v>
      </c>
      <c r="C26" s="1">
        <v>1</v>
      </c>
      <c r="D26" s="1">
        <v>0</v>
      </c>
      <c r="E26" s="1">
        <v>1</v>
      </c>
      <c r="F26" s="1">
        <v>0</v>
      </c>
      <c r="G26" s="3" t="b">
        <v>0</v>
      </c>
      <c r="H26" s="1">
        <v>0</v>
      </c>
      <c r="I26" s="1">
        <v>2</v>
      </c>
      <c r="J26" s="1">
        <v>0.46</v>
      </c>
      <c r="K26">
        <f>VLOOKUP($A26,'Temprorary Data'!$A:$G,2,FALSE)</f>
        <v>0.45450000000000002</v>
      </c>
      <c r="L26">
        <f>VLOOKUP($A26,'Temprorary Data'!$A:$G,3,FALSE)</f>
        <v>0.88</v>
      </c>
      <c r="M26">
        <f>VLOOKUP($A26,'Temprorary Data'!$A:$G,4,FALSE)</f>
        <v>0.29849999999999999</v>
      </c>
      <c r="N26">
        <f>VLOOKUP($A26,'Temprorary Data'!$A:$G,5,FALSE)</f>
        <v>4</v>
      </c>
      <c r="O26">
        <f>VLOOKUP($A26,'Temprorary Data'!$A:$G,6,FALSE)</f>
        <v>13</v>
      </c>
      <c r="P26">
        <f>VLOOKUP($A26,'Temprorary Data'!$A:$G,7,FALSE)</f>
        <v>17</v>
      </c>
    </row>
    <row r="27" spans="1:16" ht="15.75" thickBot="1">
      <c r="A27" s="1">
        <v>26</v>
      </c>
      <c r="B27" s="2">
        <v>40545</v>
      </c>
      <c r="C27" s="1">
        <v>1</v>
      </c>
      <c r="D27" s="1">
        <v>0</v>
      </c>
      <c r="E27" s="1">
        <v>1</v>
      </c>
      <c r="F27" s="1">
        <v>1</v>
      </c>
      <c r="G27" s="3" t="b">
        <v>0</v>
      </c>
      <c r="H27" s="1">
        <v>0</v>
      </c>
      <c r="I27" s="1">
        <v>2</v>
      </c>
      <c r="J27" s="1">
        <v>0.44</v>
      </c>
      <c r="K27">
        <f>VLOOKUP($A27,'Temprorary Data'!$A:$G,2,FALSE)</f>
        <v>0.43940000000000001</v>
      </c>
      <c r="L27">
        <f>VLOOKUP($A27,'Temprorary Data'!$A:$G,3,FALSE)</f>
        <v>0.94</v>
      </c>
      <c r="M27">
        <f>VLOOKUP($A27,'Temprorary Data'!$A:$G,4,FALSE)</f>
        <v>0.25369999999999998</v>
      </c>
      <c r="N27">
        <f>VLOOKUP($A27,'Temprorary Data'!$A:$G,5,FALSE)</f>
        <v>1</v>
      </c>
      <c r="O27">
        <f>VLOOKUP($A27,'Temprorary Data'!$A:$G,6,FALSE)</f>
        <v>16</v>
      </c>
      <c r="P27">
        <f>VLOOKUP($A27,'Temprorary Data'!$A:$G,7,FALSE)</f>
        <v>17</v>
      </c>
    </row>
    <row r="28" spans="1:16" ht="15.75" thickBot="1">
      <c r="A28" s="1">
        <v>27</v>
      </c>
      <c r="B28" s="2">
        <v>40545</v>
      </c>
      <c r="C28" s="1">
        <v>1</v>
      </c>
      <c r="D28" s="1">
        <v>0</v>
      </c>
      <c r="E28" s="1">
        <v>1</v>
      </c>
      <c r="F28" s="1">
        <v>2</v>
      </c>
      <c r="G28" s="3" t="b">
        <v>0</v>
      </c>
      <c r="H28" s="1">
        <v>0</v>
      </c>
      <c r="I28" s="1">
        <v>2</v>
      </c>
      <c r="J28" s="1">
        <v>0.42</v>
      </c>
      <c r="K28">
        <f>VLOOKUP($A28,'Temprorary Data'!$A:$G,2,FALSE)</f>
        <v>0.42420000000000002</v>
      </c>
      <c r="L28">
        <f>VLOOKUP($A28,'Temprorary Data'!$A:$G,3,FALSE)</f>
        <v>1</v>
      </c>
      <c r="M28">
        <f>VLOOKUP($A28,'Temprorary Data'!$A:$G,4,FALSE)</f>
        <v>0.28360000000000002</v>
      </c>
      <c r="N28">
        <f>VLOOKUP($A28,'Temprorary Data'!$A:$G,5,FALSE)</f>
        <v>1</v>
      </c>
      <c r="O28">
        <f>VLOOKUP($A28,'Temprorary Data'!$A:$G,6,FALSE)</f>
        <v>8</v>
      </c>
      <c r="P28">
        <f>VLOOKUP($A28,'Temprorary Data'!$A:$G,7,FALSE)</f>
        <v>9</v>
      </c>
    </row>
    <row r="29" spans="1:16" ht="15.75" thickBot="1">
      <c r="A29" s="1">
        <v>28</v>
      </c>
      <c r="B29" s="2">
        <v>40545</v>
      </c>
      <c r="C29" s="1">
        <v>1</v>
      </c>
      <c r="D29" s="1">
        <v>0</v>
      </c>
      <c r="E29" s="1">
        <v>1</v>
      </c>
      <c r="F29" s="1">
        <v>3</v>
      </c>
      <c r="G29" s="3" t="b">
        <v>0</v>
      </c>
      <c r="H29" s="1">
        <v>0</v>
      </c>
      <c r="I29" s="1">
        <v>2</v>
      </c>
      <c r="J29" s="1">
        <v>0.46</v>
      </c>
      <c r="K29">
        <f>VLOOKUP($A29,'Temprorary Data'!$A:$G,2,FALSE)</f>
        <v>0.45450000000000002</v>
      </c>
      <c r="L29">
        <f>VLOOKUP($A29,'Temprorary Data'!$A:$G,3,FALSE)</f>
        <v>0.94</v>
      </c>
      <c r="M29">
        <f>VLOOKUP($A29,'Temprorary Data'!$A:$G,4,FALSE)</f>
        <v>0.19400000000000001</v>
      </c>
      <c r="N29">
        <f>VLOOKUP($A29,'Temprorary Data'!$A:$G,5,FALSE)</f>
        <v>2</v>
      </c>
      <c r="O29">
        <f>VLOOKUP($A29,'Temprorary Data'!$A:$G,6,FALSE)</f>
        <v>4</v>
      </c>
      <c r="P29">
        <f>VLOOKUP($A29,'Temprorary Data'!$A:$G,7,FALSE)</f>
        <v>6</v>
      </c>
    </row>
    <row r="30" spans="1:16" ht="15.75" thickBot="1">
      <c r="A30" s="1">
        <v>29</v>
      </c>
      <c r="B30" s="2">
        <v>40545</v>
      </c>
      <c r="C30" s="1">
        <v>1</v>
      </c>
      <c r="D30" s="1">
        <v>0</v>
      </c>
      <c r="E30" s="1">
        <v>1</v>
      </c>
      <c r="F30" s="1">
        <v>4</v>
      </c>
      <c r="G30" s="3" t="b">
        <v>0</v>
      </c>
      <c r="H30" s="1">
        <v>0</v>
      </c>
      <c r="I30" s="1">
        <v>2</v>
      </c>
      <c r="J30" s="1">
        <v>0.46</v>
      </c>
      <c r="K30">
        <f>VLOOKUP($A30,'Temprorary Data'!$A:$G,2,FALSE)</f>
        <v>0</v>
      </c>
      <c r="L30">
        <f>VLOOKUP($A30,'Temprorary Data'!$A:$G,3,FALSE)</f>
        <v>0.94</v>
      </c>
      <c r="M30">
        <f>VLOOKUP($A30,'Temprorary Data'!$A:$G,4,FALSE)</f>
        <v>0.19400000000000001</v>
      </c>
      <c r="N30">
        <f>VLOOKUP($A30,'Temprorary Data'!$A:$G,5,FALSE)</f>
        <v>2</v>
      </c>
      <c r="O30">
        <f>VLOOKUP($A30,'Temprorary Data'!$A:$G,6,FALSE)</f>
        <v>1</v>
      </c>
      <c r="P30">
        <f>VLOOKUP($A30,'Temprorary Data'!$A:$G,7,FALSE)</f>
        <v>3</v>
      </c>
    </row>
    <row r="31" spans="1:16" ht="15.75" thickBot="1">
      <c r="A31" s="1">
        <v>30</v>
      </c>
      <c r="B31" s="2">
        <v>40545</v>
      </c>
      <c r="C31" s="1">
        <v>1</v>
      </c>
      <c r="D31" s="1">
        <v>0</v>
      </c>
      <c r="E31" s="1">
        <v>1</v>
      </c>
      <c r="F31" s="1">
        <v>6</v>
      </c>
      <c r="G31" s="3" t="b">
        <v>0</v>
      </c>
      <c r="H31" s="1">
        <v>0</v>
      </c>
      <c r="I31" s="1">
        <v>3</v>
      </c>
      <c r="J31" s="1">
        <v>0.42</v>
      </c>
      <c r="K31">
        <f>VLOOKUP($A31,'Temprorary Data'!$A:$G,2,FALSE)</f>
        <v>0.42420000000000002</v>
      </c>
      <c r="L31">
        <f>VLOOKUP($A31,'Temprorary Data'!$A:$G,3,FALSE)</f>
        <v>0.77</v>
      </c>
      <c r="M31">
        <f>VLOOKUP($A31,'Temprorary Data'!$A:$G,4,FALSE)</f>
        <v>0.29849999999999999</v>
      </c>
      <c r="N31">
        <f>VLOOKUP($A31,'Temprorary Data'!$A:$G,5,FALSE)</f>
        <v>0</v>
      </c>
      <c r="O31">
        <f>VLOOKUP($A31,'Temprorary Data'!$A:$G,6,FALSE)</f>
        <v>2</v>
      </c>
      <c r="P31">
        <f>VLOOKUP($A31,'Temprorary Data'!$A:$G,7,FALSE)</f>
        <v>2</v>
      </c>
    </row>
    <row r="32" spans="1:16" ht="15.75" thickBot="1">
      <c r="A32" s="1">
        <v>31</v>
      </c>
      <c r="B32" s="2">
        <v>40545</v>
      </c>
      <c r="C32" s="1">
        <v>1</v>
      </c>
      <c r="D32" s="1">
        <v>0</v>
      </c>
      <c r="E32" s="1">
        <v>1</v>
      </c>
      <c r="F32" s="1">
        <v>7</v>
      </c>
      <c r="G32" s="3" t="b">
        <v>0</v>
      </c>
      <c r="H32" s="1">
        <v>0</v>
      </c>
      <c r="I32" s="1">
        <v>2</v>
      </c>
      <c r="J32" s="1">
        <v>0.4</v>
      </c>
      <c r="K32">
        <f>VLOOKUP($A32,'Temprorary Data'!$A:$G,2,FALSE)</f>
        <v>0.40910000000000002</v>
      </c>
      <c r="L32">
        <f>VLOOKUP($A32,'Temprorary Data'!$A:$G,3,FALSE)</f>
        <v>0.76</v>
      </c>
      <c r="M32">
        <f>VLOOKUP($A32,'Temprorary Data'!$A:$G,4,FALSE)</f>
        <v>0.19400000000000001</v>
      </c>
      <c r="N32">
        <f>VLOOKUP($A32,'Temprorary Data'!$A:$G,5,FALSE)</f>
        <v>0</v>
      </c>
      <c r="O32">
        <f>VLOOKUP($A32,'Temprorary Data'!$A:$G,6,FALSE)</f>
        <v>1</v>
      </c>
      <c r="P32">
        <f>VLOOKUP($A32,'Temprorary Data'!$A:$G,7,FALSE)</f>
        <v>1</v>
      </c>
    </row>
    <row r="33" spans="1:16" ht="15.75" thickBot="1">
      <c r="A33" s="1">
        <v>32</v>
      </c>
      <c r="B33" s="2">
        <v>40545</v>
      </c>
      <c r="C33" s="1">
        <v>1</v>
      </c>
      <c r="D33" s="1">
        <v>0</v>
      </c>
      <c r="E33" s="1">
        <v>1</v>
      </c>
      <c r="F33" s="1">
        <v>8</v>
      </c>
      <c r="G33" s="3" t="b">
        <v>0</v>
      </c>
      <c r="H33" s="1">
        <v>0</v>
      </c>
      <c r="I33" s="1">
        <v>3</v>
      </c>
      <c r="J33" s="1">
        <v>0.4</v>
      </c>
      <c r="K33">
        <f>VLOOKUP($A33,'Temprorary Data'!$A:$G,2,FALSE)</f>
        <v>0.40910000000000002</v>
      </c>
      <c r="L33">
        <f>VLOOKUP($A33,'Temprorary Data'!$A:$G,3,FALSE)</f>
        <v>0.71</v>
      </c>
      <c r="M33">
        <f>VLOOKUP($A33,'Temprorary Data'!$A:$G,4,FALSE)</f>
        <v>0.22389999999999999</v>
      </c>
      <c r="N33">
        <f>VLOOKUP($A33,'Temprorary Data'!$A:$G,5,FALSE)</f>
        <v>0</v>
      </c>
      <c r="O33">
        <f>VLOOKUP($A33,'Temprorary Data'!$A:$G,6,FALSE)</f>
        <v>8</v>
      </c>
      <c r="P33">
        <f>VLOOKUP($A33,'Temprorary Data'!$A:$G,7,FALSE)</f>
        <v>8</v>
      </c>
    </row>
    <row r="34" spans="1:16" ht="15.75" thickBot="1">
      <c r="A34" s="1">
        <v>33</v>
      </c>
      <c r="B34" s="2">
        <v>40545</v>
      </c>
      <c r="C34" s="1">
        <v>1</v>
      </c>
      <c r="D34" s="1">
        <v>0</v>
      </c>
      <c r="E34" s="1">
        <v>1</v>
      </c>
      <c r="F34" s="1">
        <v>9</v>
      </c>
      <c r="G34" s="3" t="b">
        <v>0</v>
      </c>
      <c r="H34" s="1">
        <v>0</v>
      </c>
      <c r="I34" s="1">
        <v>2</v>
      </c>
      <c r="J34" s="1">
        <v>0.38</v>
      </c>
      <c r="K34">
        <f>VLOOKUP($A34,'Temprorary Data'!$A:$G,2,FALSE)</f>
        <v>0</v>
      </c>
      <c r="L34">
        <f>VLOOKUP($A34,'Temprorary Data'!$A:$G,3,FALSE)</f>
        <v>0.76</v>
      </c>
      <c r="M34">
        <f>VLOOKUP($A34,'Temprorary Data'!$A:$G,4,FALSE)</f>
        <v>0.22389999999999999</v>
      </c>
      <c r="N34">
        <f>VLOOKUP($A34,'Temprorary Data'!$A:$G,5,FALSE)</f>
        <v>1</v>
      </c>
      <c r="O34">
        <f>VLOOKUP($A34,'Temprorary Data'!$A:$G,6,FALSE)</f>
        <v>19</v>
      </c>
      <c r="P34">
        <f>VLOOKUP($A34,'Temprorary Data'!$A:$G,7,FALSE)</f>
        <v>20</v>
      </c>
    </row>
    <row r="35" spans="1:16" ht="15.75" thickBot="1">
      <c r="A35" s="1">
        <v>34</v>
      </c>
      <c r="B35" s="2">
        <v>40545</v>
      </c>
      <c r="C35" s="1">
        <v>1</v>
      </c>
      <c r="D35" s="1">
        <v>0</v>
      </c>
      <c r="E35" s="1">
        <v>1</v>
      </c>
      <c r="F35" s="1">
        <v>10</v>
      </c>
      <c r="G35" s="3" t="b">
        <v>0</v>
      </c>
      <c r="H35" s="1">
        <v>0</v>
      </c>
      <c r="I35" s="1">
        <v>2</v>
      </c>
      <c r="J35" s="1">
        <v>0.36</v>
      </c>
      <c r="K35">
        <f>VLOOKUP($A35,'Temprorary Data'!$A:$G,2,FALSE)</f>
        <v>0.34849999999999998</v>
      </c>
      <c r="L35">
        <f>VLOOKUP($A35,'Temprorary Data'!$A:$G,3,FALSE)</f>
        <v>0.81</v>
      </c>
      <c r="M35">
        <f>VLOOKUP($A35,'Temprorary Data'!$A:$G,4,FALSE)</f>
        <v>0.22389999999999999</v>
      </c>
      <c r="N35">
        <f>VLOOKUP($A35,'Temprorary Data'!$A:$G,5,FALSE)</f>
        <v>7</v>
      </c>
      <c r="O35">
        <f>VLOOKUP($A35,'Temprorary Data'!$A:$G,6,FALSE)</f>
        <v>46</v>
      </c>
      <c r="P35">
        <f>VLOOKUP($A35,'Temprorary Data'!$A:$G,7,FALSE)</f>
        <v>53</v>
      </c>
    </row>
    <row r="36" spans="1:16" ht="15.75" thickBot="1">
      <c r="A36" s="1">
        <v>35</v>
      </c>
      <c r="B36" s="2">
        <v>40545</v>
      </c>
      <c r="C36" s="1">
        <v>1</v>
      </c>
      <c r="D36" s="1">
        <v>0</v>
      </c>
      <c r="E36" s="1">
        <v>1</v>
      </c>
      <c r="F36" s="1">
        <v>11</v>
      </c>
      <c r="G36" s="3" t="b">
        <v>0</v>
      </c>
      <c r="H36" s="1">
        <v>0</v>
      </c>
      <c r="I36" s="1">
        <v>2</v>
      </c>
      <c r="J36" s="1">
        <v>0.36</v>
      </c>
      <c r="K36">
        <f>VLOOKUP($A36,'Temprorary Data'!$A:$G,2,FALSE)</f>
        <v>0.33329999999999999</v>
      </c>
      <c r="L36">
        <f>VLOOKUP($A36,'Temprorary Data'!$A:$G,3,FALSE)</f>
        <v>0.71</v>
      </c>
      <c r="M36">
        <f>VLOOKUP($A36,'Temprorary Data'!$A:$G,4,FALSE)</f>
        <v>0.25369999999999998</v>
      </c>
      <c r="N36">
        <f>VLOOKUP($A36,'Temprorary Data'!$A:$G,5,FALSE)</f>
        <v>16</v>
      </c>
      <c r="O36">
        <f>VLOOKUP($A36,'Temprorary Data'!$A:$G,6,FALSE)</f>
        <v>54</v>
      </c>
      <c r="P36">
        <f>VLOOKUP($A36,'Temprorary Data'!$A:$G,7,FALSE)</f>
        <v>70</v>
      </c>
    </row>
    <row r="37" spans="1:16" ht="15.75" thickBot="1">
      <c r="A37" s="1">
        <v>36</v>
      </c>
      <c r="B37" s="2">
        <v>40545</v>
      </c>
      <c r="C37" s="1">
        <v>1</v>
      </c>
      <c r="D37" s="1">
        <v>0</v>
      </c>
      <c r="E37" s="1">
        <v>1</v>
      </c>
      <c r="F37" s="1">
        <v>12</v>
      </c>
      <c r="G37" s="3" t="b">
        <v>0</v>
      </c>
      <c r="H37" s="1">
        <v>0</v>
      </c>
      <c r="I37" s="1">
        <v>2</v>
      </c>
      <c r="J37" s="1">
        <v>0.36</v>
      </c>
      <c r="K37">
        <f>VLOOKUP($A37,'Temprorary Data'!$A:$G,2,FALSE)</f>
        <v>0.33329999999999999</v>
      </c>
      <c r="L37">
        <f>VLOOKUP($A37,'Temprorary Data'!$A:$G,3,FALSE)</f>
        <v>0.66</v>
      </c>
      <c r="M37">
        <f>VLOOKUP($A37,'Temprorary Data'!$A:$G,4,FALSE)</f>
        <v>0.29849999999999999</v>
      </c>
      <c r="N37">
        <f>VLOOKUP($A37,'Temprorary Data'!$A:$G,5,FALSE)</f>
        <v>20</v>
      </c>
      <c r="O37">
        <f>VLOOKUP($A37,'Temprorary Data'!$A:$G,6,FALSE)</f>
        <v>73</v>
      </c>
      <c r="P37">
        <f>VLOOKUP($A37,'Temprorary Data'!$A:$G,7,FALSE)</f>
        <v>93</v>
      </c>
    </row>
    <row r="38" spans="1:16" ht="15.75" thickBot="1">
      <c r="A38" s="1">
        <v>37</v>
      </c>
      <c r="B38" s="2">
        <v>40545</v>
      </c>
      <c r="C38" s="1">
        <v>1</v>
      </c>
      <c r="D38" s="1">
        <v>0</v>
      </c>
      <c r="E38" s="1">
        <v>1</v>
      </c>
      <c r="F38" s="1">
        <v>13</v>
      </c>
      <c r="G38" s="3" t="b">
        <v>0</v>
      </c>
      <c r="H38" s="1">
        <v>0</v>
      </c>
      <c r="I38" s="1">
        <v>2</v>
      </c>
      <c r="J38" s="1">
        <v>0.36</v>
      </c>
      <c r="K38">
        <f>VLOOKUP($A38,'Temprorary Data'!$A:$G,2,FALSE)</f>
        <v>0.34849999999999998</v>
      </c>
      <c r="L38">
        <f>VLOOKUP($A38,'Temprorary Data'!$A:$G,3,FALSE)</f>
        <v>0.66</v>
      </c>
      <c r="M38">
        <f>VLOOKUP($A38,'Temprorary Data'!$A:$G,4,FALSE)</f>
        <v>0.1343</v>
      </c>
      <c r="N38">
        <f>VLOOKUP($A38,'Temprorary Data'!$A:$G,5,FALSE)</f>
        <v>11</v>
      </c>
      <c r="O38">
        <f>VLOOKUP($A38,'Temprorary Data'!$A:$G,6,FALSE)</f>
        <v>64</v>
      </c>
      <c r="P38">
        <f>VLOOKUP($A38,'Temprorary Data'!$A:$G,7,FALSE)</f>
        <v>75</v>
      </c>
    </row>
    <row r="39" spans="1:16" ht="15.75" thickBot="1">
      <c r="A39" s="1">
        <v>38</v>
      </c>
      <c r="B39" s="2">
        <v>40545</v>
      </c>
      <c r="C39" s="1">
        <v>1</v>
      </c>
      <c r="D39" s="1">
        <v>0</v>
      </c>
      <c r="E39" s="1">
        <v>1</v>
      </c>
      <c r="F39" s="1">
        <v>14</v>
      </c>
      <c r="G39" s="3" t="b">
        <v>0</v>
      </c>
      <c r="H39" s="1">
        <v>0</v>
      </c>
      <c r="I39" s="1">
        <v>3</v>
      </c>
      <c r="J39" s="1">
        <v>0.36</v>
      </c>
      <c r="K39">
        <f>VLOOKUP($A39,'Temprorary Data'!$A:$G,2,FALSE)</f>
        <v>0</v>
      </c>
      <c r="L39">
        <f>VLOOKUP($A39,'Temprorary Data'!$A:$G,3,FALSE)</f>
        <v>0.76</v>
      </c>
      <c r="M39">
        <f>VLOOKUP($A39,'Temprorary Data'!$A:$G,4,FALSE)</f>
        <v>0.19400000000000001</v>
      </c>
      <c r="N39">
        <f>VLOOKUP($A39,'Temprorary Data'!$A:$G,5,FALSE)</f>
        <v>4</v>
      </c>
      <c r="O39">
        <f>VLOOKUP($A39,'Temprorary Data'!$A:$G,6,FALSE)</f>
        <v>55</v>
      </c>
      <c r="P39">
        <f>VLOOKUP($A39,'Temprorary Data'!$A:$G,7,FALSE)</f>
        <v>59</v>
      </c>
    </row>
    <row r="40" spans="1:16" ht="15.75" thickBot="1">
      <c r="A40" s="1">
        <v>39</v>
      </c>
      <c r="B40" s="2">
        <v>40545</v>
      </c>
      <c r="C40" s="1">
        <v>1</v>
      </c>
      <c r="D40" s="1">
        <v>0</v>
      </c>
      <c r="E40" s="1">
        <v>1</v>
      </c>
      <c r="F40" s="1">
        <v>15</v>
      </c>
      <c r="G40" s="3" t="b">
        <v>0</v>
      </c>
      <c r="H40" s="1">
        <v>0</v>
      </c>
      <c r="I40" s="1">
        <v>3</v>
      </c>
      <c r="J40" s="1">
        <v>0.34</v>
      </c>
      <c r="K40">
        <f>VLOOKUP($A40,'Temprorary Data'!$A:$G,2,FALSE)</f>
        <v>0.33329999999999999</v>
      </c>
      <c r="L40">
        <f>VLOOKUP($A40,'Temprorary Data'!$A:$G,3,FALSE)</f>
        <v>0.81</v>
      </c>
      <c r="M40">
        <f>VLOOKUP($A40,'Temprorary Data'!$A:$G,4,FALSE)</f>
        <v>0.16420000000000001</v>
      </c>
      <c r="N40">
        <f>VLOOKUP($A40,'Temprorary Data'!$A:$G,5,FALSE)</f>
        <v>19</v>
      </c>
      <c r="O40">
        <f>VLOOKUP($A40,'Temprorary Data'!$A:$G,6,FALSE)</f>
        <v>55</v>
      </c>
      <c r="P40">
        <f>VLOOKUP($A40,'Temprorary Data'!$A:$G,7,FALSE)</f>
        <v>74</v>
      </c>
    </row>
    <row r="41" spans="1:16" ht="15.75" thickBot="1">
      <c r="A41" s="1">
        <v>40</v>
      </c>
      <c r="B41" s="2">
        <v>40545</v>
      </c>
      <c r="C41" s="1">
        <v>1</v>
      </c>
      <c r="D41" s="1">
        <v>0</v>
      </c>
      <c r="E41" s="1">
        <v>1</v>
      </c>
      <c r="F41" s="1">
        <v>16</v>
      </c>
      <c r="G41" s="3" t="b">
        <v>0</v>
      </c>
      <c r="H41" s="1">
        <v>0</v>
      </c>
      <c r="I41" s="1">
        <v>3</v>
      </c>
      <c r="J41" s="1">
        <v>0.34</v>
      </c>
      <c r="K41">
        <f>VLOOKUP($A41,'Temprorary Data'!$A:$G,2,FALSE)</f>
        <v>0.33329999999999999</v>
      </c>
      <c r="L41">
        <f>VLOOKUP($A41,'Temprorary Data'!$A:$G,3,FALSE)</f>
        <v>0.71</v>
      </c>
      <c r="M41">
        <f>VLOOKUP($A41,'Temprorary Data'!$A:$G,4,FALSE)</f>
        <v>0.16420000000000001</v>
      </c>
      <c r="N41">
        <f>VLOOKUP($A41,'Temprorary Data'!$A:$G,5,FALSE)</f>
        <v>9</v>
      </c>
      <c r="O41">
        <f>VLOOKUP($A41,'Temprorary Data'!$A:$G,6,FALSE)</f>
        <v>67</v>
      </c>
      <c r="P41">
        <f>VLOOKUP($A41,'Temprorary Data'!$A:$G,7,FALSE)</f>
        <v>76</v>
      </c>
    </row>
    <row r="42" spans="1:16" ht="15.75" thickBot="1">
      <c r="A42" s="1">
        <v>41</v>
      </c>
      <c r="B42" s="2">
        <v>40545</v>
      </c>
      <c r="C42" s="1">
        <v>1</v>
      </c>
      <c r="D42" s="1">
        <v>0</v>
      </c>
      <c r="E42" s="1">
        <v>1</v>
      </c>
      <c r="F42" s="1">
        <v>17</v>
      </c>
      <c r="G42" s="3" t="b">
        <v>0</v>
      </c>
      <c r="H42" s="1">
        <v>0</v>
      </c>
      <c r="I42" s="1">
        <v>1</v>
      </c>
      <c r="J42" s="1">
        <v>0.34</v>
      </c>
      <c r="K42">
        <f>VLOOKUP($A42,'Temprorary Data'!$A:$G,2,FALSE)</f>
        <v>0.33329999999999999</v>
      </c>
      <c r="L42">
        <f>VLOOKUP($A42,'Temprorary Data'!$A:$G,3,FALSE)</f>
        <v>0.56999999999999995</v>
      </c>
      <c r="M42">
        <f>VLOOKUP($A42,'Temprorary Data'!$A:$G,4,FALSE)</f>
        <v>0.19400000000000001</v>
      </c>
      <c r="N42">
        <f>VLOOKUP($A42,'Temprorary Data'!$A:$G,5,FALSE)</f>
        <v>7</v>
      </c>
      <c r="O42">
        <f>VLOOKUP($A42,'Temprorary Data'!$A:$G,6,FALSE)</f>
        <v>58</v>
      </c>
      <c r="P42">
        <f>VLOOKUP($A42,'Temprorary Data'!$A:$G,7,FALSE)</f>
        <v>65</v>
      </c>
    </row>
    <row r="43" spans="1:16" ht="15.75" thickBot="1">
      <c r="A43" s="1">
        <v>42</v>
      </c>
      <c r="B43" s="2">
        <v>40545</v>
      </c>
      <c r="C43" s="1">
        <v>1</v>
      </c>
      <c r="D43" s="1">
        <v>0</v>
      </c>
      <c r="E43" s="1">
        <v>1</v>
      </c>
      <c r="F43" s="1">
        <v>18</v>
      </c>
      <c r="G43" s="3" t="b">
        <v>0</v>
      </c>
      <c r="H43" s="1">
        <v>0</v>
      </c>
      <c r="I43" s="1">
        <v>2</v>
      </c>
      <c r="J43" s="1">
        <v>0.36</v>
      </c>
      <c r="K43">
        <f>VLOOKUP($A43,'Temprorary Data'!$A:$G,2,FALSE)</f>
        <v>0.33329999999999999</v>
      </c>
      <c r="L43">
        <f>VLOOKUP($A43,'Temprorary Data'!$A:$G,3,FALSE)</f>
        <v>0.46</v>
      </c>
      <c r="M43">
        <f>VLOOKUP($A43,'Temprorary Data'!$A:$G,4,FALSE)</f>
        <v>0.32840000000000003</v>
      </c>
      <c r="N43">
        <f>VLOOKUP($A43,'Temprorary Data'!$A:$G,5,FALSE)</f>
        <v>10</v>
      </c>
      <c r="O43">
        <f>VLOOKUP($A43,'Temprorary Data'!$A:$G,6,FALSE)</f>
        <v>43</v>
      </c>
      <c r="P43">
        <f>VLOOKUP($A43,'Temprorary Data'!$A:$G,7,FALSE)</f>
        <v>53</v>
      </c>
    </row>
    <row r="44" spans="1:16" ht="15.75" thickBot="1">
      <c r="A44" s="1">
        <v>43</v>
      </c>
      <c r="B44" s="2">
        <v>40545</v>
      </c>
      <c r="C44" s="1">
        <v>1</v>
      </c>
      <c r="D44" s="1">
        <v>0</v>
      </c>
      <c r="E44" s="1">
        <v>1</v>
      </c>
      <c r="F44" s="1">
        <v>19</v>
      </c>
      <c r="G44" s="3" t="b">
        <v>0</v>
      </c>
      <c r="H44" s="1">
        <v>0</v>
      </c>
      <c r="I44" s="1">
        <v>1</v>
      </c>
      <c r="J44" s="1">
        <v>0.32</v>
      </c>
      <c r="K44">
        <f>VLOOKUP($A44,'Temprorary Data'!$A:$G,2,FALSE)</f>
        <v>0.28789999999999999</v>
      </c>
      <c r="L44">
        <f>VLOOKUP($A44,'Temprorary Data'!$A:$G,3,FALSE)</f>
        <v>0.42</v>
      </c>
      <c r="M44">
        <f>VLOOKUP($A44,'Temprorary Data'!$A:$G,4,FALSE)</f>
        <v>0.44779999999999998</v>
      </c>
      <c r="N44">
        <f>VLOOKUP($A44,'Temprorary Data'!$A:$G,5,FALSE)</f>
        <v>1</v>
      </c>
      <c r="O44">
        <f>VLOOKUP($A44,'Temprorary Data'!$A:$G,6,FALSE)</f>
        <v>29</v>
      </c>
      <c r="P44">
        <f>VLOOKUP($A44,'Temprorary Data'!$A:$G,7,FALSE)</f>
        <v>30</v>
      </c>
    </row>
    <row r="45" spans="1:16" ht="15.75" thickBot="1">
      <c r="A45" s="1">
        <v>44</v>
      </c>
      <c r="B45" s="2">
        <v>40545</v>
      </c>
      <c r="C45" s="1">
        <v>1</v>
      </c>
      <c r="D45" s="1">
        <v>0</v>
      </c>
      <c r="E45" s="1">
        <v>1</v>
      </c>
      <c r="F45" s="1">
        <v>20</v>
      </c>
      <c r="G45" s="3" t="b">
        <v>0</v>
      </c>
      <c r="H45" s="1">
        <v>0</v>
      </c>
      <c r="I45" s="1">
        <v>1</v>
      </c>
      <c r="J45" s="1">
        <v>0.3</v>
      </c>
      <c r="K45">
        <f>VLOOKUP($A45,'Temprorary Data'!$A:$G,2,FALSE)</f>
        <v>0</v>
      </c>
      <c r="L45">
        <f>VLOOKUP($A45,'Temprorary Data'!$A:$G,3,FALSE)</f>
        <v>0.39</v>
      </c>
      <c r="M45">
        <f>VLOOKUP($A45,'Temprorary Data'!$A:$G,4,FALSE)</f>
        <v>0.35820000000000002</v>
      </c>
      <c r="N45">
        <f>VLOOKUP($A45,'Temprorary Data'!$A:$G,5,FALSE)</f>
        <v>5</v>
      </c>
      <c r="O45">
        <f>VLOOKUP($A45,'Temprorary Data'!$A:$G,6,FALSE)</f>
        <v>17</v>
      </c>
      <c r="P45">
        <f>VLOOKUP($A45,'Temprorary Data'!$A:$G,7,FALSE)</f>
        <v>22</v>
      </c>
    </row>
    <row r="46" spans="1:16" ht="15.75" thickBot="1">
      <c r="A46" s="1">
        <v>45</v>
      </c>
      <c r="B46" s="2">
        <v>40545</v>
      </c>
      <c r="C46" s="1">
        <v>1</v>
      </c>
      <c r="D46" s="1">
        <v>0</v>
      </c>
      <c r="E46" s="1">
        <v>1</v>
      </c>
      <c r="F46" s="1">
        <v>21</v>
      </c>
      <c r="G46" s="3" t="b">
        <v>0</v>
      </c>
      <c r="H46" s="1">
        <v>0</v>
      </c>
      <c r="I46" s="1">
        <v>1</v>
      </c>
      <c r="J46" s="1">
        <v>0.26</v>
      </c>
      <c r="K46">
        <f>VLOOKUP($A46,'Temprorary Data'!$A:$G,2,FALSE)</f>
        <v>0.2273</v>
      </c>
      <c r="L46">
        <f>VLOOKUP($A46,'Temprorary Data'!$A:$G,3,FALSE)</f>
        <v>0.44</v>
      </c>
      <c r="M46">
        <f>VLOOKUP($A46,'Temprorary Data'!$A:$G,4,FALSE)</f>
        <v>0.32840000000000003</v>
      </c>
      <c r="N46">
        <f>VLOOKUP($A46,'Temprorary Data'!$A:$G,5,FALSE)</f>
        <v>11</v>
      </c>
      <c r="O46">
        <f>VLOOKUP($A46,'Temprorary Data'!$A:$G,6,FALSE)</f>
        <v>20</v>
      </c>
      <c r="P46">
        <f>VLOOKUP($A46,'Temprorary Data'!$A:$G,7,FALSE)</f>
        <v>31</v>
      </c>
    </row>
    <row r="47" spans="1:16" ht="15.75" thickBot="1">
      <c r="A47" s="1">
        <v>46</v>
      </c>
      <c r="B47" s="2">
        <v>40545</v>
      </c>
      <c r="C47" s="1">
        <v>1</v>
      </c>
      <c r="D47" s="1">
        <v>0</v>
      </c>
      <c r="E47" s="1">
        <v>1</v>
      </c>
      <c r="F47" s="1">
        <v>22</v>
      </c>
      <c r="G47" s="3" t="b">
        <v>0</v>
      </c>
      <c r="H47" s="1">
        <v>0</v>
      </c>
      <c r="I47" s="1">
        <v>1</v>
      </c>
      <c r="J47" s="1">
        <v>0.24</v>
      </c>
      <c r="K47">
        <f>VLOOKUP($A47,'Temprorary Data'!$A:$G,2,FALSE)</f>
        <v>0.21210000000000001</v>
      </c>
      <c r="L47">
        <f>VLOOKUP($A47,'Temprorary Data'!$A:$G,3,FALSE)</f>
        <v>0.44</v>
      </c>
      <c r="M47">
        <f>VLOOKUP($A47,'Temprorary Data'!$A:$G,4,FALSE)</f>
        <v>0.29849999999999999</v>
      </c>
      <c r="N47">
        <f>VLOOKUP($A47,'Temprorary Data'!$A:$G,5,FALSE)</f>
        <v>0</v>
      </c>
      <c r="O47">
        <f>VLOOKUP($A47,'Temprorary Data'!$A:$G,6,FALSE)</f>
        <v>9</v>
      </c>
      <c r="P47">
        <f>VLOOKUP($A47,'Temprorary Data'!$A:$G,7,FALSE)</f>
        <v>9</v>
      </c>
    </row>
    <row r="48" spans="1:16" ht="15.75" thickBot="1">
      <c r="A48" s="1">
        <v>47</v>
      </c>
      <c r="B48" s="2">
        <v>40545</v>
      </c>
      <c r="C48" s="1">
        <v>1</v>
      </c>
      <c r="D48" s="1">
        <v>0</v>
      </c>
      <c r="E48" s="1">
        <v>1</v>
      </c>
      <c r="F48" s="1">
        <v>23</v>
      </c>
      <c r="G48" s="3" t="b">
        <v>0</v>
      </c>
      <c r="H48" s="1">
        <v>0</v>
      </c>
      <c r="I48" s="1">
        <v>1</v>
      </c>
      <c r="J48" s="1">
        <v>0.22</v>
      </c>
      <c r="K48">
        <f>VLOOKUP($A48,'Temprorary Data'!$A:$G,2,FALSE)</f>
        <v>0.2273</v>
      </c>
      <c r="L48">
        <f>VLOOKUP($A48,'Temprorary Data'!$A:$G,3,FALSE)</f>
        <v>0.47</v>
      </c>
      <c r="M48">
        <f>VLOOKUP($A48,'Temprorary Data'!$A:$G,4,FALSE)</f>
        <v>0.16420000000000001</v>
      </c>
      <c r="N48">
        <f>VLOOKUP($A48,'Temprorary Data'!$A:$G,5,FALSE)</f>
        <v>0</v>
      </c>
      <c r="O48">
        <f>VLOOKUP($A48,'Temprorary Data'!$A:$G,6,FALSE)</f>
        <v>8</v>
      </c>
      <c r="P48">
        <f>VLOOKUP($A48,'Temprorary Data'!$A:$G,7,FALSE)</f>
        <v>8</v>
      </c>
    </row>
    <row r="49" spans="1:16" ht="15.75" thickBot="1">
      <c r="A49" s="1">
        <v>48</v>
      </c>
      <c r="B49" s="2">
        <v>40546</v>
      </c>
      <c r="C49" s="1">
        <v>1</v>
      </c>
      <c r="D49" s="1">
        <v>0</v>
      </c>
      <c r="E49" s="1">
        <v>1</v>
      </c>
      <c r="F49" s="1">
        <v>0</v>
      </c>
      <c r="G49" s="3" t="b">
        <v>0</v>
      </c>
      <c r="H49" s="1">
        <v>1</v>
      </c>
      <c r="I49" s="1">
        <v>1</v>
      </c>
      <c r="J49" s="1">
        <v>0.22</v>
      </c>
      <c r="K49">
        <f>VLOOKUP($A49,'Temprorary Data'!$A:$G,2,FALSE)</f>
        <v>0.19700000000000001</v>
      </c>
      <c r="L49">
        <f>VLOOKUP($A49,'Temprorary Data'!$A:$G,3,FALSE)</f>
        <v>0.44</v>
      </c>
      <c r="M49">
        <f>VLOOKUP($A49,'Temprorary Data'!$A:$G,4,FALSE)</f>
        <v>0.35820000000000002</v>
      </c>
      <c r="N49">
        <f>VLOOKUP($A49,'Temprorary Data'!$A:$G,5,FALSE)</f>
        <v>0</v>
      </c>
      <c r="O49">
        <f>VLOOKUP($A49,'Temprorary Data'!$A:$G,6,FALSE)</f>
        <v>5</v>
      </c>
      <c r="P49">
        <f>VLOOKUP($A49,'Temprorary Data'!$A:$G,7,FALSE)</f>
        <v>5</v>
      </c>
    </row>
    <row r="50" spans="1:16" ht="15.75" thickBot="1">
      <c r="A50" s="1">
        <v>49</v>
      </c>
      <c r="B50" s="2">
        <v>40546</v>
      </c>
      <c r="C50" s="1">
        <v>1</v>
      </c>
      <c r="D50" s="1">
        <v>0</v>
      </c>
      <c r="E50" s="1">
        <v>1</v>
      </c>
      <c r="F50" s="1">
        <v>1</v>
      </c>
      <c r="G50" s="3" t="b">
        <v>0</v>
      </c>
      <c r="H50" s="1">
        <v>1</v>
      </c>
      <c r="I50" s="1">
        <v>1</v>
      </c>
      <c r="J50" s="1">
        <v>0.2</v>
      </c>
      <c r="K50">
        <f>VLOOKUP($A50,'Temprorary Data'!$A:$G,2,FALSE)</f>
        <v>0</v>
      </c>
      <c r="L50">
        <f>VLOOKUP($A50,'Temprorary Data'!$A:$G,3,FALSE)</f>
        <v>0.44</v>
      </c>
      <c r="M50">
        <f>VLOOKUP($A50,'Temprorary Data'!$A:$G,4,FALSE)</f>
        <v>0.41789999999999999</v>
      </c>
      <c r="N50">
        <f>VLOOKUP($A50,'Temprorary Data'!$A:$G,5,FALSE)</f>
        <v>0</v>
      </c>
      <c r="O50">
        <f>VLOOKUP($A50,'Temprorary Data'!$A:$G,6,FALSE)</f>
        <v>2</v>
      </c>
      <c r="P50">
        <f>VLOOKUP($A50,'Temprorary Data'!$A:$G,7,FALSE)</f>
        <v>2</v>
      </c>
    </row>
    <row r="51" spans="1:16" ht="15.75" thickBot="1">
      <c r="A51" s="1">
        <v>50</v>
      </c>
      <c r="B51" s="2">
        <v>40546</v>
      </c>
      <c r="C51" s="1">
        <v>1</v>
      </c>
      <c r="D51" s="1">
        <v>0</v>
      </c>
      <c r="E51" s="1">
        <v>1</v>
      </c>
      <c r="F51" s="1">
        <v>4</v>
      </c>
      <c r="G51" s="3" t="b">
        <v>0</v>
      </c>
      <c r="H51" s="1">
        <v>1</v>
      </c>
      <c r="I51" s="1">
        <v>1</v>
      </c>
      <c r="J51" s="1">
        <v>0.16</v>
      </c>
      <c r="K51">
        <f>VLOOKUP($A51,'Temprorary Data'!$A:$G,2,FALSE)</f>
        <v>0.13639999999999999</v>
      </c>
      <c r="L51">
        <f>VLOOKUP($A51,'Temprorary Data'!$A:$G,3,FALSE)</f>
        <v>0.47</v>
      </c>
      <c r="M51">
        <f>VLOOKUP($A51,'Temprorary Data'!$A:$G,4,FALSE)</f>
        <v>0.3881</v>
      </c>
      <c r="N51">
        <f>VLOOKUP($A51,'Temprorary Data'!$A:$G,5,FALSE)</f>
        <v>0</v>
      </c>
      <c r="O51">
        <f>VLOOKUP($A51,'Temprorary Data'!$A:$G,6,FALSE)</f>
        <v>1</v>
      </c>
      <c r="P51">
        <f>VLOOKUP($A51,'Temprorary Data'!$A:$G,7,FALSE)</f>
        <v>1</v>
      </c>
    </row>
    <row r="52" spans="1:16" ht="15.75" thickBot="1">
      <c r="A52" s="1">
        <v>51</v>
      </c>
      <c r="B52" s="2">
        <v>40546</v>
      </c>
      <c r="C52" s="1">
        <v>1</v>
      </c>
      <c r="D52" s="1">
        <v>0</v>
      </c>
      <c r="E52" s="1">
        <v>1</v>
      </c>
      <c r="F52" s="1">
        <v>5</v>
      </c>
      <c r="G52" s="3" t="b">
        <v>0</v>
      </c>
      <c r="H52" s="1">
        <v>1</v>
      </c>
      <c r="I52" s="1">
        <v>1</v>
      </c>
      <c r="J52" s="1">
        <v>0.16</v>
      </c>
      <c r="K52">
        <f>VLOOKUP($A52,'Temprorary Data'!$A:$G,2,FALSE)</f>
        <v>0.13639999999999999</v>
      </c>
      <c r="L52">
        <f>VLOOKUP($A52,'Temprorary Data'!$A:$G,3,FALSE)</f>
        <v>0.47</v>
      </c>
      <c r="M52">
        <f>VLOOKUP($A52,'Temprorary Data'!$A:$G,4,FALSE)</f>
        <v>0.28360000000000002</v>
      </c>
      <c r="N52">
        <f>VLOOKUP($A52,'Temprorary Data'!$A:$G,5,FALSE)</f>
        <v>0</v>
      </c>
      <c r="O52">
        <f>VLOOKUP($A52,'Temprorary Data'!$A:$G,6,FALSE)</f>
        <v>3</v>
      </c>
      <c r="P52">
        <f>VLOOKUP($A52,'Temprorary Data'!$A:$G,7,FALSE)</f>
        <v>3</v>
      </c>
    </row>
    <row r="53" spans="1:16" ht="15.75" thickBot="1">
      <c r="A53" s="1">
        <v>52</v>
      </c>
      <c r="B53" s="2">
        <v>40546</v>
      </c>
      <c r="C53" s="1">
        <v>1</v>
      </c>
      <c r="D53" s="1">
        <v>0</v>
      </c>
      <c r="E53" s="1">
        <v>1</v>
      </c>
      <c r="F53" s="1">
        <v>6</v>
      </c>
      <c r="G53" s="3" t="b">
        <v>0</v>
      </c>
      <c r="H53" s="1">
        <v>1</v>
      </c>
      <c r="I53" s="1">
        <v>1</v>
      </c>
      <c r="J53" s="1">
        <v>0.14000000000000001</v>
      </c>
      <c r="K53">
        <f>VLOOKUP($A53,'Temprorary Data'!$A:$G,2,FALSE)</f>
        <v>0.1061</v>
      </c>
      <c r="L53">
        <f>VLOOKUP($A53,'Temprorary Data'!$A:$G,3,FALSE)</f>
        <v>0.5</v>
      </c>
      <c r="M53">
        <f>VLOOKUP($A53,'Temprorary Data'!$A:$G,4,FALSE)</f>
        <v>0.3881</v>
      </c>
      <c r="N53">
        <f>VLOOKUP($A53,'Temprorary Data'!$A:$G,5,FALSE)</f>
        <v>0</v>
      </c>
      <c r="O53">
        <f>VLOOKUP($A53,'Temprorary Data'!$A:$G,6,FALSE)</f>
        <v>30</v>
      </c>
      <c r="P53">
        <f>VLOOKUP($A53,'Temprorary Data'!$A:$G,7,FALSE)</f>
        <v>30</v>
      </c>
    </row>
    <row r="54" spans="1:16" ht="15.75" thickBot="1">
      <c r="A54" s="1">
        <v>53</v>
      </c>
      <c r="B54" s="2">
        <v>40546</v>
      </c>
      <c r="C54" s="1">
        <v>1</v>
      </c>
      <c r="D54" s="1">
        <v>0</v>
      </c>
      <c r="E54" s="1">
        <v>1</v>
      </c>
      <c r="F54" s="1">
        <v>7</v>
      </c>
      <c r="G54" s="3" t="b">
        <v>0</v>
      </c>
      <c r="H54" s="1">
        <v>1</v>
      </c>
      <c r="I54" s="1">
        <v>1</v>
      </c>
      <c r="J54" s="1">
        <v>0.14000000000000001</v>
      </c>
      <c r="K54">
        <f>VLOOKUP($A54,'Temprorary Data'!$A:$G,2,FALSE)</f>
        <v>0.13639999999999999</v>
      </c>
      <c r="L54">
        <f>VLOOKUP($A54,'Temprorary Data'!$A:$G,3,FALSE)</f>
        <v>0.5</v>
      </c>
      <c r="M54">
        <f>VLOOKUP($A54,'Temprorary Data'!$A:$G,4,FALSE)</f>
        <v>0.19400000000000001</v>
      </c>
      <c r="N54">
        <f>VLOOKUP($A54,'Temprorary Data'!$A:$G,5,FALSE)</f>
        <v>1</v>
      </c>
      <c r="O54">
        <f>VLOOKUP($A54,'Temprorary Data'!$A:$G,6,FALSE)</f>
        <v>63</v>
      </c>
      <c r="P54">
        <f>VLOOKUP($A54,'Temprorary Data'!$A:$G,7,FALSE)</f>
        <v>64</v>
      </c>
    </row>
    <row r="55" spans="1:16" ht="15.75" thickBot="1">
      <c r="A55" s="1">
        <v>54</v>
      </c>
      <c r="B55" s="2">
        <v>40546</v>
      </c>
      <c r="C55" s="1">
        <v>1</v>
      </c>
      <c r="D55" s="1">
        <v>0</v>
      </c>
      <c r="E55" s="1">
        <v>1</v>
      </c>
      <c r="F55" s="1">
        <v>8</v>
      </c>
      <c r="G55" s="3" t="b">
        <v>0</v>
      </c>
      <c r="H55" s="1">
        <v>1</v>
      </c>
      <c r="I55" s="1">
        <v>1</v>
      </c>
      <c r="J55" s="1">
        <v>0.14000000000000001</v>
      </c>
      <c r="K55">
        <f>VLOOKUP($A55,'Temprorary Data'!$A:$G,2,FALSE)</f>
        <v>0.1212</v>
      </c>
      <c r="L55">
        <f>VLOOKUP($A55,'Temprorary Data'!$A:$G,3,FALSE)</f>
        <v>0.5</v>
      </c>
      <c r="M55">
        <f>VLOOKUP($A55,'Temprorary Data'!$A:$G,4,FALSE)</f>
        <v>0.28360000000000002</v>
      </c>
      <c r="N55">
        <f>VLOOKUP($A55,'Temprorary Data'!$A:$G,5,FALSE)</f>
        <v>1</v>
      </c>
      <c r="O55">
        <f>VLOOKUP($A55,'Temprorary Data'!$A:$G,6,FALSE)</f>
        <v>153</v>
      </c>
      <c r="P55">
        <f>VLOOKUP($A55,'Temprorary Data'!$A:$G,7,FALSE)</f>
        <v>154</v>
      </c>
    </row>
    <row r="56" spans="1:16" ht="15.75" thickBot="1">
      <c r="A56" s="1">
        <v>55</v>
      </c>
      <c r="B56" s="2">
        <v>40546</v>
      </c>
      <c r="C56" s="1">
        <v>1</v>
      </c>
      <c r="D56" s="1">
        <v>0</v>
      </c>
      <c r="E56" s="1">
        <v>1</v>
      </c>
      <c r="F56" s="1">
        <v>9</v>
      </c>
      <c r="G56" s="3" t="b">
        <v>0</v>
      </c>
      <c r="H56" s="1">
        <v>1</v>
      </c>
      <c r="I56" s="1">
        <v>1</v>
      </c>
      <c r="J56" s="1">
        <v>0.16</v>
      </c>
      <c r="K56">
        <f>VLOOKUP($A56,'Temprorary Data'!$A:$G,2,FALSE)</f>
        <v>0.13639999999999999</v>
      </c>
      <c r="L56">
        <f>VLOOKUP($A56,'Temprorary Data'!$A:$G,3,FALSE)</f>
        <v>0.43</v>
      </c>
      <c r="M56">
        <f>VLOOKUP($A56,'Temprorary Data'!$A:$G,4,FALSE)</f>
        <v>0.3881</v>
      </c>
      <c r="N56">
        <f>VLOOKUP($A56,'Temprorary Data'!$A:$G,5,FALSE)</f>
        <v>7</v>
      </c>
      <c r="O56">
        <f>VLOOKUP($A56,'Temprorary Data'!$A:$G,6,FALSE)</f>
        <v>81</v>
      </c>
      <c r="P56">
        <f>VLOOKUP($A56,'Temprorary Data'!$A:$G,7,FALSE)</f>
        <v>88</v>
      </c>
    </row>
    <row r="57" spans="1:16" ht="15.75" thickBot="1">
      <c r="A57" s="1">
        <v>56</v>
      </c>
      <c r="B57" s="2">
        <v>40546</v>
      </c>
      <c r="C57" s="1">
        <v>1</v>
      </c>
      <c r="D57" s="1">
        <v>0</v>
      </c>
      <c r="E57" s="1">
        <v>1</v>
      </c>
      <c r="F57" s="1">
        <v>10</v>
      </c>
      <c r="G57" s="3" t="b">
        <v>0</v>
      </c>
      <c r="H57" s="1">
        <v>1</v>
      </c>
      <c r="I57" s="1">
        <v>1</v>
      </c>
      <c r="J57" s="1">
        <v>0.18</v>
      </c>
      <c r="K57">
        <f>VLOOKUP($A57,'Temprorary Data'!$A:$G,2,FALSE)</f>
        <v>0.16669999999999999</v>
      </c>
      <c r="L57">
        <f>VLOOKUP($A57,'Temprorary Data'!$A:$G,3,FALSE)</f>
        <v>0.43</v>
      </c>
      <c r="M57">
        <f>VLOOKUP($A57,'Temprorary Data'!$A:$G,4,FALSE)</f>
        <v>0.25369999999999998</v>
      </c>
      <c r="N57">
        <f>VLOOKUP($A57,'Temprorary Data'!$A:$G,5,FALSE)</f>
        <v>11</v>
      </c>
      <c r="O57">
        <f>VLOOKUP($A57,'Temprorary Data'!$A:$G,6,FALSE)</f>
        <v>33</v>
      </c>
      <c r="P57">
        <f>VLOOKUP($A57,'Temprorary Data'!$A:$G,7,FALSE)</f>
        <v>44</v>
      </c>
    </row>
    <row r="58" spans="1:16" ht="15.75" thickBot="1">
      <c r="A58" s="1">
        <v>57</v>
      </c>
      <c r="B58" s="2">
        <v>40546</v>
      </c>
      <c r="C58" s="1">
        <v>1</v>
      </c>
      <c r="D58" s="1">
        <v>0</v>
      </c>
      <c r="E58" s="1">
        <v>1</v>
      </c>
      <c r="F58" s="1">
        <v>11</v>
      </c>
      <c r="G58" s="3" t="b">
        <v>0</v>
      </c>
      <c r="H58" s="1">
        <v>1</v>
      </c>
      <c r="I58" s="1">
        <v>1</v>
      </c>
      <c r="J58" s="1">
        <v>0.2</v>
      </c>
      <c r="K58">
        <f>VLOOKUP($A58,'Temprorary Data'!$A:$G,2,FALSE)</f>
        <v>0.18179999999999999</v>
      </c>
      <c r="L58">
        <f>VLOOKUP($A58,'Temprorary Data'!$A:$G,3,FALSE)</f>
        <v>0.4</v>
      </c>
      <c r="M58">
        <f>VLOOKUP($A58,'Temprorary Data'!$A:$G,4,FALSE)</f>
        <v>0.32840000000000003</v>
      </c>
      <c r="N58">
        <f>VLOOKUP($A58,'Temprorary Data'!$A:$G,5,FALSE)</f>
        <v>10</v>
      </c>
      <c r="O58">
        <f>VLOOKUP($A58,'Temprorary Data'!$A:$G,6,FALSE)</f>
        <v>41</v>
      </c>
      <c r="P58">
        <f>VLOOKUP($A58,'Temprorary Data'!$A:$G,7,FALSE)</f>
        <v>51</v>
      </c>
    </row>
    <row r="59" spans="1:16" ht="15.75" thickBot="1">
      <c r="A59" s="1">
        <v>58</v>
      </c>
      <c r="B59" s="2">
        <v>40546</v>
      </c>
      <c r="C59" s="1">
        <v>1</v>
      </c>
      <c r="D59" s="1">
        <v>0</v>
      </c>
      <c r="E59" s="1">
        <v>1</v>
      </c>
      <c r="F59" s="1">
        <v>12</v>
      </c>
      <c r="G59" s="3" t="b">
        <v>0</v>
      </c>
      <c r="H59" s="1">
        <v>1</v>
      </c>
      <c r="I59" s="1">
        <v>1</v>
      </c>
      <c r="J59" s="1">
        <v>0.22</v>
      </c>
      <c r="K59">
        <f>VLOOKUP($A59,'Temprorary Data'!$A:$G,2,FALSE)</f>
        <v>0.21210000000000001</v>
      </c>
      <c r="L59">
        <f>VLOOKUP($A59,'Temprorary Data'!$A:$G,3,FALSE)</f>
        <v>0.35</v>
      </c>
      <c r="M59">
        <f>VLOOKUP($A59,'Temprorary Data'!$A:$G,4,FALSE)</f>
        <v>0.29849999999999999</v>
      </c>
      <c r="N59">
        <f>VLOOKUP($A59,'Temprorary Data'!$A:$G,5,FALSE)</f>
        <v>13</v>
      </c>
      <c r="O59">
        <f>VLOOKUP($A59,'Temprorary Data'!$A:$G,6,FALSE)</f>
        <v>48</v>
      </c>
      <c r="P59">
        <f>VLOOKUP($A59,'Temprorary Data'!$A:$G,7,FALSE)</f>
        <v>61</v>
      </c>
    </row>
    <row r="60" spans="1:16" ht="15.75" thickBot="1">
      <c r="A60" s="1">
        <v>59</v>
      </c>
      <c r="B60" s="2">
        <v>40546</v>
      </c>
      <c r="C60" s="1">
        <v>1</v>
      </c>
      <c r="D60" s="1">
        <v>0</v>
      </c>
      <c r="E60" s="1">
        <v>1</v>
      </c>
      <c r="F60" s="1">
        <v>13</v>
      </c>
      <c r="G60" s="3" t="b">
        <v>0</v>
      </c>
      <c r="H60" s="1">
        <v>1</v>
      </c>
      <c r="I60" s="1">
        <v>1</v>
      </c>
      <c r="J60" s="1">
        <v>0.24</v>
      </c>
      <c r="K60">
        <f>VLOOKUP($A60,'Temprorary Data'!$A:$G,2,FALSE)</f>
        <v>0</v>
      </c>
      <c r="L60">
        <f>VLOOKUP($A60,'Temprorary Data'!$A:$G,3,FALSE)</f>
        <v>0.35</v>
      </c>
      <c r="M60">
        <f>VLOOKUP($A60,'Temprorary Data'!$A:$G,4,FALSE)</f>
        <v>0.28360000000000002</v>
      </c>
      <c r="N60">
        <f>VLOOKUP($A60,'Temprorary Data'!$A:$G,5,FALSE)</f>
        <v>8</v>
      </c>
      <c r="O60">
        <f>VLOOKUP($A60,'Temprorary Data'!$A:$G,6,FALSE)</f>
        <v>53</v>
      </c>
      <c r="P60">
        <f>VLOOKUP($A60,'Temprorary Data'!$A:$G,7,FALSE)</f>
        <v>61</v>
      </c>
    </row>
    <row r="61" spans="1:16" ht="15.75" thickBot="1">
      <c r="A61" s="1">
        <v>60</v>
      </c>
      <c r="B61" s="2">
        <v>40546</v>
      </c>
      <c r="C61" s="1">
        <v>1</v>
      </c>
      <c r="D61" s="1">
        <v>0</v>
      </c>
      <c r="E61" s="1">
        <v>1</v>
      </c>
      <c r="F61" s="1">
        <v>14</v>
      </c>
      <c r="G61" s="3" t="b">
        <v>0</v>
      </c>
      <c r="H61" s="1">
        <v>1</v>
      </c>
      <c r="I61" s="1">
        <v>1</v>
      </c>
      <c r="J61" s="1">
        <v>0.26</v>
      </c>
      <c r="K61">
        <f>VLOOKUP($A61,'Temprorary Data'!$A:$G,2,FALSE)</f>
        <v>0.2424</v>
      </c>
      <c r="L61">
        <f>VLOOKUP($A61,'Temprorary Data'!$A:$G,3,FALSE)</f>
        <v>0.3</v>
      </c>
      <c r="M61">
        <f>VLOOKUP($A61,'Temprorary Data'!$A:$G,4,FALSE)</f>
        <v>0.28360000000000002</v>
      </c>
      <c r="N61">
        <f>VLOOKUP($A61,'Temprorary Data'!$A:$G,5,FALSE)</f>
        <v>11</v>
      </c>
      <c r="O61">
        <f>VLOOKUP($A61,'Temprorary Data'!$A:$G,6,FALSE)</f>
        <v>66</v>
      </c>
      <c r="P61">
        <f>VLOOKUP($A61,'Temprorary Data'!$A:$G,7,FALSE)</f>
        <v>77</v>
      </c>
    </row>
    <row r="62" spans="1:16" ht="15.75" thickBot="1">
      <c r="A62" s="1">
        <v>61</v>
      </c>
      <c r="B62" s="2">
        <v>40546</v>
      </c>
      <c r="C62" s="1">
        <v>1</v>
      </c>
      <c r="D62" s="1">
        <v>0</v>
      </c>
      <c r="E62" s="1">
        <v>1</v>
      </c>
      <c r="F62" s="1">
        <v>15</v>
      </c>
      <c r="G62" s="3" t="b">
        <v>0</v>
      </c>
      <c r="H62" s="1">
        <v>1</v>
      </c>
      <c r="I62" s="1">
        <v>1</v>
      </c>
      <c r="J62" s="1">
        <v>0.26</v>
      </c>
      <c r="K62">
        <f>VLOOKUP($A62,'Temprorary Data'!$A:$G,2,FALSE)</f>
        <v>0.2424</v>
      </c>
      <c r="L62">
        <f>VLOOKUP($A62,'Temprorary Data'!$A:$G,3,FALSE)</f>
        <v>0.3</v>
      </c>
      <c r="M62">
        <f>VLOOKUP($A62,'Temprorary Data'!$A:$G,4,FALSE)</f>
        <v>0.25369999999999998</v>
      </c>
      <c r="N62">
        <f>VLOOKUP($A62,'Temprorary Data'!$A:$G,5,FALSE)</f>
        <v>14</v>
      </c>
      <c r="O62">
        <f>VLOOKUP($A62,'Temprorary Data'!$A:$G,6,FALSE)</f>
        <v>58</v>
      </c>
      <c r="P62">
        <f>VLOOKUP($A62,'Temprorary Data'!$A:$G,7,FALSE)</f>
        <v>72</v>
      </c>
    </row>
    <row r="63" spans="1:16" ht="15.75" thickBot="1">
      <c r="A63" s="1">
        <v>62</v>
      </c>
      <c r="B63" s="2">
        <v>40546</v>
      </c>
      <c r="C63" s="1">
        <v>1</v>
      </c>
      <c r="D63" s="1">
        <v>0</v>
      </c>
      <c r="E63" s="1">
        <v>1</v>
      </c>
      <c r="F63" s="1">
        <v>16</v>
      </c>
      <c r="G63" s="3" t="b">
        <v>0</v>
      </c>
      <c r="H63" s="1">
        <v>1</v>
      </c>
      <c r="I63" s="1">
        <v>1</v>
      </c>
      <c r="J63" s="1">
        <v>0.26</v>
      </c>
      <c r="K63">
        <f>VLOOKUP($A63,'Temprorary Data'!$A:$G,2,FALSE)</f>
        <v>0.2424</v>
      </c>
      <c r="L63">
        <f>VLOOKUP($A63,'Temprorary Data'!$A:$G,3,FALSE)</f>
        <v>0.3</v>
      </c>
      <c r="M63">
        <f>VLOOKUP($A63,'Temprorary Data'!$A:$G,4,FALSE)</f>
        <v>0.25369999999999998</v>
      </c>
      <c r="N63">
        <f>VLOOKUP($A63,'Temprorary Data'!$A:$G,5,FALSE)</f>
        <v>9</v>
      </c>
      <c r="O63">
        <f>VLOOKUP($A63,'Temprorary Data'!$A:$G,6,FALSE)</f>
        <v>67</v>
      </c>
      <c r="P63">
        <f>VLOOKUP($A63,'Temprorary Data'!$A:$G,7,FALSE)</f>
        <v>76</v>
      </c>
    </row>
    <row r="64" spans="1:16" ht="15.75" thickBot="1">
      <c r="A64" s="1">
        <v>63</v>
      </c>
      <c r="B64" s="2">
        <v>40546</v>
      </c>
      <c r="C64" s="1">
        <v>1</v>
      </c>
      <c r="D64" s="1">
        <v>0</v>
      </c>
      <c r="E64" s="1">
        <v>1</v>
      </c>
      <c r="F64" s="1">
        <v>17</v>
      </c>
      <c r="G64" s="3" t="b">
        <v>0</v>
      </c>
      <c r="H64" s="1">
        <v>1</v>
      </c>
      <c r="I64" s="1">
        <v>1</v>
      </c>
      <c r="J64" s="1">
        <v>0.24</v>
      </c>
      <c r="K64">
        <f>VLOOKUP($A64,'Temprorary Data'!$A:$G,2,FALSE)</f>
        <v>0.2273</v>
      </c>
      <c r="L64">
        <f>VLOOKUP($A64,'Temprorary Data'!$A:$G,3,FALSE)</f>
        <v>0.3</v>
      </c>
      <c r="M64">
        <f>VLOOKUP($A64,'Temprorary Data'!$A:$G,4,FALSE)</f>
        <v>0.22389999999999999</v>
      </c>
      <c r="N64">
        <f>VLOOKUP($A64,'Temprorary Data'!$A:$G,5,FALSE)</f>
        <v>11</v>
      </c>
      <c r="O64">
        <f>VLOOKUP($A64,'Temprorary Data'!$A:$G,6,FALSE)</f>
        <v>146</v>
      </c>
      <c r="P64">
        <f>VLOOKUP($A64,'Temprorary Data'!$A:$G,7,FALSE)</f>
        <v>157</v>
      </c>
    </row>
    <row r="65" spans="1:16" ht="15.75" thickBot="1">
      <c r="A65" s="1">
        <v>64</v>
      </c>
      <c r="B65" s="2">
        <v>40546</v>
      </c>
      <c r="C65" s="1">
        <v>1</v>
      </c>
      <c r="D65" s="1">
        <v>0</v>
      </c>
      <c r="E65" s="1">
        <v>1</v>
      </c>
      <c r="F65" s="1">
        <v>18</v>
      </c>
      <c r="G65" s="3" t="b">
        <v>0</v>
      </c>
      <c r="H65" s="1">
        <v>1</v>
      </c>
      <c r="I65" s="1">
        <v>1</v>
      </c>
      <c r="J65" s="1">
        <v>0.24</v>
      </c>
      <c r="K65">
        <f>VLOOKUP($A65,'Temprorary Data'!$A:$G,2,FALSE)</f>
        <v>0.2576</v>
      </c>
      <c r="L65">
        <f>VLOOKUP($A65,'Temprorary Data'!$A:$G,3,FALSE)</f>
        <v>0.32</v>
      </c>
      <c r="M65">
        <f>VLOOKUP($A65,'Temprorary Data'!$A:$G,4,FALSE)</f>
        <v>0.1045</v>
      </c>
      <c r="N65">
        <f>VLOOKUP($A65,'Temprorary Data'!$A:$G,5,FALSE)</f>
        <v>9</v>
      </c>
      <c r="O65">
        <f>VLOOKUP($A65,'Temprorary Data'!$A:$G,6,FALSE)</f>
        <v>148</v>
      </c>
      <c r="P65">
        <f>VLOOKUP($A65,'Temprorary Data'!$A:$G,7,FALSE)</f>
        <v>157</v>
      </c>
    </row>
    <row r="66" spans="1:16" ht="15.75" thickBot="1">
      <c r="A66" s="1">
        <v>65</v>
      </c>
      <c r="B66" s="2">
        <v>40546</v>
      </c>
      <c r="C66" s="1">
        <v>1</v>
      </c>
      <c r="D66" s="1">
        <v>0</v>
      </c>
      <c r="E66" s="1">
        <v>1</v>
      </c>
      <c r="F66" s="1">
        <v>19</v>
      </c>
      <c r="G66" s="3" t="b">
        <v>0</v>
      </c>
      <c r="H66" s="1">
        <v>1</v>
      </c>
      <c r="I66" s="1">
        <v>1</v>
      </c>
      <c r="J66" s="1">
        <v>0.2</v>
      </c>
      <c r="K66">
        <f>VLOOKUP($A66,'Temprorary Data'!$A:$G,2,FALSE)</f>
        <v>0.2576</v>
      </c>
      <c r="L66">
        <f>VLOOKUP($A66,'Temprorary Data'!$A:$G,3,FALSE)</f>
        <v>0.47</v>
      </c>
      <c r="M66">
        <f>VLOOKUP($A66,'Temprorary Data'!$A:$G,4,FALSE)</f>
        <v>0</v>
      </c>
      <c r="N66">
        <f>VLOOKUP($A66,'Temprorary Data'!$A:$G,5,FALSE)</f>
        <v>8</v>
      </c>
      <c r="O66">
        <f>VLOOKUP($A66,'Temprorary Data'!$A:$G,6,FALSE)</f>
        <v>102</v>
      </c>
      <c r="P66">
        <f>VLOOKUP($A66,'Temprorary Data'!$A:$G,7,FALSE)</f>
        <v>110</v>
      </c>
    </row>
    <row r="67" spans="1:16" ht="15.75" thickBot="1">
      <c r="A67" s="1">
        <v>66</v>
      </c>
      <c r="B67" s="2">
        <v>40546</v>
      </c>
      <c r="C67" s="1">
        <v>1</v>
      </c>
      <c r="D67" s="1">
        <v>0</v>
      </c>
      <c r="E67" s="1">
        <v>1</v>
      </c>
      <c r="F67" s="1">
        <v>20</v>
      </c>
      <c r="G67" s="3" t="b">
        <v>0</v>
      </c>
      <c r="H67" s="1">
        <v>1</v>
      </c>
      <c r="I67" s="1">
        <v>1</v>
      </c>
      <c r="J67" s="1">
        <v>0.2</v>
      </c>
      <c r="K67">
        <f>VLOOKUP($A67,'Temprorary Data'!$A:$G,2,FALSE)</f>
        <v>0</v>
      </c>
      <c r="L67">
        <f>VLOOKUP($A67,'Temprorary Data'!$A:$G,3,FALSE)</f>
        <v>0.47</v>
      </c>
      <c r="M67">
        <f>VLOOKUP($A67,'Temprorary Data'!$A:$G,4,FALSE)</f>
        <v>0.1045</v>
      </c>
      <c r="N67">
        <f>VLOOKUP($A67,'Temprorary Data'!$A:$G,5,FALSE)</f>
        <v>3</v>
      </c>
      <c r="O67">
        <f>VLOOKUP($A67,'Temprorary Data'!$A:$G,6,FALSE)</f>
        <v>49</v>
      </c>
      <c r="P67">
        <f>VLOOKUP($A67,'Temprorary Data'!$A:$G,7,FALSE)</f>
        <v>52</v>
      </c>
    </row>
    <row r="68" spans="1:16" ht="15.75" thickBot="1">
      <c r="A68" s="1">
        <v>67</v>
      </c>
      <c r="B68" s="2">
        <v>40546</v>
      </c>
      <c r="C68" s="1">
        <v>1</v>
      </c>
      <c r="D68" s="1">
        <v>0</v>
      </c>
      <c r="E68" s="1">
        <v>1</v>
      </c>
      <c r="F68" s="1">
        <v>21</v>
      </c>
      <c r="G68" s="3" t="b">
        <v>0</v>
      </c>
      <c r="H68" s="1">
        <v>1</v>
      </c>
      <c r="I68" s="1">
        <v>1</v>
      </c>
      <c r="J68" s="1">
        <v>0.18</v>
      </c>
      <c r="K68">
        <f>VLOOKUP($A68,'Temprorary Data'!$A:$G,2,FALSE)</f>
        <v>0.19700000000000001</v>
      </c>
      <c r="L68">
        <f>VLOOKUP($A68,'Temprorary Data'!$A:$G,3,FALSE)</f>
        <v>0.64</v>
      </c>
      <c r="M68">
        <f>VLOOKUP($A68,'Temprorary Data'!$A:$G,4,FALSE)</f>
        <v>0.1343</v>
      </c>
      <c r="N68">
        <f>VLOOKUP($A68,'Temprorary Data'!$A:$G,5,FALSE)</f>
        <v>3</v>
      </c>
      <c r="O68">
        <f>VLOOKUP($A68,'Temprorary Data'!$A:$G,6,FALSE)</f>
        <v>49</v>
      </c>
      <c r="P68">
        <f>VLOOKUP($A68,'Temprorary Data'!$A:$G,7,FALSE)</f>
        <v>52</v>
      </c>
    </row>
    <row r="69" spans="1:16" ht="15.75" thickBot="1">
      <c r="A69" s="1">
        <v>68</v>
      </c>
      <c r="B69" s="2">
        <v>40546</v>
      </c>
      <c r="C69" s="1">
        <v>1</v>
      </c>
      <c r="D69" s="1">
        <v>0</v>
      </c>
      <c r="E69" s="1">
        <v>1</v>
      </c>
      <c r="F69" s="1">
        <v>22</v>
      </c>
      <c r="G69" s="3" t="b">
        <v>0</v>
      </c>
      <c r="H69" s="1">
        <v>1</v>
      </c>
      <c r="I69" s="1">
        <v>1</v>
      </c>
      <c r="J69" s="1">
        <v>0.14000000000000001</v>
      </c>
      <c r="K69">
        <f>VLOOKUP($A69,'Temprorary Data'!$A:$G,2,FALSE)</f>
        <v>0.1515</v>
      </c>
      <c r="L69">
        <f>VLOOKUP($A69,'Temprorary Data'!$A:$G,3,FALSE)</f>
        <v>0.69</v>
      </c>
      <c r="M69">
        <f>VLOOKUP($A69,'Temprorary Data'!$A:$G,4,FALSE)</f>
        <v>0.1343</v>
      </c>
      <c r="N69">
        <f>VLOOKUP($A69,'Temprorary Data'!$A:$G,5,FALSE)</f>
        <v>0</v>
      </c>
      <c r="O69">
        <f>VLOOKUP($A69,'Temprorary Data'!$A:$G,6,FALSE)</f>
        <v>20</v>
      </c>
      <c r="P69">
        <f>VLOOKUP($A69,'Temprorary Data'!$A:$G,7,FALSE)</f>
        <v>20</v>
      </c>
    </row>
    <row r="70" spans="1:16" ht="15.75" thickBot="1">
      <c r="A70" s="1">
        <v>69</v>
      </c>
      <c r="B70" s="2">
        <v>40546</v>
      </c>
      <c r="C70" s="1">
        <v>1</v>
      </c>
      <c r="D70" s="1">
        <v>0</v>
      </c>
      <c r="E70" s="1">
        <v>1</v>
      </c>
      <c r="F70" s="1">
        <v>23</v>
      </c>
      <c r="G70" s="3" t="b">
        <v>0</v>
      </c>
      <c r="H70" s="1">
        <v>1</v>
      </c>
      <c r="I70" s="1">
        <v>1</v>
      </c>
      <c r="J70" s="1">
        <v>0.18</v>
      </c>
      <c r="K70">
        <f>VLOOKUP($A70,'Temprorary Data'!$A:$G,2,FALSE)</f>
        <v>0.21210000000000001</v>
      </c>
      <c r="L70">
        <f>VLOOKUP($A70,'Temprorary Data'!$A:$G,3,FALSE)</f>
        <v>0.55000000000000004</v>
      </c>
      <c r="M70">
        <f>VLOOKUP($A70,'Temprorary Data'!$A:$G,4,FALSE)</f>
        <v>0.1045</v>
      </c>
      <c r="N70">
        <f>VLOOKUP($A70,'Temprorary Data'!$A:$G,5,FALSE)</f>
        <v>1</v>
      </c>
      <c r="O70">
        <f>VLOOKUP($A70,'Temprorary Data'!$A:$G,6,FALSE)</f>
        <v>11</v>
      </c>
      <c r="P70">
        <f>VLOOKUP($A70,'Temprorary Data'!$A:$G,7,FALSE)</f>
        <v>12</v>
      </c>
    </row>
    <row r="71" spans="1:16" ht="15.75" thickBot="1">
      <c r="A71" s="1">
        <v>70</v>
      </c>
      <c r="B71" s="2">
        <v>40547</v>
      </c>
      <c r="C71" s="1">
        <v>1</v>
      </c>
      <c r="D71" s="1">
        <v>0</v>
      </c>
      <c r="E71" s="1">
        <v>1</v>
      </c>
      <c r="F71" s="1">
        <v>0</v>
      </c>
      <c r="G71" s="3" t="b">
        <v>0</v>
      </c>
      <c r="H71" s="1">
        <v>2</v>
      </c>
      <c r="I71" s="1">
        <v>1</v>
      </c>
      <c r="J71" s="1">
        <v>0.16</v>
      </c>
      <c r="K71">
        <f>VLOOKUP($A71,'Temprorary Data'!$A:$G,2,FALSE)</f>
        <v>0</v>
      </c>
      <c r="L71">
        <f>VLOOKUP($A71,'Temprorary Data'!$A:$G,3,FALSE)</f>
        <v>0.55000000000000004</v>
      </c>
      <c r="M71">
        <f>VLOOKUP($A71,'Temprorary Data'!$A:$G,4,FALSE)</f>
        <v>0.1045</v>
      </c>
      <c r="N71">
        <f>VLOOKUP($A71,'Temprorary Data'!$A:$G,5,FALSE)</f>
        <v>0</v>
      </c>
      <c r="O71">
        <f>VLOOKUP($A71,'Temprorary Data'!$A:$G,6,FALSE)</f>
        <v>5</v>
      </c>
      <c r="P71">
        <f>VLOOKUP($A71,'Temprorary Data'!$A:$G,7,FALSE)</f>
        <v>5</v>
      </c>
    </row>
    <row r="72" spans="1:16" ht="15.75" thickBot="1">
      <c r="A72" s="1">
        <v>71</v>
      </c>
      <c r="B72" s="2">
        <v>40547</v>
      </c>
      <c r="C72" s="1">
        <v>1</v>
      </c>
      <c r="D72" s="1">
        <v>0</v>
      </c>
      <c r="E72" s="1">
        <v>1</v>
      </c>
      <c r="F72" s="1">
        <v>1</v>
      </c>
      <c r="G72" s="3" t="b">
        <v>0</v>
      </c>
      <c r="H72" s="1">
        <v>2</v>
      </c>
      <c r="I72" s="1">
        <v>1</v>
      </c>
      <c r="J72" s="1">
        <v>0.16</v>
      </c>
      <c r="K72">
        <f>VLOOKUP($A72,'Temprorary Data'!$A:$G,2,FALSE)</f>
        <v>0.18179999999999999</v>
      </c>
      <c r="L72">
        <f>VLOOKUP($A72,'Temprorary Data'!$A:$G,3,FALSE)</f>
        <v>0.59</v>
      </c>
      <c r="M72">
        <f>VLOOKUP($A72,'Temprorary Data'!$A:$G,4,FALSE)</f>
        <v>0.1045</v>
      </c>
      <c r="N72">
        <f>VLOOKUP($A72,'Temprorary Data'!$A:$G,5,FALSE)</f>
        <v>0</v>
      </c>
      <c r="O72">
        <f>VLOOKUP($A72,'Temprorary Data'!$A:$G,6,FALSE)</f>
        <v>2</v>
      </c>
      <c r="P72">
        <f>VLOOKUP($A72,'Temprorary Data'!$A:$G,7,FALSE)</f>
        <v>2</v>
      </c>
    </row>
    <row r="73" spans="1:16" ht="15.75" thickBot="1">
      <c r="A73" s="1">
        <v>72</v>
      </c>
      <c r="B73" s="2">
        <v>40547</v>
      </c>
      <c r="C73" s="1">
        <v>1</v>
      </c>
      <c r="D73" s="1">
        <v>0</v>
      </c>
      <c r="E73" s="1">
        <v>1</v>
      </c>
      <c r="F73" s="1">
        <v>2</v>
      </c>
      <c r="G73" s="3" t="b">
        <v>0</v>
      </c>
      <c r="H73" s="1">
        <v>2</v>
      </c>
      <c r="I73" s="1">
        <v>1</v>
      </c>
      <c r="J73" s="1">
        <v>0.14000000000000001</v>
      </c>
      <c r="K73">
        <f>VLOOKUP($A73,'Temprorary Data'!$A:$G,2,FALSE)</f>
        <v>0.1515</v>
      </c>
      <c r="L73">
        <f>VLOOKUP($A73,'Temprorary Data'!$A:$G,3,FALSE)</f>
        <v>0.63</v>
      </c>
      <c r="M73">
        <f>VLOOKUP($A73,'Temprorary Data'!$A:$G,4,FALSE)</f>
        <v>0.1343</v>
      </c>
      <c r="N73">
        <f>VLOOKUP($A73,'Temprorary Data'!$A:$G,5,FALSE)</f>
        <v>0</v>
      </c>
      <c r="O73">
        <f>VLOOKUP($A73,'Temprorary Data'!$A:$G,6,FALSE)</f>
        <v>1</v>
      </c>
      <c r="P73">
        <f>VLOOKUP($A73,'Temprorary Data'!$A:$G,7,FALSE)</f>
        <v>1</v>
      </c>
    </row>
    <row r="74" spans="1:16" ht="15.75" thickBot="1">
      <c r="A74" s="1">
        <v>73</v>
      </c>
      <c r="B74" s="2">
        <v>40547</v>
      </c>
      <c r="C74" s="1">
        <v>1</v>
      </c>
      <c r="D74" s="1">
        <v>0</v>
      </c>
      <c r="E74" s="1">
        <v>1</v>
      </c>
      <c r="F74" s="1">
        <v>4</v>
      </c>
      <c r="G74" s="3" t="b">
        <v>0</v>
      </c>
      <c r="H74" s="1">
        <v>2</v>
      </c>
      <c r="I74" s="1">
        <v>1</v>
      </c>
      <c r="J74" s="1">
        <v>0.14000000000000001</v>
      </c>
      <c r="K74">
        <f>VLOOKUP($A74,'Temprorary Data'!$A:$G,2,FALSE)</f>
        <v>0.18179999999999999</v>
      </c>
      <c r="L74">
        <f>VLOOKUP($A74,'Temprorary Data'!$A:$G,3,FALSE)</f>
        <v>0.63</v>
      </c>
      <c r="M74">
        <f>VLOOKUP($A74,'Temprorary Data'!$A:$G,4,FALSE)</f>
        <v>8.9599999999999999E-2</v>
      </c>
      <c r="N74">
        <f>VLOOKUP($A74,'Temprorary Data'!$A:$G,5,FALSE)</f>
        <v>0</v>
      </c>
      <c r="O74">
        <f>VLOOKUP($A74,'Temprorary Data'!$A:$G,6,FALSE)</f>
        <v>2</v>
      </c>
      <c r="P74">
        <f>VLOOKUP($A74,'Temprorary Data'!$A:$G,7,FALSE)</f>
        <v>2</v>
      </c>
    </row>
    <row r="75" spans="1:16" ht="15.75" thickBot="1">
      <c r="A75" s="1">
        <v>74</v>
      </c>
      <c r="B75" s="2">
        <v>40547</v>
      </c>
      <c r="C75" s="1">
        <v>1</v>
      </c>
      <c r="D75" s="1">
        <v>0</v>
      </c>
      <c r="E75" s="1">
        <v>1</v>
      </c>
      <c r="F75" s="1">
        <v>5</v>
      </c>
      <c r="G75" s="3" t="b">
        <v>0</v>
      </c>
      <c r="H75" s="1">
        <v>2</v>
      </c>
      <c r="I75" s="1">
        <v>1</v>
      </c>
      <c r="J75" s="1">
        <v>0.12</v>
      </c>
      <c r="K75">
        <f>VLOOKUP($A75,'Temprorary Data'!$A:$G,2,FALSE)</f>
        <v>0.1515</v>
      </c>
      <c r="L75">
        <f>VLOOKUP($A75,'Temprorary Data'!$A:$G,3,FALSE)</f>
        <v>0.68</v>
      </c>
      <c r="M75">
        <f>VLOOKUP($A75,'Temprorary Data'!$A:$G,4,FALSE)</f>
        <v>0.1045</v>
      </c>
      <c r="N75">
        <f>VLOOKUP($A75,'Temprorary Data'!$A:$G,5,FALSE)</f>
        <v>0</v>
      </c>
      <c r="O75">
        <f>VLOOKUP($A75,'Temprorary Data'!$A:$G,6,FALSE)</f>
        <v>4</v>
      </c>
      <c r="P75">
        <f>VLOOKUP($A75,'Temprorary Data'!$A:$G,7,FALSE)</f>
        <v>4</v>
      </c>
    </row>
    <row r="76" spans="1:16" ht="15.75" thickBot="1">
      <c r="A76" s="1">
        <v>75</v>
      </c>
      <c r="B76" s="2">
        <v>40547</v>
      </c>
      <c r="C76" s="1">
        <v>1</v>
      </c>
      <c r="D76" s="1">
        <v>0</v>
      </c>
      <c r="E76" s="1">
        <v>1</v>
      </c>
      <c r="F76" s="1">
        <v>6</v>
      </c>
      <c r="G76" s="3" t="b">
        <v>0</v>
      </c>
      <c r="H76" s="1">
        <v>2</v>
      </c>
      <c r="I76" s="1">
        <v>1</v>
      </c>
      <c r="J76" s="1">
        <v>0.12</v>
      </c>
      <c r="K76">
        <f>VLOOKUP($A76,'Temprorary Data'!$A:$G,2,FALSE)</f>
        <v>0.1515</v>
      </c>
      <c r="L76">
        <f>VLOOKUP($A76,'Temprorary Data'!$A:$G,3,FALSE)</f>
        <v>0.74</v>
      </c>
      <c r="M76">
        <f>VLOOKUP($A76,'Temprorary Data'!$A:$G,4,FALSE)</f>
        <v>0.1045</v>
      </c>
      <c r="N76">
        <f>VLOOKUP($A76,'Temprorary Data'!$A:$G,5,FALSE)</f>
        <v>0</v>
      </c>
      <c r="O76">
        <f>VLOOKUP($A76,'Temprorary Data'!$A:$G,6,FALSE)</f>
        <v>36</v>
      </c>
      <c r="P76">
        <f>VLOOKUP($A76,'Temprorary Data'!$A:$G,7,FALSE)</f>
        <v>36</v>
      </c>
    </row>
    <row r="77" spans="1:16" ht="15.75" thickBot="1">
      <c r="A77" s="1">
        <v>76</v>
      </c>
      <c r="B77" s="2">
        <v>40547</v>
      </c>
      <c r="C77" s="1">
        <v>1</v>
      </c>
      <c r="D77" s="1">
        <v>0</v>
      </c>
      <c r="E77" s="1">
        <v>1</v>
      </c>
      <c r="F77" s="1">
        <v>7</v>
      </c>
      <c r="G77" s="3" t="b">
        <v>0</v>
      </c>
      <c r="H77" s="1">
        <v>2</v>
      </c>
      <c r="I77" s="1">
        <v>1</v>
      </c>
      <c r="J77" s="1">
        <v>0.12</v>
      </c>
      <c r="K77">
        <f>VLOOKUP($A77,'Temprorary Data'!$A:$G,2,FALSE)</f>
        <v>0.1515</v>
      </c>
      <c r="L77">
        <f>VLOOKUP($A77,'Temprorary Data'!$A:$G,3,FALSE)</f>
        <v>0.74</v>
      </c>
      <c r="M77">
        <f>VLOOKUP($A77,'Temprorary Data'!$A:$G,4,FALSE)</f>
        <v>0.1343</v>
      </c>
      <c r="N77">
        <f>VLOOKUP($A77,'Temprorary Data'!$A:$G,5,FALSE)</f>
        <v>2</v>
      </c>
      <c r="O77">
        <f>VLOOKUP($A77,'Temprorary Data'!$A:$G,6,FALSE)</f>
        <v>92</v>
      </c>
      <c r="P77">
        <f>VLOOKUP($A77,'Temprorary Data'!$A:$G,7,FALSE)</f>
        <v>94</v>
      </c>
    </row>
    <row r="78" spans="1:16" ht="15.75" thickBot="1">
      <c r="A78" s="1">
        <v>77</v>
      </c>
      <c r="B78" s="2">
        <v>40547</v>
      </c>
      <c r="C78" s="1">
        <v>1</v>
      </c>
      <c r="D78" s="1">
        <v>0</v>
      </c>
      <c r="E78" s="1">
        <v>1</v>
      </c>
      <c r="F78" s="1">
        <v>8</v>
      </c>
      <c r="G78" s="3" t="b">
        <v>0</v>
      </c>
      <c r="H78" s="1">
        <v>2</v>
      </c>
      <c r="I78" s="1">
        <v>1</v>
      </c>
      <c r="J78" s="1">
        <v>0.14000000000000001</v>
      </c>
      <c r="K78">
        <f>VLOOKUP($A78,'Temprorary Data'!$A:$G,2,FALSE)</f>
        <v>0.1515</v>
      </c>
      <c r="L78">
        <f>VLOOKUP($A78,'Temprorary Data'!$A:$G,3,FALSE)</f>
        <v>0.69</v>
      </c>
      <c r="M78">
        <f>VLOOKUP($A78,'Temprorary Data'!$A:$G,4,FALSE)</f>
        <v>0.16420000000000001</v>
      </c>
      <c r="N78">
        <f>VLOOKUP($A78,'Temprorary Data'!$A:$G,5,FALSE)</f>
        <v>2</v>
      </c>
      <c r="O78">
        <f>VLOOKUP($A78,'Temprorary Data'!$A:$G,6,FALSE)</f>
        <v>177</v>
      </c>
      <c r="P78">
        <f>VLOOKUP($A78,'Temprorary Data'!$A:$G,7,FALSE)</f>
        <v>179</v>
      </c>
    </row>
    <row r="79" spans="1:16" ht="15.75" thickBot="1">
      <c r="A79" s="1">
        <v>78</v>
      </c>
      <c r="B79" s="2">
        <v>40547</v>
      </c>
      <c r="C79" s="1">
        <v>1</v>
      </c>
      <c r="D79" s="1">
        <v>0</v>
      </c>
      <c r="E79" s="1">
        <v>1</v>
      </c>
      <c r="F79" s="1">
        <v>9</v>
      </c>
      <c r="G79" s="3" t="b">
        <v>0</v>
      </c>
      <c r="H79" s="1">
        <v>2</v>
      </c>
      <c r="I79" s="1">
        <v>1</v>
      </c>
      <c r="J79" s="1">
        <v>0.16</v>
      </c>
      <c r="K79">
        <f>VLOOKUP($A79,'Temprorary Data'!$A:$G,2,FALSE)</f>
        <v>0.1515</v>
      </c>
      <c r="L79">
        <f>VLOOKUP($A79,'Temprorary Data'!$A:$G,3,FALSE)</f>
        <v>0.64</v>
      </c>
      <c r="M79">
        <f>VLOOKUP($A79,'Temprorary Data'!$A:$G,4,FALSE)</f>
        <v>0.22389999999999999</v>
      </c>
      <c r="N79">
        <f>VLOOKUP($A79,'Temprorary Data'!$A:$G,5,FALSE)</f>
        <v>2</v>
      </c>
      <c r="O79">
        <f>VLOOKUP($A79,'Temprorary Data'!$A:$G,6,FALSE)</f>
        <v>98</v>
      </c>
      <c r="P79">
        <f>VLOOKUP($A79,'Temprorary Data'!$A:$G,7,FALSE)</f>
        <v>100</v>
      </c>
    </row>
    <row r="80" spans="1:16" ht="15.75" thickBot="1">
      <c r="A80" s="1">
        <v>79</v>
      </c>
      <c r="B80" s="2">
        <v>40547</v>
      </c>
      <c r="C80" s="1">
        <v>1</v>
      </c>
      <c r="D80" s="1">
        <v>0</v>
      </c>
      <c r="E80" s="1">
        <v>1</v>
      </c>
      <c r="F80" s="1">
        <v>10</v>
      </c>
      <c r="G80" s="3" t="b">
        <v>0</v>
      </c>
      <c r="H80" s="1">
        <v>2</v>
      </c>
      <c r="I80" s="1">
        <v>2</v>
      </c>
      <c r="J80" s="1">
        <v>0.16</v>
      </c>
      <c r="K80">
        <f>VLOOKUP($A80,'Temprorary Data'!$A:$G,2,FALSE)</f>
        <v>0.13639999999999999</v>
      </c>
      <c r="L80">
        <f>VLOOKUP($A80,'Temprorary Data'!$A:$G,3,FALSE)</f>
        <v>0.69</v>
      </c>
      <c r="M80">
        <f>VLOOKUP($A80,'Temprorary Data'!$A:$G,4,FALSE)</f>
        <v>0.32840000000000003</v>
      </c>
      <c r="N80">
        <f>VLOOKUP($A80,'Temprorary Data'!$A:$G,5,FALSE)</f>
        <v>5</v>
      </c>
      <c r="O80">
        <f>VLOOKUP($A80,'Temprorary Data'!$A:$G,6,FALSE)</f>
        <v>37</v>
      </c>
      <c r="P80">
        <f>VLOOKUP($A80,'Temprorary Data'!$A:$G,7,FALSE)</f>
        <v>42</v>
      </c>
    </row>
    <row r="81" spans="1:16" ht="15.75" thickBot="1">
      <c r="A81" s="1">
        <v>80</v>
      </c>
      <c r="B81" s="2">
        <v>40547</v>
      </c>
      <c r="C81" s="1">
        <v>1</v>
      </c>
      <c r="D81" s="1">
        <v>0</v>
      </c>
      <c r="E81" s="1">
        <v>1</v>
      </c>
      <c r="F81" s="1">
        <v>11</v>
      </c>
      <c r="G81" s="3" t="b">
        <v>0</v>
      </c>
      <c r="H81" s="1">
        <v>2</v>
      </c>
      <c r="I81" s="1">
        <v>1</v>
      </c>
      <c r="J81" s="1">
        <v>0.22</v>
      </c>
      <c r="K81">
        <f>VLOOKUP($A81,'Temprorary Data'!$A:$G,2,FALSE)</f>
        <v>0.21210000000000001</v>
      </c>
      <c r="L81">
        <f>VLOOKUP($A81,'Temprorary Data'!$A:$G,3,FALSE)</f>
        <v>0.51</v>
      </c>
      <c r="M81">
        <f>VLOOKUP($A81,'Temprorary Data'!$A:$G,4,FALSE)</f>
        <v>0.29849999999999999</v>
      </c>
      <c r="N81">
        <f>VLOOKUP($A81,'Temprorary Data'!$A:$G,5,FALSE)</f>
        <v>7</v>
      </c>
      <c r="O81">
        <f>VLOOKUP($A81,'Temprorary Data'!$A:$G,6,FALSE)</f>
        <v>50</v>
      </c>
      <c r="P81">
        <f>VLOOKUP($A81,'Temprorary Data'!$A:$G,7,FALSE)</f>
        <v>57</v>
      </c>
    </row>
    <row r="82" spans="1:16" ht="15.75" thickBot="1">
      <c r="A82" s="1">
        <v>81</v>
      </c>
      <c r="B82" s="2">
        <v>40547</v>
      </c>
      <c r="C82" s="1">
        <v>1</v>
      </c>
      <c r="D82" s="1">
        <v>0</v>
      </c>
      <c r="E82" s="1">
        <v>1</v>
      </c>
      <c r="F82" s="1">
        <v>12</v>
      </c>
      <c r="G82" s="3" t="b">
        <v>0</v>
      </c>
      <c r="H82" s="1">
        <v>2</v>
      </c>
      <c r="I82" s="1">
        <v>1</v>
      </c>
      <c r="J82" s="1">
        <v>0.22</v>
      </c>
      <c r="K82">
        <f>VLOOKUP($A82,'Temprorary Data'!$A:$G,2,FALSE)</f>
        <v>0.2273</v>
      </c>
      <c r="L82">
        <f>VLOOKUP($A82,'Temprorary Data'!$A:$G,3,FALSE)</f>
        <v>0.51</v>
      </c>
      <c r="M82">
        <f>VLOOKUP($A82,'Temprorary Data'!$A:$G,4,FALSE)</f>
        <v>0.16420000000000001</v>
      </c>
      <c r="N82">
        <f>VLOOKUP($A82,'Temprorary Data'!$A:$G,5,FALSE)</f>
        <v>12</v>
      </c>
      <c r="O82">
        <f>VLOOKUP($A82,'Temprorary Data'!$A:$G,6,FALSE)</f>
        <v>66</v>
      </c>
      <c r="P82">
        <f>VLOOKUP($A82,'Temprorary Data'!$A:$G,7,FALSE)</f>
        <v>78</v>
      </c>
    </row>
    <row r="83" spans="1:16" ht="15.75" thickBot="1">
      <c r="A83" s="1">
        <v>82</v>
      </c>
      <c r="B83" s="2">
        <v>40547</v>
      </c>
      <c r="C83" s="1">
        <v>1</v>
      </c>
      <c r="D83" s="1">
        <v>0</v>
      </c>
      <c r="E83" s="1">
        <v>1</v>
      </c>
      <c r="F83" s="1">
        <v>13</v>
      </c>
      <c r="G83" s="3" t="b">
        <v>0</v>
      </c>
      <c r="H83" s="1">
        <v>2</v>
      </c>
      <c r="I83" s="1">
        <v>1</v>
      </c>
      <c r="J83" s="1">
        <v>0.24</v>
      </c>
      <c r="K83">
        <f>VLOOKUP($A83,'Temprorary Data'!$A:$G,2,FALSE)</f>
        <v>0.2273</v>
      </c>
      <c r="L83">
        <f>VLOOKUP($A83,'Temprorary Data'!$A:$G,3,FALSE)</f>
        <v>0.56000000000000005</v>
      </c>
      <c r="M83">
        <f>VLOOKUP($A83,'Temprorary Data'!$A:$G,4,FALSE)</f>
        <v>0.19400000000000001</v>
      </c>
      <c r="N83">
        <f>VLOOKUP($A83,'Temprorary Data'!$A:$G,5,FALSE)</f>
        <v>18</v>
      </c>
      <c r="O83">
        <f>VLOOKUP($A83,'Temprorary Data'!$A:$G,6,FALSE)</f>
        <v>79</v>
      </c>
      <c r="P83">
        <f>VLOOKUP($A83,'Temprorary Data'!$A:$G,7,FALSE)</f>
        <v>97</v>
      </c>
    </row>
    <row r="84" spans="1:16" ht="15.75" thickBot="1">
      <c r="A84" s="1">
        <v>83</v>
      </c>
      <c r="B84" s="2">
        <v>40547</v>
      </c>
      <c r="C84" s="1">
        <v>1</v>
      </c>
      <c r="D84" s="1">
        <v>0</v>
      </c>
      <c r="E84" s="1">
        <v>1</v>
      </c>
      <c r="F84" s="1">
        <v>14</v>
      </c>
      <c r="G84" s="3" t="b">
        <v>0</v>
      </c>
      <c r="H84" s="1">
        <v>2</v>
      </c>
      <c r="I84" s="1">
        <v>1</v>
      </c>
      <c r="J84" s="1">
        <v>0.26</v>
      </c>
      <c r="K84">
        <f>VLOOKUP($A84,'Temprorary Data'!$A:$G,2,FALSE)</f>
        <v>0.2576</v>
      </c>
      <c r="L84">
        <f>VLOOKUP($A84,'Temprorary Data'!$A:$G,3,FALSE)</f>
        <v>0.52</v>
      </c>
      <c r="M84">
        <f>VLOOKUP($A84,'Temprorary Data'!$A:$G,4,FALSE)</f>
        <v>0.22389999999999999</v>
      </c>
      <c r="N84">
        <f>VLOOKUP($A84,'Temprorary Data'!$A:$G,5,FALSE)</f>
        <v>9</v>
      </c>
      <c r="O84">
        <f>VLOOKUP($A84,'Temprorary Data'!$A:$G,6,FALSE)</f>
        <v>54</v>
      </c>
      <c r="P84">
        <f>VLOOKUP($A84,'Temprorary Data'!$A:$G,7,FALSE)</f>
        <v>63</v>
      </c>
    </row>
    <row r="85" spans="1:16" ht="15.75" thickBot="1">
      <c r="A85" s="1">
        <v>84</v>
      </c>
      <c r="B85" s="2">
        <v>40547</v>
      </c>
      <c r="C85" s="1">
        <v>1</v>
      </c>
      <c r="D85" s="1">
        <v>0</v>
      </c>
      <c r="E85" s="1">
        <v>1</v>
      </c>
      <c r="F85" s="1">
        <v>15</v>
      </c>
      <c r="G85" s="3" t="b">
        <v>0</v>
      </c>
      <c r="H85" s="1">
        <v>2</v>
      </c>
      <c r="I85" s="1">
        <v>1</v>
      </c>
      <c r="J85" s="1">
        <v>0.28000000000000003</v>
      </c>
      <c r="K85">
        <f>VLOOKUP($A85,'Temprorary Data'!$A:$G,2,FALSE)</f>
        <v>0.2727</v>
      </c>
      <c r="L85">
        <f>VLOOKUP($A85,'Temprorary Data'!$A:$G,3,FALSE)</f>
        <v>0.52</v>
      </c>
      <c r="M85">
        <f>VLOOKUP($A85,'Temprorary Data'!$A:$G,4,FALSE)</f>
        <v>0.25369999999999998</v>
      </c>
      <c r="N85">
        <f>VLOOKUP($A85,'Temprorary Data'!$A:$G,5,FALSE)</f>
        <v>17</v>
      </c>
      <c r="O85">
        <f>VLOOKUP($A85,'Temprorary Data'!$A:$G,6,FALSE)</f>
        <v>48</v>
      </c>
      <c r="P85">
        <f>VLOOKUP($A85,'Temprorary Data'!$A:$G,7,FALSE)</f>
        <v>65</v>
      </c>
    </row>
    <row r="86" spans="1:16" ht="15.75" thickBot="1">
      <c r="A86" s="1">
        <v>85</v>
      </c>
      <c r="B86" s="2">
        <v>40547</v>
      </c>
      <c r="C86" s="1">
        <v>1</v>
      </c>
      <c r="D86" s="1">
        <v>0</v>
      </c>
      <c r="E86" s="1">
        <v>1</v>
      </c>
      <c r="F86" s="1">
        <v>16</v>
      </c>
      <c r="G86" s="3" t="b">
        <v>0</v>
      </c>
      <c r="H86" s="1">
        <v>2</v>
      </c>
      <c r="I86" s="1">
        <v>1</v>
      </c>
      <c r="J86" s="1">
        <v>0.3</v>
      </c>
      <c r="K86">
        <f>VLOOKUP($A86,'Temprorary Data'!$A:$G,2,FALSE)</f>
        <v>0.28789999999999999</v>
      </c>
      <c r="L86">
        <f>VLOOKUP($A86,'Temprorary Data'!$A:$G,3,FALSE)</f>
        <v>0.49</v>
      </c>
      <c r="M86">
        <f>VLOOKUP($A86,'Temprorary Data'!$A:$G,4,FALSE)</f>
        <v>0.25369999999999998</v>
      </c>
      <c r="N86">
        <f>VLOOKUP($A86,'Temprorary Data'!$A:$G,5,FALSE)</f>
        <v>15</v>
      </c>
      <c r="O86">
        <f>VLOOKUP($A86,'Temprorary Data'!$A:$G,6,FALSE)</f>
        <v>68</v>
      </c>
      <c r="P86">
        <f>VLOOKUP($A86,'Temprorary Data'!$A:$G,7,FALSE)</f>
        <v>83</v>
      </c>
    </row>
    <row r="87" spans="1:16" ht="15.75" thickBot="1">
      <c r="A87" s="1">
        <v>86</v>
      </c>
      <c r="B87" s="2">
        <v>40547</v>
      </c>
      <c r="C87" s="1">
        <v>1</v>
      </c>
      <c r="D87" s="1">
        <v>0</v>
      </c>
      <c r="E87" s="1">
        <v>1</v>
      </c>
      <c r="F87" s="1">
        <v>17</v>
      </c>
      <c r="G87" s="3" t="b">
        <v>0</v>
      </c>
      <c r="H87" s="1">
        <v>2</v>
      </c>
      <c r="I87" s="1">
        <v>1</v>
      </c>
      <c r="J87" s="1">
        <v>0.28000000000000003</v>
      </c>
      <c r="K87">
        <f>VLOOKUP($A87,'Temprorary Data'!$A:$G,2,FALSE)</f>
        <v>0.2727</v>
      </c>
      <c r="L87">
        <f>VLOOKUP($A87,'Temprorary Data'!$A:$G,3,FALSE)</f>
        <v>0.48</v>
      </c>
      <c r="M87">
        <f>VLOOKUP($A87,'Temprorary Data'!$A:$G,4,FALSE)</f>
        <v>0.22389999999999999</v>
      </c>
      <c r="N87">
        <f>VLOOKUP($A87,'Temprorary Data'!$A:$G,5,FALSE)</f>
        <v>10</v>
      </c>
      <c r="O87">
        <f>VLOOKUP($A87,'Temprorary Data'!$A:$G,6,FALSE)</f>
        <v>202</v>
      </c>
      <c r="P87">
        <f>VLOOKUP($A87,'Temprorary Data'!$A:$G,7,FALSE)</f>
        <v>212</v>
      </c>
    </row>
    <row r="88" spans="1:16" ht="15.75" thickBot="1">
      <c r="A88" s="1">
        <v>87</v>
      </c>
      <c r="B88" s="2">
        <v>40547</v>
      </c>
      <c r="C88" s="1">
        <v>1</v>
      </c>
      <c r="D88" s="1">
        <v>0</v>
      </c>
      <c r="E88" s="1">
        <v>1</v>
      </c>
      <c r="F88" s="1">
        <v>18</v>
      </c>
      <c r="G88" s="3" t="b">
        <v>0</v>
      </c>
      <c r="H88" s="1">
        <v>2</v>
      </c>
      <c r="I88" s="1">
        <v>1</v>
      </c>
      <c r="J88" s="1">
        <v>0.26</v>
      </c>
      <c r="K88">
        <f>VLOOKUP($A88,'Temprorary Data'!$A:$G,2,FALSE)</f>
        <v>0.2576</v>
      </c>
      <c r="L88">
        <f>VLOOKUP($A88,'Temprorary Data'!$A:$G,3,FALSE)</f>
        <v>0.48</v>
      </c>
      <c r="M88">
        <f>VLOOKUP($A88,'Temprorary Data'!$A:$G,4,FALSE)</f>
        <v>0.19400000000000001</v>
      </c>
      <c r="N88">
        <f>VLOOKUP($A88,'Temprorary Data'!$A:$G,5,FALSE)</f>
        <v>3</v>
      </c>
      <c r="O88">
        <f>VLOOKUP($A88,'Temprorary Data'!$A:$G,6,FALSE)</f>
        <v>179</v>
      </c>
      <c r="P88">
        <f>VLOOKUP($A88,'Temprorary Data'!$A:$G,7,FALSE)</f>
        <v>182</v>
      </c>
    </row>
    <row r="89" spans="1:16" ht="15.75" thickBot="1">
      <c r="A89" s="1">
        <v>88</v>
      </c>
      <c r="B89" s="2">
        <v>40547</v>
      </c>
      <c r="C89" s="1">
        <v>1</v>
      </c>
      <c r="D89" s="1">
        <v>0</v>
      </c>
      <c r="E89" s="1">
        <v>1</v>
      </c>
      <c r="F89" s="1">
        <v>19</v>
      </c>
      <c r="G89" s="3" t="b">
        <v>0</v>
      </c>
      <c r="H89" s="1">
        <v>2</v>
      </c>
      <c r="I89" s="1">
        <v>1</v>
      </c>
      <c r="J89" s="1">
        <v>0.24</v>
      </c>
      <c r="K89">
        <f>VLOOKUP($A89,'Temprorary Data'!$A:$G,2,FALSE)</f>
        <v>0.2576</v>
      </c>
      <c r="L89">
        <f>VLOOKUP($A89,'Temprorary Data'!$A:$G,3,FALSE)</f>
        <v>0.48</v>
      </c>
      <c r="M89">
        <f>VLOOKUP($A89,'Temprorary Data'!$A:$G,4,FALSE)</f>
        <v>0.1045</v>
      </c>
      <c r="N89">
        <f>VLOOKUP($A89,'Temprorary Data'!$A:$G,5,FALSE)</f>
        <v>2</v>
      </c>
      <c r="O89">
        <f>VLOOKUP($A89,'Temprorary Data'!$A:$G,6,FALSE)</f>
        <v>110</v>
      </c>
      <c r="P89">
        <f>VLOOKUP($A89,'Temprorary Data'!$A:$G,7,FALSE)</f>
        <v>112</v>
      </c>
    </row>
    <row r="90" spans="1:16" ht="15.75" thickBot="1">
      <c r="A90" s="1">
        <v>89</v>
      </c>
      <c r="B90" s="2">
        <v>40547</v>
      </c>
      <c r="C90" s="1">
        <v>1</v>
      </c>
      <c r="D90" s="1">
        <v>0</v>
      </c>
      <c r="E90" s="1">
        <v>1</v>
      </c>
      <c r="F90" s="1">
        <v>20</v>
      </c>
      <c r="G90" s="3" t="b">
        <v>0</v>
      </c>
      <c r="H90" s="1">
        <v>2</v>
      </c>
      <c r="I90" s="1">
        <v>1</v>
      </c>
      <c r="J90" s="1">
        <v>0.24</v>
      </c>
      <c r="K90">
        <f>VLOOKUP($A90,'Temprorary Data'!$A:$G,2,FALSE)</f>
        <v>0.2576</v>
      </c>
      <c r="L90">
        <f>VLOOKUP($A90,'Temprorary Data'!$A:$G,3,FALSE)</f>
        <v>0.48</v>
      </c>
      <c r="M90">
        <f>VLOOKUP($A90,'Temprorary Data'!$A:$G,4,FALSE)</f>
        <v>0.1045</v>
      </c>
      <c r="N90">
        <f>VLOOKUP($A90,'Temprorary Data'!$A:$G,5,FALSE)</f>
        <v>1</v>
      </c>
      <c r="O90">
        <f>VLOOKUP($A90,'Temprorary Data'!$A:$G,6,FALSE)</f>
        <v>53</v>
      </c>
      <c r="P90">
        <f>VLOOKUP($A90,'Temprorary Data'!$A:$G,7,FALSE)</f>
        <v>54</v>
      </c>
    </row>
    <row r="91" spans="1:16" ht="15.75" thickBot="1">
      <c r="A91" s="1">
        <v>90</v>
      </c>
      <c r="B91" s="2">
        <v>40547</v>
      </c>
      <c r="C91" s="1">
        <v>1</v>
      </c>
      <c r="D91" s="1">
        <v>0</v>
      </c>
      <c r="E91" s="1">
        <v>1</v>
      </c>
      <c r="F91" s="1">
        <v>21</v>
      </c>
      <c r="G91" s="3" t="b">
        <v>0</v>
      </c>
      <c r="H91" s="1">
        <v>2</v>
      </c>
      <c r="I91" s="1">
        <v>1</v>
      </c>
      <c r="J91" s="1">
        <v>0.22</v>
      </c>
      <c r="K91">
        <f>VLOOKUP($A91,'Temprorary Data'!$A:$G,2,FALSE)</f>
        <v>0.2727</v>
      </c>
      <c r="L91">
        <f>VLOOKUP($A91,'Temprorary Data'!$A:$G,3,FALSE)</f>
        <v>0.64</v>
      </c>
      <c r="M91">
        <f>VLOOKUP($A91,'Temprorary Data'!$A:$G,4,FALSE)</f>
        <v>0</v>
      </c>
      <c r="N91">
        <f>VLOOKUP($A91,'Temprorary Data'!$A:$G,5,FALSE)</f>
        <v>0</v>
      </c>
      <c r="O91">
        <f>VLOOKUP($A91,'Temprorary Data'!$A:$G,6,FALSE)</f>
        <v>48</v>
      </c>
      <c r="P91">
        <f>VLOOKUP($A91,'Temprorary Data'!$A:$G,7,FALSE)</f>
        <v>48</v>
      </c>
    </row>
    <row r="92" spans="1:16" ht="15.75" thickBot="1">
      <c r="A92" s="1">
        <v>91</v>
      </c>
      <c r="B92" s="2">
        <v>40547</v>
      </c>
      <c r="C92" s="1">
        <v>1</v>
      </c>
      <c r="D92" s="1">
        <v>0</v>
      </c>
      <c r="E92" s="1">
        <v>1</v>
      </c>
      <c r="F92" s="1">
        <v>22</v>
      </c>
      <c r="G92" s="3" t="b">
        <v>0</v>
      </c>
      <c r="H92" s="1">
        <v>2</v>
      </c>
      <c r="I92" s="1">
        <v>1</v>
      </c>
      <c r="J92" s="1">
        <v>0.22</v>
      </c>
      <c r="K92">
        <f>VLOOKUP($A92,'Temprorary Data'!$A:$G,2,FALSE)</f>
        <v>0.2576</v>
      </c>
      <c r="L92">
        <f>VLOOKUP($A92,'Temprorary Data'!$A:$G,3,FALSE)</f>
        <v>0.64</v>
      </c>
      <c r="M92">
        <f>VLOOKUP($A92,'Temprorary Data'!$A:$G,4,FALSE)</f>
        <v>8.9599999999999999E-2</v>
      </c>
      <c r="N92">
        <f>VLOOKUP($A92,'Temprorary Data'!$A:$G,5,FALSE)</f>
        <v>1</v>
      </c>
      <c r="O92">
        <f>VLOOKUP($A92,'Temprorary Data'!$A:$G,6,FALSE)</f>
        <v>34</v>
      </c>
      <c r="P92">
        <f>VLOOKUP($A92,'Temprorary Data'!$A:$G,7,FALSE)</f>
        <v>35</v>
      </c>
    </row>
    <row r="93" spans="1:16" ht="15.75" thickBot="1">
      <c r="A93" s="1">
        <v>92</v>
      </c>
      <c r="B93" s="2">
        <v>40547</v>
      </c>
      <c r="C93" s="1">
        <v>1</v>
      </c>
      <c r="D93" s="1">
        <v>0</v>
      </c>
      <c r="E93" s="1">
        <v>1</v>
      </c>
      <c r="F93" s="1">
        <v>23</v>
      </c>
      <c r="G93" s="3" t="b">
        <v>0</v>
      </c>
      <c r="H93" s="1">
        <v>2</v>
      </c>
      <c r="I93" s="1">
        <v>1</v>
      </c>
      <c r="J93" s="1">
        <v>0.2</v>
      </c>
      <c r="K93">
        <f>VLOOKUP($A93,'Temprorary Data'!$A:$G,2,FALSE)</f>
        <v>0.2273</v>
      </c>
      <c r="L93">
        <f>VLOOKUP($A93,'Temprorary Data'!$A:$G,3,FALSE)</f>
        <v>0.69</v>
      </c>
      <c r="M93">
        <f>VLOOKUP($A93,'Temprorary Data'!$A:$G,4,FALSE)</f>
        <v>8.9599999999999999E-2</v>
      </c>
      <c r="N93">
        <f>VLOOKUP($A93,'Temprorary Data'!$A:$G,5,FALSE)</f>
        <v>2</v>
      </c>
      <c r="O93">
        <f>VLOOKUP($A93,'Temprorary Data'!$A:$G,6,FALSE)</f>
        <v>9</v>
      </c>
      <c r="P93">
        <f>VLOOKUP($A93,'Temprorary Data'!$A:$G,7,FALSE)</f>
        <v>11</v>
      </c>
    </row>
    <row r="94" spans="1:16" ht="15.75" thickBot="1">
      <c r="A94" s="1">
        <v>93</v>
      </c>
      <c r="B94" s="2">
        <v>40548</v>
      </c>
      <c r="C94" s="1">
        <v>1</v>
      </c>
      <c r="D94" s="1">
        <v>0</v>
      </c>
      <c r="E94" s="1">
        <v>1</v>
      </c>
      <c r="F94" s="1">
        <v>0</v>
      </c>
      <c r="G94" s="3" t="b">
        <v>0</v>
      </c>
      <c r="H94" s="1">
        <v>3</v>
      </c>
      <c r="I94" s="1">
        <v>1</v>
      </c>
      <c r="J94" s="1">
        <v>0.2</v>
      </c>
      <c r="K94">
        <f>VLOOKUP($A94,'Temprorary Data'!$A:$G,2,FALSE)</f>
        <v>0.2576</v>
      </c>
      <c r="L94">
        <f>VLOOKUP($A94,'Temprorary Data'!$A:$G,3,FALSE)</f>
        <v>0.64</v>
      </c>
      <c r="M94">
        <f>VLOOKUP($A94,'Temprorary Data'!$A:$G,4,FALSE)</f>
        <v>0</v>
      </c>
      <c r="N94">
        <f>VLOOKUP($A94,'Temprorary Data'!$A:$G,5,FALSE)</f>
        <v>0</v>
      </c>
      <c r="O94">
        <f>VLOOKUP($A94,'Temprorary Data'!$A:$G,6,FALSE)</f>
        <v>6</v>
      </c>
      <c r="P94">
        <f>VLOOKUP($A94,'Temprorary Data'!$A:$G,7,FALSE)</f>
        <v>6</v>
      </c>
    </row>
    <row r="95" spans="1:16" ht="15.75" thickBot="1">
      <c r="A95" s="1">
        <v>94</v>
      </c>
      <c r="B95" s="2">
        <v>40548</v>
      </c>
      <c r="C95" s="1">
        <v>1</v>
      </c>
      <c r="D95" s="1">
        <v>0</v>
      </c>
      <c r="E95" s="1">
        <v>1</v>
      </c>
      <c r="F95" s="1">
        <v>1</v>
      </c>
      <c r="G95" s="3" t="b">
        <v>0</v>
      </c>
      <c r="H95" s="1">
        <v>3</v>
      </c>
      <c r="I95" s="1">
        <v>1</v>
      </c>
      <c r="J95" s="1">
        <v>0.16</v>
      </c>
      <c r="K95">
        <f>VLOOKUP($A95,'Temprorary Data'!$A:$G,2,FALSE)</f>
        <v>0.19700000000000001</v>
      </c>
      <c r="L95">
        <f>VLOOKUP($A95,'Temprorary Data'!$A:$G,3,FALSE)</f>
        <v>0.74</v>
      </c>
      <c r="M95">
        <f>VLOOKUP($A95,'Temprorary Data'!$A:$G,4,FALSE)</f>
        <v>8.9599999999999999E-2</v>
      </c>
      <c r="N95">
        <f>VLOOKUP($A95,'Temprorary Data'!$A:$G,5,FALSE)</f>
        <v>0</v>
      </c>
      <c r="O95">
        <f>VLOOKUP($A95,'Temprorary Data'!$A:$G,6,FALSE)</f>
        <v>6</v>
      </c>
      <c r="P95">
        <f>VLOOKUP($A95,'Temprorary Data'!$A:$G,7,FALSE)</f>
        <v>6</v>
      </c>
    </row>
    <row r="96" spans="1:16" ht="15.75" thickBot="1">
      <c r="A96" s="1">
        <v>95</v>
      </c>
      <c r="B96" s="2">
        <v>40548</v>
      </c>
      <c r="C96" s="1">
        <v>1</v>
      </c>
      <c r="D96" s="1">
        <v>0</v>
      </c>
      <c r="E96" s="1">
        <v>1</v>
      </c>
      <c r="F96" s="1">
        <v>2</v>
      </c>
      <c r="G96" s="3" t="b">
        <v>0</v>
      </c>
      <c r="H96" s="1">
        <v>3</v>
      </c>
      <c r="I96" s="1">
        <v>1</v>
      </c>
      <c r="J96" s="1">
        <v>0.16</v>
      </c>
      <c r="K96">
        <f>VLOOKUP($A96,'Temprorary Data'!$A:$G,2,FALSE)</f>
        <v>0.19700000000000001</v>
      </c>
      <c r="L96">
        <f>VLOOKUP($A96,'Temprorary Data'!$A:$G,3,FALSE)</f>
        <v>0.74</v>
      </c>
      <c r="M96">
        <f>VLOOKUP($A96,'Temprorary Data'!$A:$G,4,FALSE)</f>
        <v>8.9599999999999999E-2</v>
      </c>
      <c r="N96">
        <f>VLOOKUP($A96,'Temprorary Data'!$A:$G,5,FALSE)</f>
        <v>0</v>
      </c>
      <c r="O96">
        <f>VLOOKUP($A96,'Temprorary Data'!$A:$G,6,FALSE)</f>
        <v>2</v>
      </c>
      <c r="P96">
        <f>VLOOKUP($A96,'Temprorary Data'!$A:$G,7,FALSE)</f>
        <v>2</v>
      </c>
    </row>
    <row r="97" spans="1:16" ht="15.75" thickBot="1">
      <c r="A97" s="1">
        <v>96</v>
      </c>
      <c r="B97" s="2">
        <v>40548</v>
      </c>
      <c r="C97" s="1">
        <v>1</v>
      </c>
      <c r="D97" s="1">
        <v>0</v>
      </c>
      <c r="E97" s="1">
        <v>1</v>
      </c>
      <c r="F97" s="1">
        <v>4</v>
      </c>
      <c r="G97" s="3" t="b">
        <v>0</v>
      </c>
      <c r="H97" s="1">
        <v>3</v>
      </c>
      <c r="I97" s="1">
        <v>1</v>
      </c>
      <c r="J97" s="1">
        <v>0.24</v>
      </c>
      <c r="K97">
        <f>VLOOKUP($A97,'Temprorary Data'!$A:$G,2,FALSE)</f>
        <v>0.2273</v>
      </c>
      <c r="L97">
        <f>VLOOKUP($A97,'Temprorary Data'!$A:$G,3,FALSE)</f>
        <v>0.48</v>
      </c>
      <c r="M97">
        <f>VLOOKUP($A97,'Temprorary Data'!$A:$G,4,FALSE)</f>
        <v>0.22389999999999999</v>
      </c>
      <c r="N97">
        <f>VLOOKUP($A97,'Temprorary Data'!$A:$G,5,FALSE)</f>
        <v>0</v>
      </c>
      <c r="O97">
        <f>VLOOKUP($A97,'Temprorary Data'!$A:$G,6,FALSE)</f>
        <v>2</v>
      </c>
      <c r="P97">
        <f>VLOOKUP($A97,'Temprorary Data'!$A:$G,7,FALSE)</f>
        <v>2</v>
      </c>
    </row>
    <row r="98" spans="1:16" ht="15.75" thickBot="1">
      <c r="A98" s="1">
        <v>97</v>
      </c>
      <c r="B98" s="2">
        <v>40548</v>
      </c>
      <c r="C98" s="1">
        <v>1</v>
      </c>
      <c r="D98" s="1">
        <v>0</v>
      </c>
      <c r="E98" s="1">
        <v>1</v>
      </c>
      <c r="F98" s="1">
        <v>5</v>
      </c>
      <c r="G98" s="3" t="b">
        <v>0</v>
      </c>
      <c r="H98" s="1">
        <v>3</v>
      </c>
      <c r="I98" s="1">
        <v>1</v>
      </c>
      <c r="J98" s="1">
        <v>0.22</v>
      </c>
      <c r="K98">
        <f>VLOOKUP($A98,'Temprorary Data'!$A:$G,2,FALSE)</f>
        <v>0.2273</v>
      </c>
      <c r="L98">
        <f>VLOOKUP($A98,'Temprorary Data'!$A:$G,3,FALSE)</f>
        <v>0.47</v>
      </c>
      <c r="M98">
        <f>VLOOKUP($A98,'Temprorary Data'!$A:$G,4,FALSE)</f>
        <v>0.16420000000000001</v>
      </c>
      <c r="N98">
        <f>VLOOKUP($A98,'Temprorary Data'!$A:$G,5,FALSE)</f>
        <v>0</v>
      </c>
      <c r="O98">
        <f>VLOOKUP($A98,'Temprorary Data'!$A:$G,6,FALSE)</f>
        <v>3</v>
      </c>
      <c r="P98">
        <f>VLOOKUP($A98,'Temprorary Data'!$A:$G,7,FALSE)</f>
        <v>3</v>
      </c>
    </row>
    <row r="99" spans="1:16" ht="15.75" thickBot="1">
      <c r="A99" s="1">
        <v>98</v>
      </c>
      <c r="B99" s="2">
        <v>40548</v>
      </c>
      <c r="C99" s="1">
        <v>1</v>
      </c>
      <c r="D99" s="1">
        <v>0</v>
      </c>
      <c r="E99" s="1">
        <v>1</v>
      </c>
      <c r="F99" s="1">
        <v>6</v>
      </c>
      <c r="G99" s="3" t="b">
        <v>0</v>
      </c>
      <c r="H99" s="1">
        <v>3</v>
      </c>
      <c r="I99" s="1">
        <v>1</v>
      </c>
      <c r="J99" s="1">
        <v>0.2</v>
      </c>
      <c r="K99">
        <f>VLOOKUP($A99,'Temprorary Data'!$A:$G,2,FALSE)</f>
        <v>0.19700000000000001</v>
      </c>
      <c r="L99">
        <f>VLOOKUP($A99,'Temprorary Data'!$A:$G,3,FALSE)</f>
        <v>0.47</v>
      </c>
      <c r="M99">
        <f>VLOOKUP($A99,'Temprorary Data'!$A:$G,4,FALSE)</f>
        <v>0.22389999999999999</v>
      </c>
      <c r="N99">
        <f>VLOOKUP($A99,'Temprorary Data'!$A:$G,5,FALSE)</f>
        <v>0</v>
      </c>
      <c r="O99">
        <f>VLOOKUP($A99,'Temprorary Data'!$A:$G,6,FALSE)</f>
        <v>33</v>
      </c>
      <c r="P99">
        <f>VLOOKUP($A99,'Temprorary Data'!$A:$G,7,FALSE)</f>
        <v>33</v>
      </c>
    </row>
    <row r="100" spans="1:16" ht="15.75" thickBot="1">
      <c r="A100" s="1">
        <v>99</v>
      </c>
      <c r="B100" s="2">
        <v>40548</v>
      </c>
      <c r="C100" s="1">
        <v>1</v>
      </c>
      <c r="D100" s="1">
        <v>0</v>
      </c>
      <c r="E100" s="1">
        <v>1</v>
      </c>
      <c r="F100" s="1">
        <v>7</v>
      </c>
      <c r="G100" s="3" t="b">
        <v>0</v>
      </c>
      <c r="H100" s="1">
        <v>3</v>
      </c>
      <c r="I100" s="1">
        <v>1</v>
      </c>
      <c r="J100" s="1">
        <v>0.18</v>
      </c>
      <c r="K100">
        <f>VLOOKUP($A100,'Temprorary Data'!$A:$G,2,FALSE)</f>
        <v>0.18179999999999999</v>
      </c>
      <c r="L100">
        <f>VLOOKUP($A100,'Temprorary Data'!$A:$G,3,FALSE)</f>
        <v>0.43</v>
      </c>
      <c r="M100">
        <f>VLOOKUP($A100,'Temprorary Data'!$A:$G,4,FALSE)</f>
        <v>0.19400000000000001</v>
      </c>
      <c r="N100">
        <f>VLOOKUP($A100,'Temprorary Data'!$A:$G,5,FALSE)</f>
        <v>1</v>
      </c>
      <c r="O100">
        <f>VLOOKUP($A100,'Temprorary Data'!$A:$G,6,FALSE)</f>
        <v>87</v>
      </c>
      <c r="P100">
        <f>VLOOKUP($A100,'Temprorary Data'!$A:$G,7,FALSE)</f>
        <v>88</v>
      </c>
    </row>
    <row r="101" spans="1:16" ht="15.75" thickBot="1">
      <c r="A101" s="1">
        <v>100</v>
      </c>
      <c r="B101" s="2">
        <v>40548</v>
      </c>
      <c r="C101" s="1">
        <v>1</v>
      </c>
      <c r="D101" s="1">
        <v>0</v>
      </c>
      <c r="E101" s="1">
        <v>1</v>
      </c>
      <c r="F101" s="1">
        <v>8</v>
      </c>
      <c r="G101" s="3" t="b">
        <v>0</v>
      </c>
      <c r="H101" s="1">
        <v>3</v>
      </c>
      <c r="I101" s="1">
        <v>1</v>
      </c>
      <c r="J101" s="1">
        <v>0.2</v>
      </c>
      <c r="K101">
        <f>VLOOKUP($A101,'Temprorary Data'!$A:$G,2,FALSE)</f>
        <v>0.18179999999999999</v>
      </c>
      <c r="L101">
        <f>VLOOKUP($A101,'Temprorary Data'!$A:$G,3,FALSE)</f>
        <v>0.4</v>
      </c>
      <c r="M101">
        <f>VLOOKUP($A101,'Temprorary Data'!$A:$G,4,FALSE)</f>
        <v>0.29849999999999999</v>
      </c>
      <c r="N101">
        <f>VLOOKUP($A101,'Temprorary Data'!$A:$G,5,FALSE)</f>
        <v>3</v>
      </c>
      <c r="O101">
        <f>VLOOKUP($A101,'Temprorary Data'!$A:$G,6,FALSE)</f>
        <v>192</v>
      </c>
      <c r="P101">
        <f>VLOOKUP($A101,'Temprorary Data'!$A:$G,7,FALSE)</f>
        <v>195</v>
      </c>
    </row>
    <row r="102" spans="1:16" ht="15.75" thickBot="1">
      <c r="A102" s="1">
        <v>101</v>
      </c>
      <c r="B102" s="2">
        <v>40548</v>
      </c>
      <c r="C102" s="1">
        <v>1</v>
      </c>
      <c r="D102" s="1">
        <v>0</v>
      </c>
      <c r="E102" s="1">
        <v>1</v>
      </c>
      <c r="F102" s="1">
        <v>9</v>
      </c>
      <c r="G102" s="3" t="b">
        <v>0</v>
      </c>
      <c r="H102" s="1">
        <v>3</v>
      </c>
      <c r="I102" s="1">
        <v>1</v>
      </c>
      <c r="J102" s="1">
        <v>0.22</v>
      </c>
      <c r="K102">
        <f>VLOOKUP($A102,'Temprorary Data'!$A:$G,2,FALSE)</f>
        <v>0.19700000000000001</v>
      </c>
      <c r="L102">
        <f>VLOOKUP($A102,'Temprorary Data'!$A:$G,3,FALSE)</f>
        <v>0.37</v>
      </c>
      <c r="M102">
        <f>VLOOKUP($A102,'Temprorary Data'!$A:$G,4,FALSE)</f>
        <v>0.32840000000000003</v>
      </c>
      <c r="N102">
        <f>VLOOKUP($A102,'Temprorary Data'!$A:$G,5,FALSE)</f>
        <v>6</v>
      </c>
      <c r="O102">
        <f>VLOOKUP($A102,'Temprorary Data'!$A:$G,6,FALSE)</f>
        <v>109</v>
      </c>
      <c r="P102">
        <f>VLOOKUP($A102,'Temprorary Data'!$A:$G,7,FALSE)</f>
        <v>115</v>
      </c>
    </row>
    <row r="103" spans="1:16" ht="15.75" thickBot="1">
      <c r="A103" s="1">
        <v>102</v>
      </c>
      <c r="B103" s="2">
        <v>40548</v>
      </c>
      <c r="C103" s="1">
        <v>1</v>
      </c>
      <c r="D103" s="1">
        <v>0</v>
      </c>
      <c r="E103" s="1">
        <v>1</v>
      </c>
      <c r="F103" s="1">
        <v>10</v>
      </c>
      <c r="G103" s="3" t="b">
        <v>0</v>
      </c>
      <c r="H103" s="1">
        <v>3</v>
      </c>
      <c r="I103" s="1">
        <v>1</v>
      </c>
      <c r="J103" s="1">
        <v>0.22</v>
      </c>
      <c r="K103">
        <f>VLOOKUP($A103,'Temprorary Data'!$A:$G,2,FALSE)</f>
        <v>0.19700000000000001</v>
      </c>
      <c r="L103">
        <f>VLOOKUP($A103,'Temprorary Data'!$A:$G,3,FALSE)</f>
        <v>0.37</v>
      </c>
      <c r="M103">
        <f>VLOOKUP($A103,'Temprorary Data'!$A:$G,4,FALSE)</f>
        <v>0.32840000000000003</v>
      </c>
      <c r="N103">
        <f>VLOOKUP($A103,'Temprorary Data'!$A:$G,5,FALSE)</f>
        <v>4</v>
      </c>
      <c r="O103">
        <f>VLOOKUP($A103,'Temprorary Data'!$A:$G,6,FALSE)</f>
        <v>53</v>
      </c>
      <c r="P103">
        <f>VLOOKUP($A103,'Temprorary Data'!$A:$G,7,FALSE)</f>
        <v>57</v>
      </c>
    </row>
    <row r="104" spans="1:16" ht="15.75" thickBot="1">
      <c r="A104" s="1">
        <v>103</v>
      </c>
      <c r="B104" s="2">
        <v>40548</v>
      </c>
      <c r="C104" s="1">
        <v>1</v>
      </c>
      <c r="D104" s="1">
        <v>0</v>
      </c>
      <c r="E104" s="1">
        <v>1</v>
      </c>
      <c r="F104" s="1">
        <v>11</v>
      </c>
      <c r="G104" s="3" t="b">
        <v>0</v>
      </c>
      <c r="H104" s="1">
        <v>3</v>
      </c>
      <c r="I104" s="1">
        <v>1</v>
      </c>
      <c r="J104" s="1">
        <v>0.26</v>
      </c>
      <c r="K104">
        <f>VLOOKUP($A104,'Temprorary Data'!$A:$G,2,FALSE)</f>
        <v>0.2273</v>
      </c>
      <c r="L104">
        <f>VLOOKUP($A104,'Temprorary Data'!$A:$G,3,FALSE)</f>
        <v>0.33</v>
      </c>
      <c r="M104">
        <f>VLOOKUP($A104,'Temprorary Data'!$A:$G,4,FALSE)</f>
        <v>0.32840000000000003</v>
      </c>
      <c r="N104">
        <f>VLOOKUP($A104,'Temprorary Data'!$A:$G,5,FALSE)</f>
        <v>12</v>
      </c>
      <c r="O104">
        <f>VLOOKUP($A104,'Temprorary Data'!$A:$G,6,FALSE)</f>
        <v>34</v>
      </c>
      <c r="P104">
        <f>VLOOKUP($A104,'Temprorary Data'!$A:$G,7,FALSE)</f>
        <v>46</v>
      </c>
    </row>
    <row r="105" spans="1:16" ht="15.75" thickBot="1">
      <c r="A105" s="1">
        <v>104</v>
      </c>
      <c r="B105" s="2">
        <v>40548</v>
      </c>
      <c r="C105" s="1">
        <v>1</v>
      </c>
      <c r="D105" s="1">
        <v>0</v>
      </c>
      <c r="E105" s="1">
        <v>1</v>
      </c>
      <c r="F105" s="1">
        <v>12</v>
      </c>
      <c r="G105" s="3" t="b">
        <v>0</v>
      </c>
      <c r="H105" s="1">
        <v>3</v>
      </c>
      <c r="I105" s="1">
        <v>1</v>
      </c>
      <c r="J105" s="1">
        <v>0.26</v>
      </c>
      <c r="K105">
        <f>VLOOKUP($A105,'Temprorary Data'!$A:$G,2,FALSE)</f>
        <v>0.2273</v>
      </c>
      <c r="L105">
        <f>VLOOKUP($A105,'Temprorary Data'!$A:$G,3,FALSE)</f>
        <v>0.33</v>
      </c>
      <c r="M105">
        <f>VLOOKUP($A105,'Temprorary Data'!$A:$G,4,FALSE)</f>
        <v>0.32840000000000003</v>
      </c>
      <c r="N105">
        <f>VLOOKUP($A105,'Temprorary Data'!$A:$G,5,FALSE)</f>
        <v>5</v>
      </c>
      <c r="O105">
        <f>VLOOKUP($A105,'Temprorary Data'!$A:$G,6,FALSE)</f>
        <v>74</v>
      </c>
      <c r="P105">
        <f>VLOOKUP($A105,'Temprorary Data'!$A:$G,7,FALSE)</f>
        <v>79</v>
      </c>
    </row>
    <row r="106" spans="1:16" ht="15.75" thickBot="1">
      <c r="A106" s="1">
        <v>105</v>
      </c>
      <c r="B106" s="2">
        <v>40548</v>
      </c>
      <c r="C106" s="1">
        <v>1</v>
      </c>
      <c r="D106" s="1">
        <v>0</v>
      </c>
      <c r="E106" s="1">
        <v>1</v>
      </c>
      <c r="F106" s="1">
        <v>13</v>
      </c>
      <c r="G106" s="3" t="b">
        <v>0</v>
      </c>
      <c r="H106" s="1">
        <v>3</v>
      </c>
      <c r="I106" s="1">
        <v>1</v>
      </c>
      <c r="J106" s="1">
        <v>0.28000000000000003</v>
      </c>
      <c r="K106">
        <f>VLOOKUP($A106,'Temprorary Data'!$A:$G,2,FALSE)</f>
        <v>0.2576</v>
      </c>
      <c r="L106">
        <f>VLOOKUP($A106,'Temprorary Data'!$A:$G,3,FALSE)</f>
        <v>0.3</v>
      </c>
      <c r="M106">
        <f>VLOOKUP($A106,'Temprorary Data'!$A:$G,4,FALSE)</f>
        <v>0.29849999999999999</v>
      </c>
      <c r="N106">
        <f>VLOOKUP($A106,'Temprorary Data'!$A:$G,5,FALSE)</f>
        <v>6</v>
      </c>
      <c r="O106">
        <f>VLOOKUP($A106,'Temprorary Data'!$A:$G,6,FALSE)</f>
        <v>65</v>
      </c>
      <c r="P106">
        <f>VLOOKUP($A106,'Temprorary Data'!$A:$G,7,FALSE)</f>
        <v>71</v>
      </c>
    </row>
    <row r="107" spans="1:16" ht="15.75" thickBot="1">
      <c r="A107" s="1">
        <v>106</v>
      </c>
      <c r="B107" s="2">
        <v>40548</v>
      </c>
      <c r="C107" s="1">
        <v>1</v>
      </c>
      <c r="D107" s="1">
        <v>0</v>
      </c>
      <c r="E107" s="1">
        <v>1</v>
      </c>
      <c r="F107" s="1">
        <v>14</v>
      </c>
      <c r="G107" s="3" t="b">
        <v>0</v>
      </c>
      <c r="H107" s="1">
        <v>3</v>
      </c>
      <c r="I107" s="1">
        <v>1</v>
      </c>
      <c r="J107" s="1">
        <v>0.3</v>
      </c>
      <c r="K107">
        <f>VLOOKUP($A107,'Temprorary Data'!$A:$G,2,FALSE)</f>
        <v>0.28789999999999999</v>
      </c>
      <c r="L107">
        <f>VLOOKUP($A107,'Temprorary Data'!$A:$G,3,FALSE)</f>
        <v>0.28000000000000003</v>
      </c>
      <c r="M107">
        <f>VLOOKUP($A107,'Temprorary Data'!$A:$G,4,FALSE)</f>
        <v>0.19400000000000001</v>
      </c>
      <c r="N107">
        <f>VLOOKUP($A107,'Temprorary Data'!$A:$G,5,FALSE)</f>
        <v>10</v>
      </c>
      <c r="O107">
        <f>VLOOKUP($A107,'Temprorary Data'!$A:$G,6,FALSE)</f>
        <v>52</v>
      </c>
      <c r="P107">
        <f>VLOOKUP($A107,'Temprorary Data'!$A:$G,7,FALSE)</f>
        <v>62</v>
      </c>
    </row>
    <row r="108" spans="1:16" ht="15.75" thickBot="1">
      <c r="A108" s="1">
        <v>107</v>
      </c>
      <c r="B108" s="2">
        <v>40548</v>
      </c>
      <c r="C108" s="1">
        <v>1</v>
      </c>
      <c r="D108" s="1">
        <v>0</v>
      </c>
      <c r="E108" s="1">
        <v>1</v>
      </c>
      <c r="F108" s="1">
        <v>15</v>
      </c>
      <c r="G108" s="3" t="b">
        <v>0</v>
      </c>
      <c r="H108" s="1">
        <v>3</v>
      </c>
      <c r="I108" s="1">
        <v>1</v>
      </c>
      <c r="J108" s="1">
        <v>0.3</v>
      </c>
      <c r="K108">
        <f>VLOOKUP($A108,'Temprorary Data'!$A:$G,2,FALSE)</f>
        <v>0.28789999999999999</v>
      </c>
      <c r="L108">
        <f>VLOOKUP($A108,'Temprorary Data'!$A:$G,3,FALSE)</f>
        <v>0.28000000000000003</v>
      </c>
      <c r="M108">
        <f>VLOOKUP($A108,'Temprorary Data'!$A:$G,4,FALSE)</f>
        <v>0.19400000000000001</v>
      </c>
      <c r="N108">
        <f>VLOOKUP($A108,'Temprorary Data'!$A:$G,5,FALSE)</f>
        <v>7</v>
      </c>
      <c r="O108">
        <f>VLOOKUP($A108,'Temprorary Data'!$A:$G,6,FALSE)</f>
        <v>55</v>
      </c>
      <c r="P108">
        <f>VLOOKUP($A108,'Temprorary Data'!$A:$G,7,FALSE)</f>
        <v>62</v>
      </c>
    </row>
    <row r="109" spans="1:16" ht="15.75" thickBot="1">
      <c r="A109" s="1">
        <v>108</v>
      </c>
      <c r="B109" s="2">
        <v>40548</v>
      </c>
      <c r="C109" s="1">
        <v>1</v>
      </c>
      <c r="D109" s="1">
        <v>0</v>
      </c>
      <c r="E109" s="1">
        <v>1</v>
      </c>
      <c r="F109" s="1">
        <v>16</v>
      </c>
      <c r="G109" s="3" t="b">
        <v>0</v>
      </c>
      <c r="H109" s="1">
        <v>3</v>
      </c>
      <c r="I109" s="1">
        <v>1</v>
      </c>
      <c r="J109" s="1">
        <v>0.3</v>
      </c>
      <c r="K109">
        <f>VLOOKUP($A109,'Temprorary Data'!$A:$G,2,FALSE)</f>
        <v>0.31819999999999998</v>
      </c>
      <c r="L109">
        <f>VLOOKUP($A109,'Temprorary Data'!$A:$G,3,FALSE)</f>
        <v>0.28000000000000003</v>
      </c>
      <c r="M109">
        <f>VLOOKUP($A109,'Temprorary Data'!$A:$G,4,FALSE)</f>
        <v>8.9599999999999999E-2</v>
      </c>
      <c r="N109">
        <f>VLOOKUP($A109,'Temprorary Data'!$A:$G,5,FALSE)</f>
        <v>4</v>
      </c>
      <c r="O109">
        <f>VLOOKUP($A109,'Temprorary Data'!$A:$G,6,FALSE)</f>
        <v>85</v>
      </c>
      <c r="P109">
        <f>VLOOKUP($A109,'Temprorary Data'!$A:$G,7,FALSE)</f>
        <v>89</v>
      </c>
    </row>
    <row r="110" spans="1:16" ht="15.75" thickBot="1">
      <c r="A110" s="1">
        <v>109</v>
      </c>
      <c r="B110" s="2">
        <v>40548</v>
      </c>
      <c r="C110" s="1">
        <v>1</v>
      </c>
      <c r="D110" s="1">
        <v>0</v>
      </c>
      <c r="E110" s="1">
        <v>1</v>
      </c>
      <c r="F110" s="1">
        <v>17</v>
      </c>
      <c r="G110" s="3" t="b">
        <v>0</v>
      </c>
      <c r="H110" s="1">
        <v>3</v>
      </c>
      <c r="I110" s="1">
        <v>1</v>
      </c>
      <c r="J110" s="1">
        <v>0.24</v>
      </c>
      <c r="K110">
        <f>VLOOKUP($A110,'Temprorary Data'!$A:$G,2,FALSE)</f>
        <v>0.2273</v>
      </c>
      <c r="L110">
        <f>VLOOKUP($A110,'Temprorary Data'!$A:$G,3,FALSE)</f>
        <v>0.38</v>
      </c>
      <c r="M110">
        <f>VLOOKUP($A110,'Temprorary Data'!$A:$G,4,FALSE)</f>
        <v>0.19400000000000001</v>
      </c>
      <c r="N110">
        <f>VLOOKUP($A110,'Temprorary Data'!$A:$G,5,FALSE)</f>
        <v>4</v>
      </c>
      <c r="O110">
        <f>VLOOKUP($A110,'Temprorary Data'!$A:$G,6,FALSE)</f>
        <v>186</v>
      </c>
      <c r="P110">
        <f>VLOOKUP($A110,'Temprorary Data'!$A:$G,7,FALSE)</f>
        <v>190</v>
      </c>
    </row>
    <row r="111" spans="1:16" ht="15.75" thickBot="1">
      <c r="A111" s="1">
        <v>110</v>
      </c>
      <c r="B111" s="2">
        <v>40548</v>
      </c>
      <c r="C111" s="1">
        <v>1</v>
      </c>
      <c r="D111" s="1">
        <v>0</v>
      </c>
      <c r="E111" s="1">
        <v>1</v>
      </c>
      <c r="F111" s="1">
        <v>18</v>
      </c>
      <c r="G111" s="3" t="b">
        <v>0</v>
      </c>
      <c r="H111" s="1">
        <v>3</v>
      </c>
      <c r="I111" s="1">
        <v>1</v>
      </c>
      <c r="J111" s="1">
        <v>0.24</v>
      </c>
      <c r="K111">
        <f>VLOOKUP($A111,'Temprorary Data'!$A:$G,2,FALSE)</f>
        <v>0.2424</v>
      </c>
      <c r="L111">
        <f>VLOOKUP($A111,'Temprorary Data'!$A:$G,3,FALSE)</f>
        <v>0.38</v>
      </c>
      <c r="M111">
        <f>VLOOKUP($A111,'Temprorary Data'!$A:$G,4,FALSE)</f>
        <v>0.1343</v>
      </c>
      <c r="N111">
        <f>VLOOKUP($A111,'Temprorary Data'!$A:$G,5,FALSE)</f>
        <v>3</v>
      </c>
      <c r="O111">
        <f>VLOOKUP($A111,'Temprorary Data'!$A:$G,6,FALSE)</f>
        <v>166</v>
      </c>
      <c r="P111">
        <f>VLOOKUP($A111,'Temprorary Data'!$A:$G,7,FALSE)</f>
        <v>169</v>
      </c>
    </row>
    <row r="112" spans="1:16" ht="15.75" thickBot="1">
      <c r="A112" s="1">
        <v>111</v>
      </c>
      <c r="B112" s="2">
        <v>40548</v>
      </c>
      <c r="C112" s="1">
        <v>1</v>
      </c>
      <c r="D112" s="1">
        <v>0</v>
      </c>
      <c r="E112" s="1">
        <v>1</v>
      </c>
      <c r="F112" s="1">
        <v>19</v>
      </c>
      <c r="G112" s="3" t="b">
        <v>0</v>
      </c>
      <c r="H112" s="1">
        <v>3</v>
      </c>
      <c r="I112" s="1">
        <v>1</v>
      </c>
      <c r="J112" s="1">
        <v>0.24</v>
      </c>
      <c r="K112">
        <f>VLOOKUP($A112,'Temprorary Data'!$A:$G,2,FALSE)</f>
        <v>0.2576</v>
      </c>
      <c r="L112">
        <f>VLOOKUP($A112,'Temprorary Data'!$A:$G,3,FALSE)</f>
        <v>0.38</v>
      </c>
      <c r="M112">
        <f>VLOOKUP($A112,'Temprorary Data'!$A:$G,4,FALSE)</f>
        <v>0.1045</v>
      </c>
      <c r="N112">
        <f>VLOOKUP($A112,'Temprorary Data'!$A:$G,5,FALSE)</f>
        <v>5</v>
      </c>
      <c r="O112">
        <f>VLOOKUP($A112,'Temprorary Data'!$A:$G,6,FALSE)</f>
        <v>127</v>
      </c>
      <c r="P112">
        <f>VLOOKUP($A112,'Temprorary Data'!$A:$G,7,FALSE)</f>
        <v>132</v>
      </c>
    </row>
    <row r="113" spans="1:16" ht="15.75" thickBot="1">
      <c r="A113" s="1">
        <v>112</v>
      </c>
      <c r="B113" s="2">
        <v>40548</v>
      </c>
      <c r="C113" s="1">
        <v>1</v>
      </c>
      <c r="D113" s="1">
        <v>0</v>
      </c>
      <c r="E113" s="1">
        <v>1</v>
      </c>
      <c r="F113" s="1">
        <v>20</v>
      </c>
      <c r="G113" s="3" t="b">
        <v>0</v>
      </c>
      <c r="H113" s="1">
        <v>3</v>
      </c>
      <c r="I113" s="1">
        <v>1</v>
      </c>
      <c r="J113" s="1">
        <v>0.22</v>
      </c>
      <c r="K113">
        <f>VLOOKUP($A113,'Temprorary Data'!$A:$G,2,FALSE)</f>
        <v>0.2273</v>
      </c>
      <c r="L113">
        <f>VLOOKUP($A113,'Temprorary Data'!$A:$G,3,FALSE)</f>
        <v>0.47</v>
      </c>
      <c r="M113">
        <f>VLOOKUP($A113,'Temprorary Data'!$A:$G,4,FALSE)</f>
        <v>0.16420000000000001</v>
      </c>
      <c r="N113">
        <f>VLOOKUP($A113,'Temprorary Data'!$A:$G,5,FALSE)</f>
        <v>7</v>
      </c>
      <c r="O113">
        <f>VLOOKUP($A113,'Temprorary Data'!$A:$G,6,FALSE)</f>
        <v>82</v>
      </c>
      <c r="P113">
        <f>VLOOKUP($A113,'Temprorary Data'!$A:$G,7,FALSE)</f>
        <v>89</v>
      </c>
    </row>
    <row r="114" spans="1:16" ht="15.75" thickBot="1">
      <c r="A114" s="1">
        <v>113</v>
      </c>
      <c r="B114" s="2">
        <v>40548</v>
      </c>
      <c r="C114" s="1">
        <v>1</v>
      </c>
      <c r="D114" s="1">
        <v>0</v>
      </c>
      <c r="E114" s="1">
        <v>1</v>
      </c>
      <c r="F114" s="1">
        <v>21</v>
      </c>
      <c r="G114" s="3" t="b">
        <v>0</v>
      </c>
      <c r="H114" s="1">
        <v>3</v>
      </c>
      <c r="I114" s="1">
        <v>1</v>
      </c>
      <c r="J114" s="1">
        <v>0.2</v>
      </c>
      <c r="K114">
        <f>VLOOKUP($A114,'Temprorary Data'!$A:$G,2,FALSE)</f>
        <v>0.19700000000000001</v>
      </c>
      <c r="L114">
        <f>VLOOKUP($A114,'Temprorary Data'!$A:$G,3,FALSE)</f>
        <v>0.51</v>
      </c>
      <c r="M114">
        <f>VLOOKUP($A114,'Temprorary Data'!$A:$G,4,FALSE)</f>
        <v>0.19400000000000001</v>
      </c>
      <c r="N114">
        <f>VLOOKUP($A114,'Temprorary Data'!$A:$G,5,FALSE)</f>
        <v>3</v>
      </c>
      <c r="O114">
        <f>VLOOKUP($A114,'Temprorary Data'!$A:$G,6,FALSE)</f>
        <v>40</v>
      </c>
      <c r="P114">
        <f>VLOOKUP($A114,'Temprorary Data'!$A:$G,7,FALSE)</f>
        <v>43</v>
      </c>
    </row>
    <row r="115" spans="1:16" ht="15.75" thickBot="1">
      <c r="A115" s="1">
        <v>114</v>
      </c>
      <c r="B115" s="2">
        <v>40548</v>
      </c>
      <c r="C115" s="1">
        <v>1</v>
      </c>
      <c r="D115" s="1">
        <v>0</v>
      </c>
      <c r="E115" s="1">
        <v>1</v>
      </c>
      <c r="F115" s="1">
        <v>22</v>
      </c>
      <c r="G115" s="3" t="b">
        <v>0</v>
      </c>
      <c r="H115" s="1">
        <v>3</v>
      </c>
      <c r="I115" s="1">
        <v>1</v>
      </c>
      <c r="J115" s="1">
        <v>0.18</v>
      </c>
      <c r="K115">
        <f>VLOOKUP($A115,'Temprorary Data'!$A:$G,2,FALSE)</f>
        <v>0.19700000000000001</v>
      </c>
      <c r="L115">
        <f>VLOOKUP($A115,'Temprorary Data'!$A:$G,3,FALSE)</f>
        <v>0.55000000000000004</v>
      </c>
      <c r="M115">
        <f>VLOOKUP($A115,'Temprorary Data'!$A:$G,4,FALSE)</f>
        <v>0.1343</v>
      </c>
      <c r="N115">
        <f>VLOOKUP($A115,'Temprorary Data'!$A:$G,5,FALSE)</f>
        <v>1</v>
      </c>
      <c r="O115">
        <f>VLOOKUP($A115,'Temprorary Data'!$A:$G,6,FALSE)</f>
        <v>41</v>
      </c>
      <c r="P115">
        <f>VLOOKUP($A115,'Temprorary Data'!$A:$G,7,FALSE)</f>
        <v>42</v>
      </c>
    </row>
    <row r="116" spans="1:16" ht="15.75" thickBot="1">
      <c r="A116" s="1">
        <v>115</v>
      </c>
      <c r="B116" s="2">
        <v>40548</v>
      </c>
      <c r="C116" s="1">
        <v>1</v>
      </c>
      <c r="D116" s="1">
        <v>0</v>
      </c>
      <c r="E116" s="1">
        <v>1</v>
      </c>
      <c r="F116" s="1">
        <v>23</v>
      </c>
      <c r="G116" s="3" t="b">
        <v>0</v>
      </c>
      <c r="H116" s="1">
        <v>3</v>
      </c>
      <c r="I116" s="1">
        <v>1</v>
      </c>
      <c r="J116" s="1">
        <v>0.2</v>
      </c>
      <c r="K116">
        <f>VLOOKUP($A116,'Temprorary Data'!$A:$G,2,FALSE)</f>
        <v>0.2576</v>
      </c>
      <c r="L116">
        <f>VLOOKUP($A116,'Temprorary Data'!$A:$G,3,FALSE)</f>
        <v>0.47</v>
      </c>
      <c r="M116">
        <f>VLOOKUP($A116,'Temprorary Data'!$A:$G,4,FALSE)</f>
        <v>0</v>
      </c>
      <c r="N116">
        <f>VLOOKUP($A116,'Temprorary Data'!$A:$G,5,FALSE)</f>
        <v>1</v>
      </c>
      <c r="O116">
        <f>VLOOKUP($A116,'Temprorary Data'!$A:$G,6,FALSE)</f>
        <v>18</v>
      </c>
      <c r="P116">
        <f>VLOOKUP($A116,'Temprorary Data'!$A:$G,7,FALSE)</f>
        <v>19</v>
      </c>
    </row>
    <row r="117" spans="1:16" ht="15.75" thickBot="1">
      <c r="A117" s="1">
        <v>116</v>
      </c>
      <c r="B117" s="2">
        <v>40549</v>
      </c>
      <c r="C117" s="1">
        <v>1</v>
      </c>
      <c r="D117" s="1">
        <v>0</v>
      </c>
      <c r="E117" s="1">
        <v>1</v>
      </c>
      <c r="F117" s="1">
        <v>0</v>
      </c>
      <c r="G117" s="3" t="b">
        <v>0</v>
      </c>
      <c r="H117" s="1">
        <v>4</v>
      </c>
      <c r="I117" s="1">
        <v>1</v>
      </c>
      <c r="J117" s="1">
        <v>0.18</v>
      </c>
      <c r="K117">
        <f>VLOOKUP($A117,'Temprorary Data'!$A:$G,2,FALSE)</f>
        <v>0.2424</v>
      </c>
      <c r="L117">
        <f>VLOOKUP($A117,'Temprorary Data'!$A:$G,3,FALSE)</f>
        <v>0.55000000000000004</v>
      </c>
      <c r="M117">
        <f>VLOOKUP($A117,'Temprorary Data'!$A:$G,4,FALSE)</f>
        <v>0</v>
      </c>
      <c r="N117">
        <f>VLOOKUP($A117,'Temprorary Data'!$A:$G,5,FALSE)</f>
        <v>0</v>
      </c>
      <c r="O117">
        <f>VLOOKUP($A117,'Temprorary Data'!$A:$G,6,FALSE)</f>
        <v>11</v>
      </c>
      <c r="P117">
        <f>VLOOKUP($A117,'Temprorary Data'!$A:$G,7,FALSE)</f>
        <v>11</v>
      </c>
    </row>
    <row r="118" spans="1:16" ht="15.75" thickBot="1">
      <c r="A118" s="1">
        <v>117</v>
      </c>
      <c r="B118" s="2">
        <v>40549</v>
      </c>
      <c r="C118" s="1">
        <v>1</v>
      </c>
      <c r="D118" s="1">
        <v>0</v>
      </c>
      <c r="E118" s="1">
        <v>1</v>
      </c>
      <c r="F118" s="1">
        <v>1</v>
      </c>
      <c r="G118" s="3" t="b">
        <v>0</v>
      </c>
      <c r="H118" s="1">
        <v>4</v>
      </c>
      <c r="I118" s="1">
        <v>1</v>
      </c>
      <c r="J118" s="1">
        <v>0.16</v>
      </c>
      <c r="K118">
        <f>VLOOKUP($A118,'Temprorary Data'!$A:$G,2,FALSE)</f>
        <v>0.2273</v>
      </c>
      <c r="L118">
        <f>VLOOKUP($A118,'Temprorary Data'!$A:$G,3,FALSE)</f>
        <v>0.64</v>
      </c>
      <c r="M118">
        <f>VLOOKUP($A118,'Temprorary Data'!$A:$G,4,FALSE)</f>
        <v>0</v>
      </c>
      <c r="N118">
        <f>VLOOKUP($A118,'Temprorary Data'!$A:$G,5,FALSE)</f>
        <v>0</v>
      </c>
      <c r="O118">
        <f>VLOOKUP($A118,'Temprorary Data'!$A:$G,6,FALSE)</f>
        <v>4</v>
      </c>
      <c r="P118">
        <f>VLOOKUP($A118,'Temprorary Data'!$A:$G,7,FALSE)</f>
        <v>4</v>
      </c>
    </row>
    <row r="119" spans="1:16" ht="15.75" thickBot="1">
      <c r="A119" s="1">
        <v>118</v>
      </c>
      <c r="B119" s="2">
        <v>40549</v>
      </c>
      <c r="C119" s="1">
        <v>1</v>
      </c>
      <c r="D119" s="1">
        <v>0</v>
      </c>
      <c r="E119" s="1">
        <v>1</v>
      </c>
      <c r="F119" s="1">
        <v>2</v>
      </c>
      <c r="G119" s="3" t="b">
        <v>0</v>
      </c>
      <c r="H119" s="1">
        <v>4</v>
      </c>
      <c r="I119" s="1">
        <v>1</v>
      </c>
      <c r="J119" s="1">
        <v>0.16</v>
      </c>
      <c r="K119">
        <f>VLOOKUP($A119,'Temprorary Data'!$A:$G,2,FALSE)</f>
        <v>0.2273</v>
      </c>
      <c r="L119">
        <f>VLOOKUP($A119,'Temprorary Data'!$A:$G,3,FALSE)</f>
        <v>0.64</v>
      </c>
      <c r="M119">
        <f>VLOOKUP($A119,'Temprorary Data'!$A:$G,4,FALSE)</f>
        <v>0</v>
      </c>
      <c r="N119">
        <f>VLOOKUP($A119,'Temprorary Data'!$A:$G,5,FALSE)</f>
        <v>0</v>
      </c>
      <c r="O119">
        <f>VLOOKUP($A119,'Temprorary Data'!$A:$G,6,FALSE)</f>
        <v>2</v>
      </c>
      <c r="P119">
        <f>VLOOKUP($A119,'Temprorary Data'!$A:$G,7,FALSE)</f>
        <v>2</v>
      </c>
    </row>
    <row r="120" spans="1:16" ht="15.75" thickBot="1">
      <c r="A120" s="1">
        <v>119</v>
      </c>
      <c r="B120" s="2">
        <v>40549</v>
      </c>
      <c r="C120" s="1">
        <v>1</v>
      </c>
      <c r="D120" s="1">
        <v>0</v>
      </c>
      <c r="E120" s="1">
        <v>1</v>
      </c>
      <c r="F120" s="1">
        <v>4</v>
      </c>
      <c r="G120" s="3" t="b">
        <v>0</v>
      </c>
      <c r="H120" s="1">
        <v>4</v>
      </c>
      <c r="I120" s="1">
        <v>2</v>
      </c>
      <c r="J120" s="1">
        <v>0.16</v>
      </c>
      <c r="K120">
        <f>VLOOKUP($A120,'Temprorary Data'!$A:$G,2,FALSE)</f>
        <v>0.19700000000000001</v>
      </c>
      <c r="L120">
        <f>VLOOKUP($A120,'Temprorary Data'!$A:$G,3,FALSE)</f>
        <v>0.64</v>
      </c>
      <c r="M120">
        <f>VLOOKUP($A120,'Temprorary Data'!$A:$G,4,FALSE)</f>
        <v>8.9599999999999999E-2</v>
      </c>
      <c r="N120">
        <f>VLOOKUP($A120,'Temprorary Data'!$A:$G,5,FALSE)</f>
        <v>0</v>
      </c>
      <c r="O120">
        <f>VLOOKUP($A120,'Temprorary Data'!$A:$G,6,FALSE)</f>
        <v>1</v>
      </c>
      <c r="P120">
        <f>VLOOKUP($A120,'Temprorary Data'!$A:$G,7,FALSE)</f>
        <v>1</v>
      </c>
    </row>
    <row r="121" spans="1:16" ht="15.75" thickBot="1">
      <c r="A121" s="1">
        <v>120</v>
      </c>
      <c r="B121" s="2">
        <v>40549</v>
      </c>
      <c r="C121" s="1">
        <v>1</v>
      </c>
      <c r="D121" s="1">
        <v>0</v>
      </c>
      <c r="E121" s="1">
        <v>1</v>
      </c>
      <c r="F121" s="1">
        <v>5</v>
      </c>
      <c r="G121" s="3" t="b">
        <v>0</v>
      </c>
      <c r="H121" s="1">
        <v>4</v>
      </c>
      <c r="I121" s="1">
        <v>2</v>
      </c>
      <c r="J121" s="1">
        <v>0.14000000000000001</v>
      </c>
      <c r="K121">
        <f>VLOOKUP($A121,'Temprorary Data'!$A:$G,2,FALSE)</f>
        <v>0.18179999999999999</v>
      </c>
      <c r="L121">
        <f>VLOOKUP($A121,'Temprorary Data'!$A:$G,3,FALSE)</f>
        <v>0.69</v>
      </c>
      <c r="M121">
        <f>VLOOKUP($A121,'Temprorary Data'!$A:$G,4,FALSE)</f>
        <v>8.9599999999999999E-2</v>
      </c>
      <c r="N121">
        <f>VLOOKUP($A121,'Temprorary Data'!$A:$G,5,FALSE)</f>
        <v>0</v>
      </c>
      <c r="O121">
        <f>VLOOKUP($A121,'Temprorary Data'!$A:$G,6,FALSE)</f>
        <v>4</v>
      </c>
      <c r="P121">
        <f>VLOOKUP($A121,'Temprorary Data'!$A:$G,7,FALSE)</f>
        <v>4</v>
      </c>
    </row>
    <row r="122" spans="1:16" ht="15.75" thickBot="1">
      <c r="A122" s="1">
        <v>121</v>
      </c>
      <c r="B122" s="2">
        <v>40549</v>
      </c>
      <c r="C122" s="1">
        <v>1</v>
      </c>
      <c r="D122" s="1">
        <v>0</v>
      </c>
      <c r="E122" s="1">
        <v>1</v>
      </c>
      <c r="F122" s="1">
        <v>6</v>
      </c>
      <c r="G122" s="3" t="b">
        <v>0</v>
      </c>
      <c r="H122" s="1">
        <v>4</v>
      </c>
      <c r="I122" s="1">
        <v>2</v>
      </c>
      <c r="J122" s="1">
        <v>0.14000000000000001</v>
      </c>
      <c r="K122">
        <f>VLOOKUP($A122,'Temprorary Data'!$A:$G,2,FALSE)</f>
        <v>0.16669999999999999</v>
      </c>
      <c r="L122">
        <f>VLOOKUP($A122,'Temprorary Data'!$A:$G,3,FALSE)</f>
        <v>0.63</v>
      </c>
      <c r="M122">
        <f>VLOOKUP($A122,'Temprorary Data'!$A:$G,4,FALSE)</f>
        <v>0.1045</v>
      </c>
      <c r="N122">
        <f>VLOOKUP($A122,'Temprorary Data'!$A:$G,5,FALSE)</f>
        <v>0</v>
      </c>
      <c r="O122">
        <f>VLOOKUP($A122,'Temprorary Data'!$A:$G,6,FALSE)</f>
        <v>36</v>
      </c>
      <c r="P122">
        <f>VLOOKUP($A122,'Temprorary Data'!$A:$G,7,FALSE)</f>
        <v>36</v>
      </c>
    </row>
    <row r="123" spans="1:16" ht="15.75" thickBot="1">
      <c r="A123" s="1">
        <v>122</v>
      </c>
      <c r="B123" s="2">
        <v>40549</v>
      </c>
      <c r="C123" s="1">
        <v>1</v>
      </c>
      <c r="D123" s="1">
        <v>0</v>
      </c>
      <c r="E123" s="1">
        <v>1</v>
      </c>
      <c r="F123" s="1">
        <v>7</v>
      </c>
      <c r="G123" s="3" t="b">
        <v>0</v>
      </c>
      <c r="H123" s="1">
        <v>4</v>
      </c>
      <c r="I123" s="1">
        <v>2</v>
      </c>
      <c r="J123" s="1">
        <v>0.16</v>
      </c>
      <c r="K123">
        <f>VLOOKUP($A123,'Temprorary Data'!$A:$G,2,FALSE)</f>
        <v>0.2273</v>
      </c>
      <c r="L123">
        <f>VLOOKUP($A123,'Temprorary Data'!$A:$G,3,FALSE)</f>
        <v>0.59</v>
      </c>
      <c r="M123">
        <f>VLOOKUP($A123,'Temprorary Data'!$A:$G,4,FALSE)</f>
        <v>0</v>
      </c>
      <c r="N123">
        <f>VLOOKUP($A123,'Temprorary Data'!$A:$G,5,FALSE)</f>
        <v>0</v>
      </c>
      <c r="O123">
        <f>VLOOKUP($A123,'Temprorary Data'!$A:$G,6,FALSE)</f>
        <v>95</v>
      </c>
      <c r="P123">
        <f>VLOOKUP($A123,'Temprorary Data'!$A:$G,7,FALSE)</f>
        <v>95</v>
      </c>
    </row>
    <row r="124" spans="1:16" ht="15.75" thickBot="1">
      <c r="A124" s="1">
        <v>123</v>
      </c>
      <c r="B124" s="2">
        <v>40549</v>
      </c>
      <c r="C124" s="1">
        <v>1</v>
      </c>
      <c r="D124" s="1">
        <v>0</v>
      </c>
      <c r="E124" s="1">
        <v>1</v>
      </c>
      <c r="F124" s="1">
        <v>8</v>
      </c>
      <c r="G124" s="3" t="b">
        <v>0</v>
      </c>
      <c r="H124" s="1">
        <v>4</v>
      </c>
      <c r="I124" s="1">
        <v>1</v>
      </c>
      <c r="J124" s="1">
        <v>0.16</v>
      </c>
      <c r="K124">
        <f>VLOOKUP($A124,'Temprorary Data'!$A:$G,2,FALSE)</f>
        <v>0.2273</v>
      </c>
      <c r="L124">
        <f>VLOOKUP($A124,'Temprorary Data'!$A:$G,3,FALSE)</f>
        <v>0.59</v>
      </c>
      <c r="M124">
        <f>VLOOKUP($A124,'Temprorary Data'!$A:$G,4,FALSE)</f>
        <v>0</v>
      </c>
      <c r="N124">
        <f>VLOOKUP($A124,'Temprorary Data'!$A:$G,5,FALSE)</f>
        <v>3</v>
      </c>
      <c r="O124">
        <f>VLOOKUP($A124,'Temprorary Data'!$A:$G,6,FALSE)</f>
        <v>216</v>
      </c>
      <c r="P124">
        <f>VLOOKUP($A124,'Temprorary Data'!$A:$G,7,FALSE)</f>
        <v>219</v>
      </c>
    </row>
    <row r="125" spans="1:16" ht="15.75" thickBot="1">
      <c r="A125" s="1">
        <v>124</v>
      </c>
      <c r="B125" s="2">
        <v>40549</v>
      </c>
      <c r="C125" s="1">
        <v>1</v>
      </c>
      <c r="D125" s="1">
        <v>0</v>
      </c>
      <c r="E125" s="1">
        <v>1</v>
      </c>
      <c r="F125" s="1">
        <v>9</v>
      </c>
      <c r="G125" s="3" t="b">
        <v>0</v>
      </c>
      <c r="H125" s="1">
        <v>4</v>
      </c>
      <c r="I125" s="1">
        <v>2</v>
      </c>
      <c r="J125" s="1">
        <v>0.18</v>
      </c>
      <c r="K125">
        <f>VLOOKUP($A125,'Temprorary Data'!$A:$G,2,FALSE)</f>
        <v>0.2424</v>
      </c>
      <c r="L125">
        <f>VLOOKUP($A125,'Temprorary Data'!$A:$G,3,FALSE)</f>
        <v>0.51</v>
      </c>
      <c r="M125">
        <f>VLOOKUP($A125,'Temprorary Data'!$A:$G,4,FALSE)</f>
        <v>0</v>
      </c>
      <c r="N125">
        <f>VLOOKUP($A125,'Temprorary Data'!$A:$G,5,FALSE)</f>
        <v>6</v>
      </c>
      <c r="O125">
        <f>VLOOKUP($A125,'Temprorary Data'!$A:$G,6,FALSE)</f>
        <v>116</v>
      </c>
      <c r="P125">
        <f>VLOOKUP($A125,'Temprorary Data'!$A:$G,7,FALSE)</f>
        <v>122</v>
      </c>
    </row>
    <row r="126" spans="1:16" ht="15.75" thickBot="1">
      <c r="A126" s="1">
        <v>125</v>
      </c>
      <c r="B126" s="2">
        <v>40549</v>
      </c>
      <c r="C126" s="1">
        <v>1</v>
      </c>
      <c r="D126" s="1">
        <v>0</v>
      </c>
      <c r="E126" s="1">
        <v>1</v>
      </c>
      <c r="F126" s="1">
        <v>10</v>
      </c>
      <c r="G126" s="3" t="b">
        <v>0</v>
      </c>
      <c r="H126" s="1">
        <v>4</v>
      </c>
      <c r="I126" s="1">
        <v>1</v>
      </c>
      <c r="J126" s="1">
        <v>0.2</v>
      </c>
      <c r="K126">
        <f>VLOOKUP($A126,'Temprorary Data'!$A:$G,2,FALSE)</f>
        <v>0.2576</v>
      </c>
      <c r="L126">
        <f>VLOOKUP($A126,'Temprorary Data'!$A:$G,3,FALSE)</f>
        <v>0.47</v>
      </c>
      <c r="M126">
        <f>VLOOKUP($A126,'Temprorary Data'!$A:$G,4,FALSE)</f>
        <v>0</v>
      </c>
      <c r="N126">
        <f>VLOOKUP($A126,'Temprorary Data'!$A:$G,5,FALSE)</f>
        <v>3</v>
      </c>
      <c r="O126">
        <f>VLOOKUP($A126,'Temprorary Data'!$A:$G,6,FALSE)</f>
        <v>42</v>
      </c>
      <c r="P126">
        <f>VLOOKUP($A126,'Temprorary Data'!$A:$G,7,FALSE)</f>
        <v>45</v>
      </c>
    </row>
    <row r="127" spans="1:16" ht="15.75" thickBot="1">
      <c r="A127" s="1">
        <v>126</v>
      </c>
      <c r="B127" s="2">
        <v>40549</v>
      </c>
      <c r="C127" s="1">
        <v>1</v>
      </c>
      <c r="D127" s="1">
        <v>0</v>
      </c>
      <c r="E127" s="1">
        <v>1</v>
      </c>
      <c r="F127" s="1">
        <v>11</v>
      </c>
      <c r="G127" s="3" t="b">
        <v>0</v>
      </c>
      <c r="H127" s="1">
        <v>4</v>
      </c>
      <c r="I127" s="1">
        <v>1</v>
      </c>
      <c r="J127" s="1">
        <v>0.22</v>
      </c>
      <c r="K127">
        <f>VLOOKUP($A127,'Temprorary Data'!$A:$G,2,FALSE)</f>
        <v>0.2576</v>
      </c>
      <c r="L127">
        <f>VLOOKUP($A127,'Temprorary Data'!$A:$G,3,FALSE)</f>
        <v>0.44</v>
      </c>
      <c r="M127">
        <f>VLOOKUP($A127,'Temprorary Data'!$A:$G,4,FALSE)</f>
        <v>8.9599999999999999E-2</v>
      </c>
      <c r="N127">
        <f>VLOOKUP($A127,'Temprorary Data'!$A:$G,5,FALSE)</f>
        <v>2</v>
      </c>
      <c r="O127">
        <f>VLOOKUP($A127,'Temprorary Data'!$A:$G,6,FALSE)</f>
        <v>57</v>
      </c>
      <c r="P127">
        <f>VLOOKUP($A127,'Temprorary Data'!$A:$G,7,FALSE)</f>
        <v>59</v>
      </c>
    </row>
    <row r="128" spans="1:16" ht="15.75" thickBot="1">
      <c r="A128" s="1">
        <v>127</v>
      </c>
      <c r="B128" s="2">
        <v>40549</v>
      </c>
      <c r="C128" s="1">
        <v>1</v>
      </c>
      <c r="D128" s="1">
        <v>0</v>
      </c>
      <c r="E128" s="1">
        <v>1</v>
      </c>
      <c r="F128" s="1">
        <v>12</v>
      </c>
      <c r="G128" s="3" t="b">
        <v>0</v>
      </c>
      <c r="H128" s="1">
        <v>4</v>
      </c>
      <c r="I128" s="1">
        <v>1</v>
      </c>
      <c r="J128" s="1">
        <v>0.26</v>
      </c>
      <c r="K128">
        <f>VLOOKUP($A128,'Temprorary Data'!$A:$G,2,FALSE)</f>
        <v>0.28789999999999999</v>
      </c>
      <c r="L128">
        <f>VLOOKUP($A128,'Temprorary Data'!$A:$G,3,FALSE)</f>
        <v>0.35</v>
      </c>
      <c r="M128">
        <f>VLOOKUP($A128,'Temprorary Data'!$A:$G,4,FALSE)</f>
        <v>0</v>
      </c>
      <c r="N128">
        <f>VLOOKUP($A128,'Temprorary Data'!$A:$G,5,FALSE)</f>
        <v>6</v>
      </c>
      <c r="O128">
        <f>VLOOKUP($A128,'Temprorary Data'!$A:$G,6,FALSE)</f>
        <v>78</v>
      </c>
      <c r="P128">
        <f>VLOOKUP($A128,'Temprorary Data'!$A:$G,7,FALSE)</f>
        <v>84</v>
      </c>
    </row>
    <row r="129" spans="1:16" ht="15.75" thickBot="1">
      <c r="A129" s="1">
        <v>128</v>
      </c>
      <c r="B129" s="2">
        <v>40549</v>
      </c>
      <c r="C129" s="1">
        <v>1</v>
      </c>
      <c r="D129" s="1">
        <v>0</v>
      </c>
      <c r="E129" s="1">
        <v>1</v>
      </c>
      <c r="F129" s="1">
        <v>13</v>
      </c>
      <c r="G129" s="3" t="b">
        <v>0</v>
      </c>
      <c r="H129" s="1">
        <v>4</v>
      </c>
      <c r="I129" s="1">
        <v>1</v>
      </c>
      <c r="J129" s="1">
        <v>0.26</v>
      </c>
      <c r="K129">
        <f>VLOOKUP($A129,'Temprorary Data'!$A:$G,2,FALSE)</f>
        <v>0.2727</v>
      </c>
      <c r="L129">
        <f>VLOOKUP($A129,'Temprorary Data'!$A:$G,3,FALSE)</f>
        <v>0.35</v>
      </c>
      <c r="M129">
        <f>VLOOKUP($A129,'Temprorary Data'!$A:$G,4,FALSE)</f>
        <v>0.1045</v>
      </c>
      <c r="N129">
        <f>VLOOKUP($A129,'Temprorary Data'!$A:$G,5,FALSE)</f>
        <v>12</v>
      </c>
      <c r="O129">
        <f>VLOOKUP($A129,'Temprorary Data'!$A:$G,6,FALSE)</f>
        <v>55</v>
      </c>
      <c r="P129">
        <f>VLOOKUP($A129,'Temprorary Data'!$A:$G,7,FALSE)</f>
        <v>67</v>
      </c>
    </row>
    <row r="130" spans="1:16" ht="15.75" thickBot="1">
      <c r="A130" s="1">
        <v>129</v>
      </c>
      <c r="B130" s="2">
        <v>40549</v>
      </c>
      <c r="C130" s="1">
        <v>1</v>
      </c>
      <c r="D130" s="1">
        <v>0</v>
      </c>
      <c r="E130" s="1">
        <v>1</v>
      </c>
      <c r="F130" s="1">
        <v>14</v>
      </c>
      <c r="G130" s="3" t="b">
        <v>0</v>
      </c>
      <c r="H130" s="1">
        <v>4</v>
      </c>
      <c r="I130" s="1">
        <v>1</v>
      </c>
      <c r="J130" s="1">
        <v>0.28000000000000003</v>
      </c>
      <c r="K130">
        <f>VLOOKUP($A130,'Temprorary Data'!$A:$G,2,FALSE)</f>
        <v>0.2727</v>
      </c>
      <c r="L130">
        <f>VLOOKUP($A130,'Temprorary Data'!$A:$G,3,FALSE)</f>
        <v>0.36</v>
      </c>
      <c r="M130">
        <f>VLOOKUP($A130,'Temprorary Data'!$A:$G,4,FALSE)</f>
        <v>0.16420000000000001</v>
      </c>
      <c r="N130">
        <f>VLOOKUP($A130,'Temprorary Data'!$A:$G,5,FALSE)</f>
        <v>11</v>
      </c>
      <c r="O130">
        <f>VLOOKUP($A130,'Temprorary Data'!$A:$G,6,FALSE)</f>
        <v>59</v>
      </c>
      <c r="P130">
        <f>VLOOKUP($A130,'Temprorary Data'!$A:$G,7,FALSE)</f>
        <v>70</v>
      </c>
    </row>
    <row r="131" spans="1:16" ht="15.75" thickBot="1">
      <c r="A131" s="1">
        <v>130</v>
      </c>
      <c r="B131" s="2">
        <v>40549</v>
      </c>
      <c r="C131" s="1">
        <v>1</v>
      </c>
      <c r="D131" s="1">
        <v>0</v>
      </c>
      <c r="E131" s="1">
        <v>1</v>
      </c>
      <c r="F131" s="1">
        <v>15</v>
      </c>
      <c r="G131" s="3" t="b">
        <v>0</v>
      </c>
      <c r="H131" s="1">
        <v>4</v>
      </c>
      <c r="I131" s="1">
        <v>1</v>
      </c>
      <c r="J131" s="1">
        <v>0.28000000000000003</v>
      </c>
      <c r="K131">
        <f>VLOOKUP($A131,'Temprorary Data'!$A:$G,2,FALSE)</f>
        <v>0.2727</v>
      </c>
      <c r="L131">
        <f>VLOOKUP($A131,'Temprorary Data'!$A:$G,3,FALSE)</f>
        <v>0.36</v>
      </c>
      <c r="M131">
        <f>VLOOKUP($A131,'Temprorary Data'!$A:$G,4,FALSE)</f>
        <v>0</v>
      </c>
      <c r="N131">
        <f>VLOOKUP($A131,'Temprorary Data'!$A:$G,5,FALSE)</f>
        <v>8</v>
      </c>
      <c r="O131">
        <f>VLOOKUP($A131,'Temprorary Data'!$A:$G,6,FALSE)</f>
        <v>54</v>
      </c>
      <c r="P131">
        <f>VLOOKUP($A131,'Temprorary Data'!$A:$G,7,FALSE)</f>
        <v>62</v>
      </c>
    </row>
    <row r="132" spans="1:16" ht="15.75" thickBot="1">
      <c r="A132" s="1">
        <v>131</v>
      </c>
      <c r="B132" s="2">
        <v>40549</v>
      </c>
      <c r="C132" s="1">
        <v>1</v>
      </c>
      <c r="D132" s="1">
        <v>0</v>
      </c>
      <c r="E132" s="1">
        <v>1</v>
      </c>
      <c r="F132" s="1">
        <v>16</v>
      </c>
      <c r="G132" s="3" t="b">
        <v>0</v>
      </c>
      <c r="H132" s="1">
        <v>4</v>
      </c>
      <c r="I132" s="1">
        <v>1</v>
      </c>
      <c r="J132" s="1">
        <v>0.26</v>
      </c>
      <c r="K132">
        <f>VLOOKUP($A132,'Temprorary Data'!$A:$G,2,FALSE)</f>
        <v>0.2576</v>
      </c>
      <c r="L132">
        <f>VLOOKUP($A132,'Temprorary Data'!$A:$G,3,FALSE)</f>
        <v>0.38</v>
      </c>
      <c r="M132">
        <f>VLOOKUP($A132,'Temprorary Data'!$A:$G,4,FALSE)</f>
        <v>0.16420000000000001</v>
      </c>
      <c r="N132">
        <f>VLOOKUP($A132,'Temprorary Data'!$A:$G,5,FALSE)</f>
        <v>12</v>
      </c>
      <c r="O132">
        <f>VLOOKUP($A132,'Temprorary Data'!$A:$G,6,FALSE)</f>
        <v>74</v>
      </c>
      <c r="P132">
        <f>VLOOKUP($A132,'Temprorary Data'!$A:$G,7,FALSE)</f>
        <v>86</v>
      </c>
    </row>
    <row r="133" spans="1:16" ht="15.75" thickBot="1">
      <c r="A133" s="1">
        <v>132</v>
      </c>
      <c r="B133" s="2">
        <v>40549</v>
      </c>
      <c r="C133" s="1">
        <v>1</v>
      </c>
      <c r="D133" s="1">
        <v>0</v>
      </c>
      <c r="E133" s="1">
        <v>1</v>
      </c>
      <c r="F133" s="1">
        <v>17</v>
      </c>
      <c r="G133" s="3" t="b">
        <v>0</v>
      </c>
      <c r="H133" s="1">
        <v>4</v>
      </c>
      <c r="I133" s="1">
        <v>1</v>
      </c>
      <c r="J133" s="1">
        <v>0.22</v>
      </c>
      <c r="K133">
        <f>VLOOKUP($A133,'Temprorary Data'!$A:$G,2,FALSE)</f>
        <v>0.2273</v>
      </c>
      <c r="L133">
        <f>VLOOKUP($A133,'Temprorary Data'!$A:$G,3,FALSE)</f>
        <v>0.51</v>
      </c>
      <c r="M133">
        <f>VLOOKUP($A133,'Temprorary Data'!$A:$G,4,FALSE)</f>
        <v>0.16420000000000001</v>
      </c>
      <c r="N133">
        <f>VLOOKUP($A133,'Temprorary Data'!$A:$G,5,FALSE)</f>
        <v>9</v>
      </c>
      <c r="O133">
        <f>VLOOKUP($A133,'Temprorary Data'!$A:$G,6,FALSE)</f>
        <v>163</v>
      </c>
      <c r="P133">
        <f>VLOOKUP($A133,'Temprorary Data'!$A:$G,7,FALSE)</f>
        <v>172</v>
      </c>
    </row>
    <row r="134" spans="1:16" ht="15.75" thickBot="1">
      <c r="A134" s="1">
        <v>133</v>
      </c>
      <c r="B134" s="2">
        <v>40549</v>
      </c>
      <c r="C134" s="1">
        <v>1</v>
      </c>
      <c r="D134" s="1">
        <v>0</v>
      </c>
      <c r="E134" s="1">
        <v>1</v>
      </c>
      <c r="F134" s="1">
        <v>18</v>
      </c>
      <c r="G134" s="3" t="b">
        <v>0</v>
      </c>
      <c r="H134" s="1">
        <v>4</v>
      </c>
      <c r="I134" s="1">
        <v>1</v>
      </c>
      <c r="J134" s="1">
        <v>0.22</v>
      </c>
      <c r="K134">
        <f>VLOOKUP($A134,'Temprorary Data'!$A:$G,2,FALSE)</f>
        <v>0.2273</v>
      </c>
      <c r="L134">
        <f>VLOOKUP($A134,'Temprorary Data'!$A:$G,3,FALSE)</f>
        <v>0.51</v>
      </c>
      <c r="M134">
        <f>VLOOKUP($A134,'Temprorary Data'!$A:$G,4,FALSE)</f>
        <v>0.1343</v>
      </c>
      <c r="N134">
        <f>VLOOKUP($A134,'Temprorary Data'!$A:$G,5,FALSE)</f>
        <v>5</v>
      </c>
      <c r="O134">
        <f>VLOOKUP($A134,'Temprorary Data'!$A:$G,6,FALSE)</f>
        <v>158</v>
      </c>
      <c r="P134">
        <f>VLOOKUP($A134,'Temprorary Data'!$A:$G,7,FALSE)</f>
        <v>163</v>
      </c>
    </row>
    <row r="135" spans="1:16" ht="15.75" thickBot="1">
      <c r="A135" s="1">
        <v>134</v>
      </c>
      <c r="B135" s="2">
        <v>40549</v>
      </c>
      <c r="C135" s="1">
        <v>1</v>
      </c>
      <c r="D135" s="1">
        <v>0</v>
      </c>
      <c r="E135" s="1">
        <v>1</v>
      </c>
      <c r="F135" s="1">
        <v>19</v>
      </c>
      <c r="G135" s="3" t="b">
        <v>0</v>
      </c>
      <c r="H135" s="1">
        <v>4</v>
      </c>
      <c r="I135" s="1">
        <v>1</v>
      </c>
      <c r="J135" s="1">
        <v>0.22</v>
      </c>
      <c r="K135">
        <f>VLOOKUP($A135,'Temprorary Data'!$A:$G,2,FALSE)</f>
        <v>0.2576</v>
      </c>
      <c r="L135">
        <f>VLOOKUP($A135,'Temprorary Data'!$A:$G,3,FALSE)</f>
        <v>0.55000000000000004</v>
      </c>
      <c r="M135">
        <f>VLOOKUP($A135,'Temprorary Data'!$A:$G,4,FALSE)</f>
        <v>8.9599999999999999E-2</v>
      </c>
      <c r="N135">
        <f>VLOOKUP($A135,'Temprorary Data'!$A:$G,5,FALSE)</f>
        <v>3</v>
      </c>
      <c r="O135">
        <f>VLOOKUP($A135,'Temprorary Data'!$A:$G,6,FALSE)</f>
        <v>109</v>
      </c>
      <c r="P135">
        <f>VLOOKUP($A135,'Temprorary Data'!$A:$G,7,FALSE)</f>
        <v>112</v>
      </c>
    </row>
    <row r="136" spans="1:16" ht="15.75" thickBot="1">
      <c r="A136" s="1">
        <v>135</v>
      </c>
      <c r="B136" s="2">
        <v>40549</v>
      </c>
      <c r="C136" s="1">
        <v>1</v>
      </c>
      <c r="D136" s="1">
        <v>0</v>
      </c>
      <c r="E136" s="1">
        <v>1</v>
      </c>
      <c r="F136" s="1">
        <v>20</v>
      </c>
      <c r="G136" s="3" t="b">
        <v>0</v>
      </c>
      <c r="H136" s="1">
        <v>4</v>
      </c>
      <c r="I136" s="1">
        <v>1</v>
      </c>
      <c r="J136" s="1">
        <v>0.2</v>
      </c>
      <c r="K136">
        <f>VLOOKUP($A136,'Temprorary Data'!$A:$G,2,FALSE)</f>
        <v>0.21210000000000001</v>
      </c>
      <c r="L136">
        <f>VLOOKUP($A136,'Temprorary Data'!$A:$G,3,FALSE)</f>
        <v>0.51</v>
      </c>
      <c r="M136">
        <f>VLOOKUP($A136,'Temprorary Data'!$A:$G,4,FALSE)</f>
        <v>0.16420000000000001</v>
      </c>
      <c r="N136">
        <f>VLOOKUP($A136,'Temprorary Data'!$A:$G,5,FALSE)</f>
        <v>3</v>
      </c>
      <c r="O136">
        <f>VLOOKUP($A136,'Temprorary Data'!$A:$G,6,FALSE)</f>
        <v>66</v>
      </c>
      <c r="P136">
        <f>VLOOKUP($A136,'Temprorary Data'!$A:$G,7,FALSE)</f>
        <v>69</v>
      </c>
    </row>
    <row r="137" spans="1:16" ht="15.75" thickBot="1">
      <c r="A137" s="1">
        <v>136</v>
      </c>
      <c r="B137" s="2">
        <v>40549</v>
      </c>
      <c r="C137" s="1">
        <v>1</v>
      </c>
      <c r="D137" s="1">
        <v>0</v>
      </c>
      <c r="E137" s="1">
        <v>1</v>
      </c>
      <c r="F137" s="1">
        <v>21</v>
      </c>
      <c r="G137" s="3" t="b">
        <v>0</v>
      </c>
      <c r="H137" s="1">
        <v>4</v>
      </c>
      <c r="I137" s="1">
        <v>2</v>
      </c>
      <c r="J137" s="1">
        <v>0.22</v>
      </c>
      <c r="K137">
        <f>VLOOKUP($A137,'Temprorary Data'!$A:$G,2,FALSE)</f>
        <v>0.21210000000000001</v>
      </c>
      <c r="L137">
        <f>VLOOKUP($A137,'Temprorary Data'!$A:$G,3,FALSE)</f>
        <v>0.55000000000000004</v>
      </c>
      <c r="M137">
        <f>VLOOKUP($A137,'Temprorary Data'!$A:$G,4,FALSE)</f>
        <v>0.22389999999999999</v>
      </c>
      <c r="N137">
        <f>VLOOKUP($A137,'Temprorary Data'!$A:$G,5,FALSE)</f>
        <v>0</v>
      </c>
      <c r="O137">
        <f>VLOOKUP($A137,'Temprorary Data'!$A:$G,6,FALSE)</f>
        <v>48</v>
      </c>
      <c r="P137">
        <f>VLOOKUP($A137,'Temprorary Data'!$A:$G,7,FALSE)</f>
        <v>48</v>
      </c>
    </row>
    <row r="138" spans="1:16" ht="15.75" thickBot="1">
      <c r="A138" s="1">
        <v>137</v>
      </c>
      <c r="B138" s="2">
        <v>40549</v>
      </c>
      <c r="C138" s="1">
        <v>1</v>
      </c>
      <c r="D138" s="1">
        <v>0</v>
      </c>
      <c r="E138" s="1">
        <v>1</v>
      </c>
      <c r="F138" s="1">
        <v>22</v>
      </c>
      <c r="G138" s="3" t="b">
        <v>0</v>
      </c>
      <c r="H138" s="1">
        <v>4</v>
      </c>
      <c r="I138" s="1">
        <v>2</v>
      </c>
      <c r="J138" s="1">
        <v>0.22</v>
      </c>
      <c r="K138">
        <f>VLOOKUP($A138,'Temprorary Data'!$A:$G,2,FALSE)</f>
        <v>0.21210000000000001</v>
      </c>
      <c r="L138">
        <f>VLOOKUP($A138,'Temprorary Data'!$A:$G,3,FALSE)</f>
        <v>0.51</v>
      </c>
      <c r="M138">
        <f>VLOOKUP($A138,'Temprorary Data'!$A:$G,4,FALSE)</f>
        <v>0.28360000000000002</v>
      </c>
      <c r="N138">
        <f>VLOOKUP($A138,'Temprorary Data'!$A:$G,5,FALSE)</f>
        <v>1</v>
      </c>
      <c r="O138">
        <f>VLOOKUP($A138,'Temprorary Data'!$A:$G,6,FALSE)</f>
        <v>51</v>
      </c>
      <c r="P138">
        <f>VLOOKUP($A138,'Temprorary Data'!$A:$G,7,FALSE)</f>
        <v>52</v>
      </c>
    </row>
    <row r="139" spans="1:16" ht="15.75" thickBot="1">
      <c r="A139" s="1">
        <v>138</v>
      </c>
      <c r="B139" s="2">
        <v>40549</v>
      </c>
      <c r="C139" s="1">
        <v>1</v>
      </c>
      <c r="D139" s="1">
        <v>0</v>
      </c>
      <c r="E139" s="1">
        <v>1</v>
      </c>
      <c r="F139" s="1">
        <v>23</v>
      </c>
      <c r="G139" s="3" t="b">
        <v>0</v>
      </c>
      <c r="H139" s="1">
        <v>4</v>
      </c>
      <c r="I139" s="1">
        <v>2</v>
      </c>
      <c r="J139" s="1">
        <v>0.2</v>
      </c>
      <c r="K139">
        <f>VLOOKUP($A139,'Temprorary Data'!$A:$G,2,FALSE)</f>
        <v>0.19700000000000001</v>
      </c>
      <c r="L139">
        <f>VLOOKUP($A139,'Temprorary Data'!$A:$G,3,FALSE)</f>
        <v>0.59</v>
      </c>
      <c r="M139">
        <f>VLOOKUP($A139,'Temprorary Data'!$A:$G,4,FALSE)</f>
        <v>0.19400000000000001</v>
      </c>
      <c r="N139">
        <f>VLOOKUP($A139,'Temprorary Data'!$A:$G,5,FALSE)</f>
        <v>4</v>
      </c>
      <c r="O139">
        <f>VLOOKUP($A139,'Temprorary Data'!$A:$G,6,FALSE)</f>
        <v>19</v>
      </c>
      <c r="P139">
        <f>VLOOKUP($A139,'Temprorary Data'!$A:$G,7,FALSE)</f>
        <v>23</v>
      </c>
    </row>
    <row r="140" spans="1:16" ht="15.75" thickBot="1">
      <c r="A140" s="1">
        <v>139</v>
      </c>
      <c r="B140" s="2">
        <v>40550</v>
      </c>
      <c r="C140" s="1">
        <v>1</v>
      </c>
      <c r="D140" s="1">
        <v>0</v>
      </c>
      <c r="E140" s="1">
        <v>1</v>
      </c>
      <c r="F140" s="1">
        <v>0</v>
      </c>
      <c r="G140" s="3" t="b">
        <v>0</v>
      </c>
      <c r="H140" s="1">
        <v>5</v>
      </c>
      <c r="I140" s="1">
        <v>2</v>
      </c>
      <c r="J140" s="1">
        <v>0.2</v>
      </c>
      <c r="K140">
        <f>VLOOKUP($A140,'Temprorary Data'!$A:$G,2,FALSE)</f>
        <v>0.19700000000000001</v>
      </c>
      <c r="L140">
        <f>VLOOKUP($A140,'Temprorary Data'!$A:$G,3,FALSE)</f>
        <v>0.64</v>
      </c>
      <c r="M140">
        <f>VLOOKUP($A140,'Temprorary Data'!$A:$G,4,FALSE)</f>
        <v>0.19400000000000001</v>
      </c>
      <c r="N140">
        <f>VLOOKUP($A140,'Temprorary Data'!$A:$G,5,FALSE)</f>
        <v>4</v>
      </c>
      <c r="O140">
        <f>VLOOKUP($A140,'Temprorary Data'!$A:$G,6,FALSE)</f>
        <v>13</v>
      </c>
      <c r="P140">
        <f>VLOOKUP($A140,'Temprorary Data'!$A:$G,7,FALSE)</f>
        <v>17</v>
      </c>
    </row>
    <row r="141" spans="1:16" ht="15.75" thickBot="1">
      <c r="A141" s="1">
        <v>140</v>
      </c>
      <c r="B141" s="2">
        <v>40550</v>
      </c>
      <c r="C141" s="1">
        <v>1</v>
      </c>
      <c r="D141" s="1">
        <v>0</v>
      </c>
      <c r="E141" s="1">
        <v>1</v>
      </c>
      <c r="F141" s="1">
        <v>1</v>
      </c>
      <c r="G141" s="3" t="b">
        <v>0</v>
      </c>
      <c r="H141" s="1">
        <v>5</v>
      </c>
      <c r="I141" s="1">
        <v>2</v>
      </c>
      <c r="J141" s="1">
        <v>0.2</v>
      </c>
      <c r="K141">
        <f>VLOOKUP($A141,'Temprorary Data'!$A:$G,2,FALSE)</f>
        <v>0.19700000000000001</v>
      </c>
      <c r="L141">
        <f>VLOOKUP($A141,'Temprorary Data'!$A:$G,3,FALSE)</f>
        <v>0.69</v>
      </c>
      <c r="M141">
        <f>VLOOKUP($A141,'Temprorary Data'!$A:$G,4,FALSE)</f>
        <v>0.22389999999999999</v>
      </c>
      <c r="N141">
        <f>VLOOKUP($A141,'Temprorary Data'!$A:$G,5,FALSE)</f>
        <v>2</v>
      </c>
      <c r="O141">
        <f>VLOOKUP($A141,'Temprorary Data'!$A:$G,6,FALSE)</f>
        <v>5</v>
      </c>
      <c r="P141">
        <f>VLOOKUP($A141,'Temprorary Data'!$A:$G,7,FALSE)</f>
        <v>7</v>
      </c>
    </row>
    <row r="142" spans="1:16" ht="15.75" thickBot="1">
      <c r="A142" s="1">
        <v>141</v>
      </c>
      <c r="B142" s="2">
        <v>40550</v>
      </c>
      <c r="C142" s="1">
        <v>1</v>
      </c>
      <c r="D142" s="1">
        <v>0</v>
      </c>
      <c r="E142" s="1">
        <v>1</v>
      </c>
      <c r="F142" s="1">
        <v>2</v>
      </c>
      <c r="G142" s="3" t="b">
        <v>0</v>
      </c>
      <c r="H142" s="1">
        <v>5</v>
      </c>
      <c r="I142" s="1">
        <v>2</v>
      </c>
      <c r="J142" s="1">
        <v>0.2</v>
      </c>
      <c r="K142">
        <f>VLOOKUP($A142,'Temprorary Data'!$A:$G,2,FALSE)</f>
        <v>0.19700000000000001</v>
      </c>
      <c r="L142">
        <f>VLOOKUP($A142,'Temprorary Data'!$A:$G,3,FALSE)</f>
        <v>0.69</v>
      </c>
      <c r="M142">
        <f>VLOOKUP($A142,'Temprorary Data'!$A:$G,4,FALSE)</f>
        <v>0.22389999999999999</v>
      </c>
      <c r="N142">
        <f>VLOOKUP($A142,'Temprorary Data'!$A:$G,5,FALSE)</f>
        <v>0</v>
      </c>
      <c r="O142">
        <f>VLOOKUP($A142,'Temprorary Data'!$A:$G,6,FALSE)</f>
        <v>1</v>
      </c>
      <c r="P142">
        <f>VLOOKUP($A142,'Temprorary Data'!$A:$G,7,FALSE)</f>
        <v>1</v>
      </c>
    </row>
    <row r="143" spans="1:16" ht="15.75" thickBot="1">
      <c r="A143" s="1">
        <v>142</v>
      </c>
      <c r="B143" s="2">
        <v>40550</v>
      </c>
      <c r="C143" s="1">
        <v>1</v>
      </c>
      <c r="D143" s="1">
        <v>0</v>
      </c>
      <c r="E143" s="1">
        <v>1</v>
      </c>
      <c r="F143" s="1">
        <v>4</v>
      </c>
      <c r="G143" s="3" t="b">
        <v>0</v>
      </c>
      <c r="H143" s="1">
        <v>5</v>
      </c>
      <c r="I143" s="1">
        <v>2</v>
      </c>
      <c r="J143" s="1">
        <v>0.2</v>
      </c>
      <c r="K143">
        <f>VLOOKUP($A143,'Temprorary Data'!$A:$G,2,FALSE)</f>
        <v>0.21210000000000001</v>
      </c>
      <c r="L143">
        <f>VLOOKUP($A143,'Temprorary Data'!$A:$G,3,FALSE)</f>
        <v>0.69</v>
      </c>
      <c r="M143">
        <f>VLOOKUP($A143,'Temprorary Data'!$A:$G,4,FALSE)</f>
        <v>0.1343</v>
      </c>
      <c r="N143">
        <f>VLOOKUP($A143,'Temprorary Data'!$A:$G,5,FALSE)</f>
        <v>0</v>
      </c>
      <c r="O143">
        <f>VLOOKUP($A143,'Temprorary Data'!$A:$G,6,FALSE)</f>
        <v>1</v>
      </c>
      <c r="P143">
        <f>VLOOKUP($A143,'Temprorary Data'!$A:$G,7,FALSE)</f>
        <v>1</v>
      </c>
    </row>
    <row r="144" spans="1:16" ht="15.75" thickBot="1">
      <c r="A144" s="1">
        <v>143</v>
      </c>
      <c r="B144" s="2">
        <v>40550</v>
      </c>
      <c r="C144" s="1">
        <v>1</v>
      </c>
      <c r="D144" s="1">
        <v>0</v>
      </c>
      <c r="E144" s="1">
        <v>1</v>
      </c>
      <c r="F144" s="1">
        <v>5</v>
      </c>
      <c r="G144" s="3" t="b">
        <v>0</v>
      </c>
      <c r="H144" s="1">
        <v>5</v>
      </c>
      <c r="I144" s="1">
        <v>3</v>
      </c>
      <c r="J144" s="1">
        <v>0.22</v>
      </c>
      <c r="K144">
        <f>VLOOKUP($A144,'Temprorary Data'!$A:$G,2,FALSE)</f>
        <v>0.2727</v>
      </c>
      <c r="L144">
        <f>VLOOKUP($A144,'Temprorary Data'!$A:$G,3,FALSE)</f>
        <v>0.55000000000000004</v>
      </c>
      <c r="M144">
        <f>VLOOKUP($A144,'Temprorary Data'!$A:$G,4,FALSE)</f>
        <v>0</v>
      </c>
      <c r="N144">
        <f>VLOOKUP($A144,'Temprorary Data'!$A:$G,5,FALSE)</f>
        <v>0</v>
      </c>
      <c r="O144">
        <f>VLOOKUP($A144,'Temprorary Data'!$A:$G,6,FALSE)</f>
        <v>5</v>
      </c>
      <c r="P144">
        <f>VLOOKUP($A144,'Temprorary Data'!$A:$G,7,FALSE)</f>
        <v>5</v>
      </c>
    </row>
    <row r="145" spans="1:16" ht="15.75" thickBot="1">
      <c r="A145" s="1">
        <v>144</v>
      </c>
      <c r="B145" s="2">
        <v>40550</v>
      </c>
      <c r="C145" s="1">
        <v>1</v>
      </c>
      <c r="D145" s="1">
        <v>0</v>
      </c>
      <c r="E145" s="1">
        <v>1</v>
      </c>
      <c r="F145" s="1">
        <v>6</v>
      </c>
      <c r="G145" s="3" t="b">
        <v>0</v>
      </c>
      <c r="H145" s="1">
        <v>5</v>
      </c>
      <c r="I145" s="1">
        <v>2</v>
      </c>
      <c r="J145" s="1">
        <v>0.2</v>
      </c>
      <c r="K145">
        <f>VLOOKUP($A145,'Temprorary Data'!$A:$G,2,FALSE)</f>
        <v>0.2576</v>
      </c>
      <c r="L145">
        <f>VLOOKUP($A145,'Temprorary Data'!$A:$G,3,FALSE)</f>
        <v>0.69</v>
      </c>
      <c r="M145">
        <f>VLOOKUP($A145,'Temprorary Data'!$A:$G,4,FALSE)</f>
        <v>0</v>
      </c>
      <c r="N145">
        <f>VLOOKUP($A145,'Temprorary Data'!$A:$G,5,FALSE)</f>
        <v>8</v>
      </c>
      <c r="O145">
        <f>VLOOKUP($A145,'Temprorary Data'!$A:$G,6,FALSE)</f>
        <v>26</v>
      </c>
      <c r="P145">
        <f>VLOOKUP($A145,'Temprorary Data'!$A:$G,7,FALSE)</f>
        <v>34</v>
      </c>
    </row>
    <row r="146" spans="1:16" ht="15.75" thickBot="1">
      <c r="A146" s="1">
        <v>145</v>
      </c>
      <c r="B146" s="2">
        <v>40550</v>
      </c>
      <c r="C146" s="1">
        <v>1</v>
      </c>
      <c r="D146" s="1">
        <v>0</v>
      </c>
      <c r="E146" s="1">
        <v>1</v>
      </c>
      <c r="F146" s="1">
        <v>7</v>
      </c>
      <c r="G146" s="3" t="b">
        <v>0</v>
      </c>
      <c r="H146" s="1">
        <v>5</v>
      </c>
      <c r="I146" s="1">
        <v>1</v>
      </c>
      <c r="J146" s="1">
        <v>0.2</v>
      </c>
      <c r="K146">
        <f>VLOOKUP($A146,'Temprorary Data'!$A:$G,2,FALSE)</f>
        <v>0.21210000000000001</v>
      </c>
      <c r="L146">
        <f>VLOOKUP($A146,'Temprorary Data'!$A:$G,3,FALSE)</f>
        <v>0.69</v>
      </c>
      <c r="M146">
        <f>VLOOKUP($A146,'Temprorary Data'!$A:$G,4,FALSE)</f>
        <v>0.1343</v>
      </c>
      <c r="N146">
        <f>VLOOKUP($A146,'Temprorary Data'!$A:$G,5,FALSE)</f>
        <v>8</v>
      </c>
      <c r="O146">
        <f>VLOOKUP($A146,'Temprorary Data'!$A:$G,6,FALSE)</f>
        <v>76</v>
      </c>
      <c r="P146">
        <f>VLOOKUP($A146,'Temprorary Data'!$A:$G,7,FALSE)</f>
        <v>84</v>
      </c>
    </row>
    <row r="147" spans="1:16" ht="15.75" thickBot="1">
      <c r="A147" s="1">
        <v>146</v>
      </c>
      <c r="B147" s="2">
        <v>40550</v>
      </c>
      <c r="C147" s="1">
        <v>1</v>
      </c>
      <c r="D147" s="1">
        <v>0</v>
      </c>
      <c r="E147" s="1">
        <v>1</v>
      </c>
      <c r="F147" s="1">
        <v>8</v>
      </c>
      <c r="G147" s="3" t="b">
        <v>0</v>
      </c>
      <c r="H147" s="1">
        <v>5</v>
      </c>
      <c r="I147" s="1">
        <v>1</v>
      </c>
      <c r="J147" s="1">
        <v>0.2</v>
      </c>
      <c r="K147">
        <f>VLOOKUP($A147,'Temprorary Data'!$A:$G,2,FALSE)</f>
        <v>0.19700000000000001</v>
      </c>
      <c r="L147">
        <f>VLOOKUP($A147,'Temprorary Data'!$A:$G,3,FALSE)</f>
        <v>0.51</v>
      </c>
      <c r="M147">
        <f>VLOOKUP($A147,'Temprorary Data'!$A:$G,4,FALSE)</f>
        <v>0.25369999999999998</v>
      </c>
      <c r="N147">
        <f>VLOOKUP($A147,'Temprorary Data'!$A:$G,5,FALSE)</f>
        <v>20</v>
      </c>
      <c r="O147">
        <f>VLOOKUP($A147,'Temprorary Data'!$A:$G,6,FALSE)</f>
        <v>190</v>
      </c>
      <c r="P147">
        <f>VLOOKUP($A147,'Temprorary Data'!$A:$G,7,FALSE)</f>
        <v>210</v>
      </c>
    </row>
    <row r="148" spans="1:16" ht="15.75" thickBot="1">
      <c r="A148" s="1">
        <v>147</v>
      </c>
      <c r="B148" s="2">
        <v>40550</v>
      </c>
      <c r="C148" s="1">
        <v>1</v>
      </c>
      <c r="D148" s="1">
        <v>0</v>
      </c>
      <c r="E148" s="1">
        <v>1</v>
      </c>
      <c r="F148" s="1">
        <v>9</v>
      </c>
      <c r="G148" s="3" t="b">
        <v>0</v>
      </c>
      <c r="H148" s="1">
        <v>5</v>
      </c>
      <c r="I148" s="1">
        <v>1</v>
      </c>
      <c r="J148" s="1">
        <v>0.2</v>
      </c>
      <c r="K148">
        <f>VLOOKUP($A148,'Temprorary Data'!$A:$G,2,FALSE)</f>
        <v>0.18179999999999999</v>
      </c>
      <c r="L148">
        <f>VLOOKUP($A148,'Temprorary Data'!$A:$G,3,FALSE)</f>
        <v>0.47</v>
      </c>
      <c r="M148">
        <f>VLOOKUP($A148,'Temprorary Data'!$A:$G,4,FALSE)</f>
        <v>0.29849999999999999</v>
      </c>
      <c r="N148">
        <f>VLOOKUP($A148,'Temprorary Data'!$A:$G,5,FALSE)</f>
        <v>9</v>
      </c>
      <c r="O148">
        <f>VLOOKUP($A148,'Temprorary Data'!$A:$G,6,FALSE)</f>
        <v>125</v>
      </c>
      <c r="P148">
        <f>VLOOKUP($A148,'Temprorary Data'!$A:$G,7,FALSE)</f>
        <v>134</v>
      </c>
    </row>
    <row r="149" spans="1:16" ht="15.75" thickBot="1">
      <c r="A149" s="1">
        <v>148</v>
      </c>
      <c r="B149" s="2">
        <v>40550</v>
      </c>
      <c r="C149" s="1">
        <v>1</v>
      </c>
      <c r="D149" s="1">
        <v>0</v>
      </c>
      <c r="E149" s="1">
        <v>1</v>
      </c>
      <c r="F149" s="1">
        <v>10</v>
      </c>
      <c r="G149" s="3" t="b">
        <v>0</v>
      </c>
      <c r="H149" s="1">
        <v>5</v>
      </c>
      <c r="I149" s="1">
        <v>1</v>
      </c>
      <c r="J149" s="1">
        <v>0.22</v>
      </c>
      <c r="K149">
        <f>VLOOKUP($A149,'Temprorary Data'!$A:$G,2,FALSE)</f>
        <v>0.19700000000000001</v>
      </c>
      <c r="L149">
        <f>VLOOKUP($A149,'Temprorary Data'!$A:$G,3,FALSE)</f>
        <v>0.37</v>
      </c>
      <c r="M149">
        <f>VLOOKUP($A149,'Temprorary Data'!$A:$G,4,FALSE)</f>
        <v>0.32840000000000003</v>
      </c>
      <c r="N149">
        <f>VLOOKUP($A149,'Temprorary Data'!$A:$G,5,FALSE)</f>
        <v>16</v>
      </c>
      <c r="O149">
        <f>VLOOKUP($A149,'Temprorary Data'!$A:$G,6,FALSE)</f>
        <v>47</v>
      </c>
      <c r="P149">
        <f>VLOOKUP($A149,'Temprorary Data'!$A:$G,7,FALSE)</f>
        <v>63</v>
      </c>
    </row>
    <row r="150" spans="1:16" ht="15.75" thickBot="1">
      <c r="A150" s="1">
        <v>149</v>
      </c>
      <c r="B150" s="2">
        <v>40550</v>
      </c>
      <c r="C150" s="1">
        <v>1</v>
      </c>
      <c r="D150" s="1">
        <v>0</v>
      </c>
      <c r="E150" s="1">
        <v>1</v>
      </c>
      <c r="F150" s="1">
        <v>11</v>
      </c>
      <c r="G150" s="3" t="b">
        <v>0</v>
      </c>
      <c r="H150" s="1">
        <v>5</v>
      </c>
      <c r="I150" s="1">
        <v>2</v>
      </c>
      <c r="J150" s="1">
        <v>0.2</v>
      </c>
      <c r="K150">
        <f>VLOOKUP($A150,'Temprorary Data'!$A:$G,2,FALSE)</f>
        <v>0.19700000000000001</v>
      </c>
      <c r="L150">
        <f>VLOOKUP($A150,'Temprorary Data'!$A:$G,3,FALSE)</f>
        <v>0.4</v>
      </c>
      <c r="M150">
        <f>VLOOKUP($A150,'Temprorary Data'!$A:$G,4,FALSE)</f>
        <v>0.22389999999999999</v>
      </c>
      <c r="N150">
        <f>VLOOKUP($A150,'Temprorary Data'!$A:$G,5,FALSE)</f>
        <v>19</v>
      </c>
      <c r="O150">
        <f>VLOOKUP($A150,'Temprorary Data'!$A:$G,6,FALSE)</f>
        <v>48</v>
      </c>
      <c r="P150">
        <f>VLOOKUP($A150,'Temprorary Data'!$A:$G,7,FALSE)</f>
        <v>67</v>
      </c>
    </row>
    <row r="151" spans="1:16" ht="15.75" thickBot="1">
      <c r="A151" s="1">
        <v>150</v>
      </c>
      <c r="B151" s="2">
        <v>40550</v>
      </c>
      <c r="C151" s="1">
        <v>1</v>
      </c>
      <c r="D151" s="1">
        <v>0</v>
      </c>
      <c r="E151" s="1">
        <v>1</v>
      </c>
      <c r="F151" s="1">
        <v>12</v>
      </c>
      <c r="G151" s="3" t="b">
        <v>0</v>
      </c>
      <c r="H151" s="1">
        <v>5</v>
      </c>
      <c r="I151" s="1">
        <v>2</v>
      </c>
      <c r="J151" s="1">
        <v>0.2</v>
      </c>
      <c r="K151">
        <f>VLOOKUP($A151,'Temprorary Data'!$A:$G,2,FALSE)</f>
        <v>0.19700000000000001</v>
      </c>
      <c r="L151">
        <f>VLOOKUP($A151,'Temprorary Data'!$A:$G,3,FALSE)</f>
        <v>0.37</v>
      </c>
      <c r="M151">
        <f>VLOOKUP($A151,'Temprorary Data'!$A:$G,4,FALSE)</f>
        <v>0.25369999999999998</v>
      </c>
      <c r="N151">
        <f>VLOOKUP($A151,'Temprorary Data'!$A:$G,5,FALSE)</f>
        <v>9</v>
      </c>
      <c r="O151">
        <f>VLOOKUP($A151,'Temprorary Data'!$A:$G,6,FALSE)</f>
        <v>50</v>
      </c>
      <c r="P151">
        <f>VLOOKUP($A151,'Temprorary Data'!$A:$G,7,FALSE)</f>
        <v>59</v>
      </c>
    </row>
    <row r="152" spans="1:16" ht="15.75" thickBot="1">
      <c r="A152" s="1">
        <v>151</v>
      </c>
      <c r="B152" s="2">
        <v>40550</v>
      </c>
      <c r="C152" s="1">
        <v>1</v>
      </c>
      <c r="D152" s="1">
        <v>0</v>
      </c>
      <c r="E152" s="1">
        <v>1</v>
      </c>
      <c r="F152" s="1">
        <v>13</v>
      </c>
      <c r="G152" s="3" t="b">
        <v>0</v>
      </c>
      <c r="H152" s="1">
        <v>5</v>
      </c>
      <c r="I152" s="1">
        <v>2</v>
      </c>
      <c r="J152" s="1">
        <v>0.2</v>
      </c>
      <c r="K152">
        <f>VLOOKUP($A152,'Temprorary Data'!$A:$G,2,FALSE)</f>
        <v>0.18179999999999999</v>
      </c>
      <c r="L152">
        <f>VLOOKUP($A152,'Temprorary Data'!$A:$G,3,FALSE)</f>
        <v>0.37</v>
      </c>
      <c r="M152">
        <f>VLOOKUP($A152,'Temprorary Data'!$A:$G,4,FALSE)</f>
        <v>0.28360000000000002</v>
      </c>
      <c r="N152">
        <f>VLOOKUP($A152,'Temprorary Data'!$A:$G,5,FALSE)</f>
        <v>9</v>
      </c>
      <c r="O152">
        <f>VLOOKUP($A152,'Temprorary Data'!$A:$G,6,FALSE)</f>
        <v>64</v>
      </c>
      <c r="P152">
        <f>VLOOKUP($A152,'Temprorary Data'!$A:$G,7,FALSE)</f>
        <v>73</v>
      </c>
    </row>
    <row r="153" spans="1:16" ht="15.75" thickBot="1">
      <c r="A153" s="1">
        <v>152</v>
      </c>
      <c r="B153" s="2">
        <v>40550</v>
      </c>
      <c r="C153" s="1">
        <v>1</v>
      </c>
      <c r="D153" s="1">
        <v>0</v>
      </c>
      <c r="E153" s="1">
        <v>1</v>
      </c>
      <c r="F153" s="1">
        <v>14</v>
      </c>
      <c r="G153" s="3" t="b">
        <v>0</v>
      </c>
      <c r="H153" s="1">
        <v>5</v>
      </c>
      <c r="I153" s="1">
        <v>2</v>
      </c>
      <c r="J153" s="1">
        <v>0.2</v>
      </c>
      <c r="K153">
        <f>VLOOKUP($A153,'Temprorary Data'!$A:$G,2,FALSE)</f>
        <v>0.19700000000000001</v>
      </c>
      <c r="L153">
        <f>VLOOKUP($A153,'Temprorary Data'!$A:$G,3,FALSE)</f>
        <v>0.4</v>
      </c>
      <c r="M153">
        <f>VLOOKUP($A153,'Temprorary Data'!$A:$G,4,FALSE)</f>
        <v>0.25369999999999998</v>
      </c>
      <c r="N153">
        <f>VLOOKUP($A153,'Temprorary Data'!$A:$G,5,FALSE)</f>
        <v>7</v>
      </c>
      <c r="O153">
        <f>VLOOKUP($A153,'Temprorary Data'!$A:$G,6,FALSE)</f>
        <v>43</v>
      </c>
      <c r="P153">
        <f>VLOOKUP($A153,'Temprorary Data'!$A:$G,7,FALSE)</f>
        <v>50</v>
      </c>
    </row>
    <row r="154" spans="1:16" ht="15.75" thickBot="1">
      <c r="A154" s="1">
        <v>153</v>
      </c>
      <c r="B154" s="2">
        <v>40550</v>
      </c>
      <c r="C154" s="1">
        <v>1</v>
      </c>
      <c r="D154" s="1">
        <v>0</v>
      </c>
      <c r="E154" s="1">
        <v>1</v>
      </c>
      <c r="F154" s="1">
        <v>15</v>
      </c>
      <c r="G154" s="3" t="b">
        <v>0</v>
      </c>
      <c r="H154" s="1">
        <v>5</v>
      </c>
      <c r="I154" s="1">
        <v>2</v>
      </c>
      <c r="J154" s="1">
        <v>0.2</v>
      </c>
      <c r="K154">
        <f>VLOOKUP($A154,'Temprorary Data'!$A:$G,2,FALSE)</f>
        <v>0.21210000000000001</v>
      </c>
      <c r="L154">
        <f>VLOOKUP($A154,'Temprorary Data'!$A:$G,3,FALSE)</f>
        <v>0.37</v>
      </c>
      <c r="M154">
        <f>VLOOKUP($A154,'Temprorary Data'!$A:$G,4,FALSE)</f>
        <v>0.16420000000000001</v>
      </c>
      <c r="N154">
        <f>VLOOKUP($A154,'Temprorary Data'!$A:$G,5,FALSE)</f>
        <v>9</v>
      </c>
      <c r="O154">
        <f>VLOOKUP($A154,'Temprorary Data'!$A:$G,6,FALSE)</f>
        <v>63</v>
      </c>
      <c r="P154">
        <f>VLOOKUP($A154,'Temprorary Data'!$A:$G,7,FALSE)</f>
        <v>72</v>
      </c>
    </row>
    <row r="155" spans="1:16" ht="15.75" thickBot="1">
      <c r="A155" s="1">
        <v>154</v>
      </c>
      <c r="B155" s="2">
        <v>40550</v>
      </c>
      <c r="C155" s="1">
        <v>1</v>
      </c>
      <c r="D155" s="1">
        <v>0</v>
      </c>
      <c r="E155" s="1">
        <v>1</v>
      </c>
      <c r="F155" s="1">
        <v>16</v>
      </c>
      <c r="G155" s="3" t="b">
        <v>0</v>
      </c>
      <c r="H155" s="1">
        <v>5</v>
      </c>
      <c r="I155" s="1">
        <v>2</v>
      </c>
      <c r="J155" s="1">
        <v>0.2</v>
      </c>
      <c r="K155">
        <f>VLOOKUP($A155,'Temprorary Data'!$A:$G,2,FALSE)</f>
        <v>0.21210000000000001</v>
      </c>
      <c r="L155">
        <f>VLOOKUP($A155,'Temprorary Data'!$A:$G,3,FALSE)</f>
        <v>0.37</v>
      </c>
      <c r="M155">
        <f>VLOOKUP($A155,'Temprorary Data'!$A:$G,4,FALSE)</f>
        <v>0.16420000000000001</v>
      </c>
      <c r="N155">
        <f>VLOOKUP($A155,'Temprorary Data'!$A:$G,5,FALSE)</f>
        <v>5</v>
      </c>
      <c r="O155">
        <f>VLOOKUP($A155,'Temprorary Data'!$A:$G,6,FALSE)</f>
        <v>82</v>
      </c>
      <c r="P155">
        <f>VLOOKUP($A155,'Temprorary Data'!$A:$G,7,FALSE)</f>
        <v>87</v>
      </c>
    </row>
    <row r="156" spans="1:16" ht="15.75" thickBot="1">
      <c r="A156" s="1">
        <v>155</v>
      </c>
      <c r="B156" s="2">
        <v>40550</v>
      </c>
      <c r="C156" s="1">
        <v>1</v>
      </c>
      <c r="D156" s="1">
        <v>0</v>
      </c>
      <c r="E156" s="1">
        <v>1</v>
      </c>
      <c r="F156" s="1">
        <v>17</v>
      </c>
      <c r="G156" s="3" t="b">
        <v>0</v>
      </c>
      <c r="H156" s="1">
        <v>5</v>
      </c>
      <c r="I156" s="1">
        <v>2</v>
      </c>
      <c r="J156" s="1">
        <v>0.2</v>
      </c>
      <c r="K156">
        <f>VLOOKUP($A156,'Temprorary Data'!$A:$G,2,FALSE)</f>
        <v>0.2576</v>
      </c>
      <c r="L156">
        <f>VLOOKUP($A156,'Temprorary Data'!$A:$G,3,FALSE)</f>
        <v>0.37</v>
      </c>
      <c r="M156">
        <f>VLOOKUP($A156,'Temprorary Data'!$A:$G,4,FALSE)</f>
        <v>0</v>
      </c>
      <c r="N156">
        <f>VLOOKUP($A156,'Temprorary Data'!$A:$G,5,FALSE)</f>
        <v>9</v>
      </c>
      <c r="O156">
        <f>VLOOKUP($A156,'Temprorary Data'!$A:$G,6,FALSE)</f>
        <v>178</v>
      </c>
      <c r="P156">
        <f>VLOOKUP($A156,'Temprorary Data'!$A:$G,7,FALSE)</f>
        <v>187</v>
      </c>
    </row>
    <row r="157" spans="1:16" ht="15.75" thickBot="1">
      <c r="A157" s="1">
        <v>156</v>
      </c>
      <c r="B157" s="2">
        <v>40550</v>
      </c>
      <c r="C157" s="1">
        <v>1</v>
      </c>
      <c r="D157" s="1">
        <v>0</v>
      </c>
      <c r="E157" s="1">
        <v>1</v>
      </c>
      <c r="F157" s="1">
        <v>18</v>
      </c>
      <c r="G157" s="3" t="b">
        <v>0</v>
      </c>
      <c r="H157" s="1">
        <v>5</v>
      </c>
      <c r="I157" s="1">
        <v>1</v>
      </c>
      <c r="J157" s="1">
        <v>0.2</v>
      </c>
      <c r="K157">
        <f>VLOOKUP($A157,'Temprorary Data'!$A:$G,2,FALSE)</f>
        <v>0.2273</v>
      </c>
      <c r="L157">
        <f>VLOOKUP($A157,'Temprorary Data'!$A:$G,3,FALSE)</f>
        <v>0.4</v>
      </c>
      <c r="M157">
        <f>VLOOKUP($A157,'Temprorary Data'!$A:$G,4,FALSE)</f>
        <v>8.9599999999999999E-2</v>
      </c>
      <c r="N157">
        <f>VLOOKUP($A157,'Temprorary Data'!$A:$G,5,FALSE)</f>
        <v>7</v>
      </c>
      <c r="O157">
        <f>VLOOKUP($A157,'Temprorary Data'!$A:$G,6,FALSE)</f>
        <v>116</v>
      </c>
      <c r="P157">
        <f>VLOOKUP($A157,'Temprorary Data'!$A:$G,7,FALSE)</f>
        <v>123</v>
      </c>
    </row>
    <row r="158" spans="1:16" ht="15.75" thickBot="1">
      <c r="A158" s="1">
        <v>157</v>
      </c>
      <c r="B158" s="2">
        <v>40550</v>
      </c>
      <c r="C158" s="1">
        <v>1</v>
      </c>
      <c r="D158" s="1">
        <v>0</v>
      </c>
      <c r="E158" s="1">
        <v>1</v>
      </c>
      <c r="F158" s="1">
        <v>19</v>
      </c>
      <c r="G158" s="3" t="b">
        <v>0</v>
      </c>
      <c r="H158" s="1">
        <v>5</v>
      </c>
      <c r="I158" s="1">
        <v>1</v>
      </c>
      <c r="J158" s="1">
        <v>0.16</v>
      </c>
      <c r="K158">
        <f>VLOOKUP($A158,'Temprorary Data'!$A:$G,2,FALSE)</f>
        <v>0.19700000000000001</v>
      </c>
      <c r="L158">
        <f>VLOOKUP($A158,'Temprorary Data'!$A:$G,3,FALSE)</f>
        <v>0.55000000000000004</v>
      </c>
      <c r="M158">
        <f>VLOOKUP($A158,'Temprorary Data'!$A:$G,4,FALSE)</f>
        <v>8.9599999999999999E-2</v>
      </c>
      <c r="N158">
        <f>VLOOKUP($A158,'Temprorary Data'!$A:$G,5,FALSE)</f>
        <v>3</v>
      </c>
      <c r="O158">
        <f>VLOOKUP($A158,'Temprorary Data'!$A:$G,6,FALSE)</f>
        <v>92</v>
      </c>
      <c r="P158">
        <f>VLOOKUP($A158,'Temprorary Data'!$A:$G,7,FALSE)</f>
        <v>95</v>
      </c>
    </row>
    <row r="159" spans="1:16" ht="15.75" thickBot="1">
      <c r="A159" s="1">
        <v>158</v>
      </c>
      <c r="B159" s="2">
        <v>40550</v>
      </c>
      <c r="C159" s="1">
        <v>1</v>
      </c>
      <c r="D159" s="1">
        <v>0</v>
      </c>
      <c r="E159" s="1">
        <v>1</v>
      </c>
      <c r="F159" s="1">
        <v>20</v>
      </c>
      <c r="G159" s="3" t="b">
        <v>0</v>
      </c>
      <c r="H159" s="1">
        <v>5</v>
      </c>
      <c r="I159" s="1">
        <v>1</v>
      </c>
      <c r="J159" s="1">
        <v>0.18</v>
      </c>
      <c r="K159">
        <f>VLOOKUP($A159,'Temprorary Data'!$A:$G,2,FALSE)</f>
        <v>0.21210000000000001</v>
      </c>
      <c r="L159">
        <f>VLOOKUP($A159,'Temprorary Data'!$A:$G,3,FALSE)</f>
        <v>0.47</v>
      </c>
      <c r="M159">
        <f>VLOOKUP($A159,'Temprorary Data'!$A:$G,4,FALSE)</f>
        <v>0.1045</v>
      </c>
      <c r="N159">
        <f>VLOOKUP($A159,'Temprorary Data'!$A:$G,5,FALSE)</f>
        <v>1</v>
      </c>
      <c r="O159">
        <f>VLOOKUP($A159,'Temprorary Data'!$A:$G,6,FALSE)</f>
        <v>50</v>
      </c>
      <c r="P159">
        <f>VLOOKUP($A159,'Temprorary Data'!$A:$G,7,FALSE)</f>
        <v>51</v>
      </c>
    </row>
    <row r="160" spans="1:16" ht="15.75" thickBot="1">
      <c r="A160" s="1">
        <v>159</v>
      </c>
      <c r="B160" s="2">
        <v>40550</v>
      </c>
      <c r="C160" s="1">
        <v>1</v>
      </c>
      <c r="D160" s="1">
        <v>0</v>
      </c>
      <c r="E160" s="1">
        <v>1</v>
      </c>
      <c r="F160" s="1">
        <v>21</v>
      </c>
      <c r="G160" s="3" t="b">
        <v>0</v>
      </c>
      <c r="H160" s="1">
        <v>5</v>
      </c>
      <c r="I160" s="1">
        <v>1</v>
      </c>
      <c r="J160" s="1">
        <v>0.18</v>
      </c>
      <c r="K160">
        <f>VLOOKUP($A160,'Temprorary Data'!$A:$G,2,FALSE)</f>
        <v>0.19700000000000001</v>
      </c>
      <c r="L160">
        <f>VLOOKUP($A160,'Temprorary Data'!$A:$G,3,FALSE)</f>
        <v>0.47</v>
      </c>
      <c r="M160">
        <f>VLOOKUP($A160,'Temprorary Data'!$A:$G,4,FALSE)</f>
        <v>0.1343</v>
      </c>
      <c r="N160">
        <f>VLOOKUP($A160,'Temprorary Data'!$A:$G,5,FALSE)</f>
        <v>0</v>
      </c>
      <c r="O160">
        <f>VLOOKUP($A160,'Temprorary Data'!$A:$G,6,FALSE)</f>
        <v>39</v>
      </c>
      <c r="P160">
        <f>VLOOKUP($A160,'Temprorary Data'!$A:$G,7,FALSE)</f>
        <v>39</v>
      </c>
    </row>
    <row r="161" spans="1:16" ht="15.75" thickBot="1">
      <c r="A161" s="1">
        <v>160</v>
      </c>
      <c r="B161" s="2">
        <v>40550</v>
      </c>
      <c r="C161" s="1">
        <v>1</v>
      </c>
      <c r="D161" s="1">
        <v>0</v>
      </c>
      <c r="E161" s="1">
        <v>1</v>
      </c>
      <c r="F161" s="1">
        <v>22</v>
      </c>
      <c r="G161" s="3" t="b">
        <v>0</v>
      </c>
      <c r="H161" s="1">
        <v>5</v>
      </c>
      <c r="I161" s="1">
        <v>2</v>
      </c>
      <c r="J161" s="1">
        <v>0.18</v>
      </c>
      <c r="K161">
        <f>VLOOKUP($A161,'Temprorary Data'!$A:$G,2,FALSE)</f>
        <v>0.19700000000000001</v>
      </c>
      <c r="L161">
        <f>VLOOKUP($A161,'Temprorary Data'!$A:$G,3,FALSE)</f>
        <v>0.43</v>
      </c>
      <c r="M161">
        <f>VLOOKUP($A161,'Temprorary Data'!$A:$G,4,FALSE)</f>
        <v>0.16420000000000001</v>
      </c>
      <c r="N161">
        <f>VLOOKUP($A161,'Temprorary Data'!$A:$G,5,FALSE)</f>
        <v>2</v>
      </c>
      <c r="O161">
        <f>VLOOKUP($A161,'Temprorary Data'!$A:$G,6,FALSE)</f>
        <v>34</v>
      </c>
      <c r="P161">
        <f>VLOOKUP($A161,'Temprorary Data'!$A:$G,7,FALSE)</f>
        <v>36</v>
      </c>
    </row>
    <row r="162" spans="1:16" ht="15.75" thickBot="1">
      <c r="A162" s="1">
        <v>161</v>
      </c>
      <c r="B162" s="2">
        <v>40550</v>
      </c>
      <c r="C162" s="1">
        <v>1</v>
      </c>
      <c r="D162" s="1">
        <v>0</v>
      </c>
      <c r="E162" s="1">
        <v>1</v>
      </c>
      <c r="F162" s="1">
        <v>23</v>
      </c>
      <c r="G162" s="3" t="b">
        <v>0</v>
      </c>
      <c r="H162" s="1">
        <v>5</v>
      </c>
      <c r="I162" s="1">
        <v>2</v>
      </c>
      <c r="J162" s="1">
        <v>0.18</v>
      </c>
      <c r="K162">
        <f>VLOOKUP($A162,'Temprorary Data'!$A:$G,2,FALSE)</f>
        <v>0.19700000000000001</v>
      </c>
      <c r="L162">
        <f>VLOOKUP($A162,'Temprorary Data'!$A:$G,3,FALSE)</f>
        <v>0.51</v>
      </c>
      <c r="M162">
        <f>VLOOKUP($A162,'Temprorary Data'!$A:$G,4,FALSE)</f>
        <v>0.16420000000000001</v>
      </c>
      <c r="N162">
        <f>VLOOKUP($A162,'Temprorary Data'!$A:$G,5,FALSE)</f>
        <v>1</v>
      </c>
      <c r="O162">
        <f>VLOOKUP($A162,'Temprorary Data'!$A:$G,6,FALSE)</f>
        <v>14</v>
      </c>
      <c r="P162">
        <f>VLOOKUP($A162,'Temprorary Data'!$A:$G,7,FALSE)</f>
        <v>15</v>
      </c>
    </row>
    <row r="163" spans="1:16" ht="15.75" thickBot="1">
      <c r="A163" s="1">
        <v>162</v>
      </c>
      <c r="B163" s="2">
        <v>40551</v>
      </c>
      <c r="C163" s="1">
        <v>1</v>
      </c>
      <c r="D163" s="1">
        <v>0</v>
      </c>
      <c r="E163" s="1">
        <v>1</v>
      </c>
      <c r="F163" s="1">
        <v>0</v>
      </c>
      <c r="G163" s="3" t="b">
        <v>0</v>
      </c>
      <c r="H163" s="1">
        <v>6</v>
      </c>
      <c r="I163" s="1">
        <v>2</v>
      </c>
      <c r="J163" s="1">
        <v>0.18</v>
      </c>
      <c r="K163">
        <f>VLOOKUP($A163,'Temprorary Data'!$A:$G,2,FALSE)</f>
        <v>0.19700000000000001</v>
      </c>
      <c r="L163">
        <f>VLOOKUP($A163,'Temprorary Data'!$A:$G,3,FALSE)</f>
        <v>0.51</v>
      </c>
      <c r="M163">
        <f>VLOOKUP($A163,'Temprorary Data'!$A:$G,4,FALSE)</f>
        <v>0.16420000000000001</v>
      </c>
      <c r="N163">
        <f>VLOOKUP($A163,'Temprorary Data'!$A:$G,5,FALSE)</f>
        <v>1</v>
      </c>
      <c r="O163">
        <f>VLOOKUP($A163,'Temprorary Data'!$A:$G,6,FALSE)</f>
        <v>24</v>
      </c>
      <c r="P163">
        <f>VLOOKUP($A163,'Temprorary Data'!$A:$G,7,FALSE)</f>
        <v>25</v>
      </c>
    </row>
    <row r="164" spans="1:16" ht="15.75" thickBot="1">
      <c r="A164" s="1">
        <v>163</v>
      </c>
      <c r="B164" s="2">
        <v>40551</v>
      </c>
      <c r="C164" s="1">
        <v>1</v>
      </c>
      <c r="D164" s="1">
        <v>0</v>
      </c>
      <c r="E164" s="1">
        <v>1</v>
      </c>
      <c r="F164" s="1">
        <v>1</v>
      </c>
      <c r="G164" s="3" t="b">
        <v>0</v>
      </c>
      <c r="H164" s="1">
        <v>6</v>
      </c>
      <c r="I164" s="1">
        <v>2</v>
      </c>
      <c r="J164" s="1">
        <v>0.18</v>
      </c>
      <c r="K164">
        <f>VLOOKUP($A164,'Temprorary Data'!$A:$G,2,FALSE)</f>
        <v>0.21210000000000001</v>
      </c>
      <c r="L164">
        <f>VLOOKUP($A164,'Temprorary Data'!$A:$G,3,FALSE)</f>
        <v>0.55000000000000004</v>
      </c>
      <c r="M164">
        <f>VLOOKUP($A164,'Temprorary Data'!$A:$G,4,FALSE)</f>
        <v>8.9599999999999999E-2</v>
      </c>
      <c r="N164">
        <f>VLOOKUP($A164,'Temprorary Data'!$A:$G,5,FALSE)</f>
        <v>1</v>
      </c>
      <c r="O164">
        <f>VLOOKUP($A164,'Temprorary Data'!$A:$G,6,FALSE)</f>
        <v>15</v>
      </c>
      <c r="P164">
        <f>VLOOKUP($A164,'Temprorary Data'!$A:$G,7,FALSE)</f>
        <v>16</v>
      </c>
    </row>
    <row r="165" spans="1:16" ht="15.75" thickBot="1">
      <c r="A165" s="1">
        <v>164</v>
      </c>
      <c r="B165" s="2">
        <v>40551</v>
      </c>
      <c r="C165" s="1">
        <v>1</v>
      </c>
      <c r="D165" s="1">
        <v>0</v>
      </c>
      <c r="E165" s="1">
        <v>1</v>
      </c>
      <c r="F165" s="1">
        <v>2</v>
      </c>
      <c r="G165" s="3" t="b">
        <v>0</v>
      </c>
      <c r="H165" s="1">
        <v>6</v>
      </c>
      <c r="I165" s="1">
        <v>2</v>
      </c>
      <c r="J165" s="1">
        <v>0.18</v>
      </c>
      <c r="K165">
        <f>VLOOKUP($A165,'Temprorary Data'!$A:$G,2,FALSE)</f>
        <v>0.2424</v>
      </c>
      <c r="L165">
        <f>VLOOKUP($A165,'Temprorary Data'!$A:$G,3,FALSE)</f>
        <v>0.55000000000000004</v>
      </c>
      <c r="M165">
        <f>VLOOKUP($A165,'Temprorary Data'!$A:$G,4,FALSE)</f>
        <v>0</v>
      </c>
      <c r="N165">
        <f>VLOOKUP($A165,'Temprorary Data'!$A:$G,5,FALSE)</f>
        <v>3</v>
      </c>
      <c r="O165">
        <f>VLOOKUP($A165,'Temprorary Data'!$A:$G,6,FALSE)</f>
        <v>13</v>
      </c>
      <c r="P165">
        <f>VLOOKUP($A165,'Temprorary Data'!$A:$G,7,FALSE)</f>
        <v>16</v>
      </c>
    </row>
    <row r="166" spans="1:16" ht="15.75" thickBot="1">
      <c r="A166" s="1">
        <v>165</v>
      </c>
      <c r="B166" s="2">
        <v>40551</v>
      </c>
      <c r="C166" s="1">
        <v>1</v>
      </c>
      <c r="D166" s="1">
        <v>0</v>
      </c>
      <c r="E166" s="1">
        <v>1</v>
      </c>
      <c r="F166" s="1">
        <v>3</v>
      </c>
      <c r="G166" s="3" t="b">
        <v>0</v>
      </c>
      <c r="H166" s="1">
        <v>6</v>
      </c>
      <c r="I166" s="1">
        <v>3</v>
      </c>
      <c r="J166" s="1">
        <v>0.18</v>
      </c>
      <c r="K166">
        <f>VLOOKUP($A166,'Temprorary Data'!$A:$G,2,FALSE)</f>
        <v>0.19700000000000001</v>
      </c>
      <c r="L166">
        <f>VLOOKUP($A166,'Temprorary Data'!$A:$G,3,FALSE)</f>
        <v>0.55000000000000004</v>
      </c>
      <c r="M166">
        <f>VLOOKUP($A166,'Temprorary Data'!$A:$G,4,FALSE)</f>
        <v>0.16420000000000001</v>
      </c>
      <c r="N166">
        <f>VLOOKUP($A166,'Temprorary Data'!$A:$G,5,FALSE)</f>
        <v>0</v>
      </c>
      <c r="O166">
        <f>VLOOKUP($A166,'Temprorary Data'!$A:$G,6,FALSE)</f>
        <v>7</v>
      </c>
      <c r="P166">
        <f>VLOOKUP($A166,'Temprorary Data'!$A:$G,7,FALSE)</f>
        <v>7</v>
      </c>
    </row>
    <row r="167" spans="1:16" ht="15.75" thickBot="1">
      <c r="A167" s="1">
        <v>166</v>
      </c>
      <c r="B167" s="2">
        <v>40551</v>
      </c>
      <c r="C167" s="1">
        <v>1</v>
      </c>
      <c r="D167" s="1">
        <v>0</v>
      </c>
      <c r="E167" s="1">
        <v>1</v>
      </c>
      <c r="F167" s="1">
        <v>4</v>
      </c>
      <c r="G167" s="3" t="b">
        <v>0</v>
      </c>
      <c r="H167" s="1">
        <v>6</v>
      </c>
      <c r="I167" s="1">
        <v>3</v>
      </c>
      <c r="J167" s="1">
        <v>0.18</v>
      </c>
      <c r="K167">
        <f>VLOOKUP($A167,'Temprorary Data'!$A:$G,2,FALSE)</f>
        <v>0.19700000000000001</v>
      </c>
      <c r="L167">
        <f>VLOOKUP($A167,'Temprorary Data'!$A:$G,3,FALSE)</f>
        <v>0.55000000000000004</v>
      </c>
      <c r="M167">
        <f>VLOOKUP($A167,'Temprorary Data'!$A:$G,4,FALSE)</f>
        <v>0.16420000000000001</v>
      </c>
      <c r="N167">
        <f>VLOOKUP($A167,'Temprorary Data'!$A:$G,5,FALSE)</f>
        <v>0</v>
      </c>
      <c r="O167">
        <f>VLOOKUP($A167,'Temprorary Data'!$A:$G,6,FALSE)</f>
        <v>1</v>
      </c>
      <c r="P167">
        <f>VLOOKUP($A167,'Temprorary Data'!$A:$G,7,FALSE)</f>
        <v>1</v>
      </c>
    </row>
    <row r="168" spans="1:16" ht="15.75" thickBot="1">
      <c r="A168" s="1">
        <v>167</v>
      </c>
      <c r="B168" s="2">
        <v>40551</v>
      </c>
      <c r="C168" s="1">
        <v>1</v>
      </c>
      <c r="D168" s="1">
        <v>0</v>
      </c>
      <c r="E168" s="1">
        <v>1</v>
      </c>
      <c r="F168" s="1">
        <v>5</v>
      </c>
      <c r="G168" s="3" t="b">
        <v>0</v>
      </c>
      <c r="H168" s="1">
        <v>6</v>
      </c>
      <c r="I168" s="1">
        <v>2</v>
      </c>
      <c r="J168" s="1">
        <v>0.16</v>
      </c>
      <c r="K168">
        <f>VLOOKUP($A168,'Temprorary Data'!$A:$G,2,FALSE)</f>
        <v>0.16669999999999999</v>
      </c>
      <c r="L168">
        <f>VLOOKUP($A168,'Temprorary Data'!$A:$G,3,FALSE)</f>
        <v>0.74</v>
      </c>
      <c r="M168">
        <f>VLOOKUP($A168,'Temprorary Data'!$A:$G,4,FALSE)</f>
        <v>0.16420000000000001</v>
      </c>
      <c r="N168">
        <f>VLOOKUP($A168,'Temprorary Data'!$A:$G,5,FALSE)</f>
        <v>0</v>
      </c>
      <c r="O168">
        <f>VLOOKUP($A168,'Temprorary Data'!$A:$G,6,FALSE)</f>
        <v>5</v>
      </c>
      <c r="P168">
        <f>VLOOKUP($A168,'Temprorary Data'!$A:$G,7,FALSE)</f>
        <v>5</v>
      </c>
    </row>
    <row r="169" spans="1:16" ht="15.75" thickBot="1">
      <c r="A169" s="1">
        <v>168</v>
      </c>
      <c r="B169" s="2">
        <v>40551</v>
      </c>
      <c r="C169" s="1">
        <v>1</v>
      </c>
      <c r="D169" s="1">
        <v>0</v>
      </c>
      <c r="E169" s="1">
        <v>1</v>
      </c>
      <c r="F169" s="1">
        <v>6</v>
      </c>
      <c r="G169" s="3" t="b">
        <v>0</v>
      </c>
      <c r="H169" s="1">
        <v>6</v>
      </c>
      <c r="I169" s="1">
        <v>2</v>
      </c>
      <c r="J169" s="1">
        <v>0.16</v>
      </c>
      <c r="K169">
        <f>VLOOKUP($A169,'Temprorary Data'!$A:$G,2,FALSE)</f>
        <v>0.16669999999999999</v>
      </c>
      <c r="L169">
        <f>VLOOKUP($A169,'Temprorary Data'!$A:$G,3,FALSE)</f>
        <v>0.74</v>
      </c>
      <c r="M169">
        <f>VLOOKUP($A169,'Temprorary Data'!$A:$G,4,FALSE)</f>
        <v>0.16420000000000001</v>
      </c>
      <c r="N169">
        <f>VLOOKUP($A169,'Temprorary Data'!$A:$G,5,FALSE)</f>
        <v>0</v>
      </c>
      <c r="O169">
        <f>VLOOKUP($A169,'Temprorary Data'!$A:$G,6,FALSE)</f>
        <v>2</v>
      </c>
      <c r="P169">
        <f>VLOOKUP($A169,'Temprorary Data'!$A:$G,7,FALSE)</f>
        <v>2</v>
      </c>
    </row>
    <row r="170" spans="1:16" ht="15.75" thickBot="1">
      <c r="A170" s="1">
        <v>169</v>
      </c>
      <c r="B170" s="2">
        <v>40551</v>
      </c>
      <c r="C170" s="1">
        <v>1</v>
      </c>
      <c r="D170" s="1">
        <v>0</v>
      </c>
      <c r="E170" s="1">
        <v>1</v>
      </c>
      <c r="F170" s="1">
        <v>7</v>
      </c>
      <c r="G170" s="3" t="b">
        <v>0</v>
      </c>
      <c r="H170" s="1">
        <v>6</v>
      </c>
      <c r="I170" s="1">
        <v>2</v>
      </c>
      <c r="J170" s="1">
        <v>0.16</v>
      </c>
      <c r="K170">
        <f>VLOOKUP($A170,'Temprorary Data'!$A:$G,2,FALSE)</f>
        <v>0.18179999999999999</v>
      </c>
      <c r="L170">
        <f>VLOOKUP($A170,'Temprorary Data'!$A:$G,3,FALSE)</f>
        <v>0.74</v>
      </c>
      <c r="M170">
        <f>VLOOKUP($A170,'Temprorary Data'!$A:$G,4,FALSE)</f>
        <v>0.1045</v>
      </c>
      <c r="N170">
        <f>VLOOKUP($A170,'Temprorary Data'!$A:$G,5,FALSE)</f>
        <v>1</v>
      </c>
      <c r="O170">
        <f>VLOOKUP($A170,'Temprorary Data'!$A:$G,6,FALSE)</f>
        <v>8</v>
      </c>
      <c r="P170">
        <f>VLOOKUP($A170,'Temprorary Data'!$A:$G,7,FALSE)</f>
        <v>9</v>
      </c>
    </row>
    <row r="171" spans="1:16" ht="15.75" thickBot="1">
      <c r="A171" s="1">
        <v>170</v>
      </c>
      <c r="B171" s="2">
        <v>40551</v>
      </c>
      <c r="C171" s="1">
        <v>1</v>
      </c>
      <c r="D171" s="1">
        <v>0</v>
      </c>
      <c r="E171" s="1">
        <v>1</v>
      </c>
      <c r="F171" s="1">
        <v>8</v>
      </c>
      <c r="G171" s="3" t="b">
        <v>0</v>
      </c>
      <c r="H171" s="1">
        <v>6</v>
      </c>
      <c r="I171" s="1">
        <v>3</v>
      </c>
      <c r="J171" s="1">
        <v>0.16</v>
      </c>
      <c r="K171">
        <f>VLOOKUP($A171,'Temprorary Data'!$A:$G,2,FALSE)</f>
        <v>0.18179999999999999</v>
      </c>
      <c r="L171">
        <f>VLOOKUP($A171,'Temprorary Data'!$A:$G,3,FALSE)</f>
        <v>0.93</v>
      </c>
      <c r="M171">
        <f>VLOOKUP($A171,'Temprorary Data'!$A:$G,4,FALSE)</f>
        <v>0.1045</v>
      </c>
      <c r="N171">
        <f>VLOOKUP($A171,'Temprorary Data'!$A:$G,5,FALSE)</f>
        <v>0</v>
      </c>
      <c r="O171">
        <f>VLOOKUP($A171,'Temprorary Data'!$A:$G,6,FALSE)</f>
        <v>15</v>
      </c>
      <c r="P171">
        <f>VLOOKUP($A171,'Temprorary Data'!$A:$G,7,FALSE)</f>
        <v>15</v>
      </c>
    </row>
    <row r="172" spans="1:16" ht="15.75" thickBot="1">
      <c r="A172" s="1">
        <v>171</v>
      </c>
      <c r="B172" s="2">
        <v>40551</v>
      </c>
      <c r="C172" s="1">
        <v>1</v>
      </c>
      <c r="D172" s="1">
        <v>0</v>
      </c>
      <c r="E172" s="1">
        <v>1</v>
      </c>
      <c r="F172" s="1">
        <v>9</v>
      </c>
      <c r="G172" s="3" t="b">
        <v>0</v>
      </c>
      <c r="H172" s="1">
        <v>6</v>
      </c>
      <c r="I172" s="1">
        <v>3</v>
      </c>
      <c r="J172" s="1">
        <v>0.16</v>
      </c>
      <c r="K172">
        <f>VLOOKUP($A172,'Temprorary Data'!$A:$G,2,FALSE)</f>
        <v>0.18179999999999999</v>
      </c>
      <c r="L172">
        <f>VLOOKUP($A172,'Temprorary Data'!$A:$G,3,FALSE)</f>
        <v>0.93</v>
      </c>
      <c r="M172">
        <f>VLOOKUP($A172,'Temprorary Data'!$A:$G,4,FALSE)</f>
        <v>0.1045</v>
      </c>
      <c r="N172">
        <f>VLOOKUP($A172,'Temprorary Data'!$A:$G,5,FALSE)</f>
        <v>0</v>
      </c>
      <c r="O172">
        <f>VLOOKUP($A172,'Temprorary Data'!$A:$G,6,FALSE)</f>
        <v>20</v>
      </c>
      <c r="P172">
        <f>VLOOKUP($A172,'Temprorary Data'!$A:$G,7,FALSE)</f>
        <v>20</v>
      </c>
    </row>
    <row r="173" spans="1:16" ht="15.75" thickBot="1">
      <c r="A173" s="1">
        <v>172</v>
      </c>
      <c r="B173" s="2">
        <v>40551</v>
      </c>
      <c r="C173" s="1">
        <v>1</v>
      </c>
      <c r="D173" s="1">
        <v>0</v>
      </c>
      <c r="E173" s="1">
        <v>1</v>
      </c>
      <c r="F173" s="1">
        <v>10</v>
      </c>
      <c r="G173" s="3" t="b">
        <v>0</v>
      </c>
      <c r="H173" s="1">
        <v>6</v>
      </c>
      <c r="I173" s="1">
        <v>2</v>
      </c>
      <c r="J173" s="1">
        <v>0.18</v>
      </c>
      <c r="K173">
        <f>VLOOKUP($A173,'Temprorary Data'!$A:$G,2,FALSE)</f>
        <v>0.19700000000000001</v>
      </c>
      <c r="L173">
        <f>VLOOKUP($A173,'Temprorary Data'!$A:$G,3,FALSE)</f>
        <v>0.8</v>
      </c>
      <c r="M173">
        <f>VLOOKUP($A173,'Temprorary Data'!$A:$G,4,FALSE)</f>
        <v>0.16420000000000001</v>
      </c>
      <c r="N173">
        <f>VLOOKUP($A173,'Temprorary Data'!$A:$G,5,FALSE)</f>
        <v>5</v>
      </c>
      <c r="O173">
        <f>VLOOKUP($A173,'Temprorary Data'!$A:$G,6,FALSE)</f>
        <v>56</v>
      </c>
      <c r="P173">
        <f>VLOOKUP($A173,'Temprorary Data'!$A:$G,7,FALSE)</f>
        <v>61</v>
      </c>
    </row>
    <row r="174" spans="1:16" ht="15.75" thickBot="1">
      <c r="A174" s="1">
        <v>173</v>
      </c>
      <c r="B174" s="2">
        <v>40551</v>
      </c>
      <c r="C174" s="1">
        <v>1</v>
      </c>
      <c r="D174" s="1">
        <v>0</v>
      </c>
      <c r="E174" s="1">
        <v>1</v>
      </c>
      <c r="F174" s="1">
        <v>11</v>
      </c>
      <c r="G174" s="3" t="b">
        <v>0</v>
      </c>
      <c r="H174" s="1">
        <v>6</v>
      </c>
      <c r="I174" s="1">
        <v>2</v>
      </c>
      <c r="J174" s="1">
        <v>0.2</v>
      </c>
      <c r="K174">
        <f>VLOOKUP($A174,'Temprorary Data'!$A:$G,2,FALSE)</f>
        <v>0.18179999999999999</v>
      </c>
      <c r="L174">
        <f>VLOOKUP($A174,'Temprorary Data'!$A:$G,3,FALSE)</f>
        <v>0.69</v>
      </c>
      <c r="M174">
        <f>VLOOKUP($A174,'Temprorary Data'!$A:$G,4,FALSE)</f>
        <v>0.3881</v>
      </c>
      <c r="N174">
        <f>VLOOKUP($A174,'Temprorary Data'!$A:$G,5,FALSE)</f>
        <v>2</v>
      </c>
      <c r="O174">
        <f>VLOOKUP($A174,'Temprorary Data'!$A:$G,6,FALSE)</f>
        <v>60</v>
      </c>
      <c r="P174">
        <f>VLOOKUP($A174,'Temprorary Data'!$A:$G,7,FALSE)</f>
        <v>62</v>
      </c>
    </row>
    <row r="175" spans="1:16" ht="15.75" thickBot="1">
      <c r="A175" s="1">
        <v>174</v>
      </c>
      <c r="B175" s="2">
        <v>40551</v>
      </c>
      <c r="C175" s="1">
        <v>1</v>
      </c>
      <c r="D175" s="1">
        <v>0</v>
      </c>
      <c r="E175" s="1">
        <v>1</v>
      </c>
      <c r="F175" s="1">
        <v>12</v>
      </c>
      <c r="G175" s="3" t="b">
        <v>0</v>
      </c>
      <c r="H175" s="1">
        <v>6</v>
      </c>
      <c r="I175" s="1">
        <v>2</v>
      </c>
      <c r="J175" s="1">
        <v>0.2</v>
      </c>
      <c r="K175">
        <f>VLOOKUP($A175,'Temprorary Data'!$A:$G,2,FALSE)</f>
        <v>0.18179999999999999</v>
      </c>
      <c r="L175">
        <f>VLOOKUP($A175,'Temprorary Data'!$A:$G,3,FALSE)</f>
        <v>0.59</v>
      </c>
      <c r="M175">
        <f>VLOOKUP($A175,'Temprorary Data'!$A:$G,4,FALSE)</f>
        <v>0.35820000000000002</v>
      </c>
      <c r="N175">
        <f>VLOOKUP($A175,'Temprorary Data'!$A:$G,5,FALSE)</f>
        <v>8</v>
      </c>
      <c r="O175">
        <f>VLOOKUP($A175,'Temprorary Data'!$A:$G,6,FALSE)</f>
        <v>90</v>
      </c>
      <c r="P175">
        <f>VLOOKUP($A175,'Temprorary Data'!$A:$G,7,FALSE)</f>
        <v>98</v>
      </c>
    </row>
    <row r="176" spans="1:16" ht="15.75" thickBot="1">
      <c r="A176" s="1">
        <v>175</v>
      </c>
      <c r="B176" s="2">
        <v>40551</v>
      </c>
      <c r="C176" s="1">
        <v>1</v>
      </c>
      <c r="D176" s="1">
        <v>0</v>
      </c>
      <c r="E176" s="1">
        <v>1</v>
      </c>
      <c r="F176" s="1">
        <v>13</v>
      </c>
      <c r="G176" s="3" t="b">
        <v>0</v>
      </c>
      <c r="H176" s="1">
        <v>6</v>
      </c>
      <c r="I176" s="1">
        <v>1</v>
      </c>
      <c r="J176" s="1">
        <v>0.2</v>
      </c>
      <c r="K176">
        <f>VLOOKUP($A176,'Temprorary Data'!$A:$G,2,FALSE)</f>
        <v>0.18179999999999999</v>
      </c>
      <c r="L176">
        <f>VLOOKUP($A176,'Temprorary Data'!$A:$G,3,FALSE)</f>
        <v>0.44</v>
      </c>
      <c r="M176">
        <f>VLOOKUP($A176,'Temprorary Data'!$A:$G,4,FALSE)</f>
        <v>0.32840000000000003</v>
      </c>
      <c r="N176">
        <f>VLOOKUP($A176,'Temprorary Data'!$A:$G,5,FALSE)</f>
        <v>7</v>
      </c>
      <c r="O176">
        <f>VLOOKUP($A176,'Temprorary Data'!$A:$G,6,FALSE)</f>
        <v>95</v>
      </c>
      <c r="P176">
        <f>VLOOKUP($A176,'Temprorary Data'!$A:$G,7,FALSE)</f>
        <v>102</v>
      </c>
    </row>
    <row r="177" spans="1:16" ht="15.75" thickBot="1">
      <c r="A177" s="1">
        <v>176</v>
      </c>
      <c r="B177" s="2">
        <v>40551</v>
      </c>
      <c r="C177" s="1">
        <v>1</v>
      </c>
      <c r="D177" s="1">
        <v>0</v>
      </c>
      <c r="E177" s="1">
        <v>1</v>
      </c>
      <c r="F177" s="1">
        <v>14</v>
      </c>
      <c r="G177" s="3" t="b">
        <v>0</v>
      </c>
      <c r="H177" s="1">
        <v>6</v>
      </c>
      <c r="I177" s="1">
        <v>1</v>
      </c>
      <c r="J177" s="1">
        <v>0.2</v>
      </c>
      <c r="K177">
        <f>VLOOKUP($A177,'Temprorary Data'!$A:$G,2,FALSE)</f>
        <v>0.16669999999999999</v>
      </c>
      <c r="L177">
        <f>VLOOKUP($A177,'Temprorary Data'!$A:$G,3,FALSE)</f>
        <v>0.32</v>
      </c>
      <c r="M177">
        <f>VLOOKUP($A177,'Temprorary Data'!$A:$G,4,FALSE)</f>
        <v>0.49249999999999999</v>
      </c>
      <c r="N177">
        <f>VLOOKUP($A177,'Temprorary Data'!$A:$G,5,FALSE)</f>
        <v>12</v>
      </c>
      <c r="O177">
        <f>VLOOKUP($A177,'Temprorary Data'!$A:$G,6,FALSE)</f>
        <v>83</v>
      </c>
      <c r="P177">
        <f>VLOOKUP($A177,'Temprorary Data'!$A:$G,7,FALSE)</f>
        <v>95</v>
      </c>
    </row>
    <row r="178" spans="1:16" ht="15.75" thickBot="1">
      <c r="A178" s="1">
        <v>177</v>
      </c>
      <c r="B178" s="2">
        <v>40551</v>
      </c>
      <c r="C178" s="1">
        <v>1</v>
      </c>
      <c r="D178" s="1">
        <v>0</v>
      </c>
      <c r="E178" s="1">
        <v>1</v>
      </c>
      <c r="F178" s="1">
        <v>15</v>
      </c>
      <c r="G178" s="3" t="b">
        <v>0</v>
      </c>
      <c r="H178" s="1">
        <v>6</v>
      </c>
      <c r="I178" s="1">
        <v>1</v>
      </c>
      <c r="J178" s="1">
        <v>0.2</v>
      </c>
      <c r="K178">
        <f>VLOOKUP($A178,'Temprorary Data'!$A:$G,2,FALSE)</f>
        <v>0.16669999999999999</v>
      </c>
      <c r="L178">
        <f>VLOOKUP($A178,'Temprorary Data'!$A:$G,3,FALSE)</f>
        <v>0.32</v>
      </c>
      <c r="M178">
        <f>VLOOKUP($A178,'Temprorary Data'!$A:$G,4,FALSE)</f>
        <v>0.44779999999999998</v>
      </c>
      <c r="N178">
        <f>VLOOKUP($A178,'Temprorary Data'!$A:$G,5,FALSE)</f>
        <v>5</v>
      </c>
      <c r="O178">
        <f>VLOOKUP($A178,'Temprorary Data'!$A:$G,6,FALSE)</f>
        <v>69</v>
      </c>
      <c r="P178">
        <f>VLOOKUP($A178,'Temprorary Data'!$A:$G,7,FALSE)</f>
        <v>74</v>
      </c>
    </row>
    <row r="179" spans="1:16" ht="15.75" thickBot="1">
      <c r="A179" s="1">
        <v>178</v>
      </c>
      <c r="B179" s="2">
        <v>40551</v>
      </c>
      <c r="C179" s="1">
        <v>1</v>
      </c>
      <c r="D179" s="1">
        <v>0</v>
      </c>
      <c r="E179" s="1">
        <v>1</v>
      </c>
      <c r="F179" s="1">
        <v>16</v>
      </c>
      <c r="G179" s="3" t="b">
        <v>0</v>
      </c>
      <c r="H179" s="1">
        <v>6</v>
      </c>
      <c r="I179" s="1">
        <v>1</v>
      </c>
      <c r="J179" s="1">
        <v>0.18</v>
      </c>
      <c r="K179">
        <f>VLOOKUP($A179,'Temprorary Data'!$A:$G,2,FALSE)</f>
        <v>0.13639999999999999</v>
      </c>
      <c r="L179">
        <f>VLOOKUP($A179,'Temprorary Data'!$A:$G,3,FALSE)</f>
        <v>0.28999999999999998</v>
      </c>
      <c r="M179">
        <f>VLOOKUP($A179,'Temprorary Data'!$A:$G,4,FALSE)</f>
        <v>0.44779999999999998</v>
      </c>
      <c r="N179">
        <f>VLOOKUP($A179,'Temprorary Data'!$A:$G,5,FALSE)</f>
        <v>8</v>
      </c>
      <c r="O179">
        <f>VLOOKUP($A179,'Temprorary Data'!$A:$G,6,FALSE)</f>
        <v>68</v>
      </c>
      <c r="P179">
        <f>VLOOKUP($A179,'Temprorary Data'!$A:$G,7,FALSE)</f>
        <v>76</v>
      </c>
    </row>
    <row r="180" spans="1:16" ht="15.75" thickBot="1">
      <c r="A180" s="1">
        <v>179</v>
      </c>
      <c r="B180" s="2">
        <v>40551</v>
      </c>
      <c r="C180" s="1">
        <v>1</v>
      </c>
      <c r="D180" s="1">
        <v>0</v>
      </c>
      <c r="E180" s="1">
        <v>1</v>
      </c>
      <c r="F180" s="1">
        <v>17</v>
      </c>
      <c r="G180" s="3" t="b">
        <v>0</v>
      </c>
      <c r="H180" s="1">
        <v>6</v>
      </c>
      <c r="I180" s="1">
        <v>1</v>
      </c>
      <c r="J180" s="1">
        <v>0.16</v>
      </c>
      <c r="K180">
        <f>VLOOKUP($A180,'Temprorary Data'!$A:$G,2,FALSE)</f>
        <v>0.1212</v>
      </c>
      <c r="L180">
        <f>VLOOKUP($A180,'Temprorary Data'!$A:$G,3,FALSE)</f>
        <v>0.37</v>
      </c>
      <c r="M180">
        <f>VLOOKUP($A180,'Temprorary Data'!$A:$G,4,FALSE)</f>
        <v>0.55220000000000002</v>
      </c>
      <c r="N180">
        <f>VLOOKUP($A180,'Temprorary Data'!$A:$G,5,FALSE)</f>
        <v>5</v>
      </c>
      <c r="O180">
        <f>VLOOKUP($A180,'Temprorary Data'!$A:$G,6,FALSE)</f>
        <v>64</v>
      </c>
      <c r="P180">
        <f>VLOOKUP($A180,'Temprorary Data'!$A:$G,7,FALSE)</f>
        <v>69</v>
      </c>
    </row>
    <row r="181" spans="1:16" ht="15.75" thickBot="1">
      <c r="A181" s="1">
        <v>180</v>
      </c>
      <c r="B181" s="2">
        <v>40551</v>
      </c>
      <c r="C181" s="1">
        <v>1</v>
      </c>
      <c r="D181" s="1">
        <v>0</v>
      </c>
      <c r="E181" s="1">
        <v>1</v>
      </c>
      <c r="F181" s="1">
        <v>18</v>
      </c>
      <c r="G181" s="3" t="b">
        <v>0</v>
      </c>
      <c r="H181" s="1">
        <v>6</v>
      </c>
      <c r="I181" s="1">
        <v>1</v>
      </c>
      <c r="J181" s="1">
        <v>0.14000000000000001</v>
      </c>
      <c r="K181">
        <f>VLOOKUP($A181,'Temprorary Data'!$A:$G,2,FALSE)</f>
        <v>0.1212</v>
      </c>
      <c r="L181">
        <f>VLOOKUP($A181,'Temprorary Data'!$A:$G,3,FALSE)</f>
        <v>0.39</v>
      </c>
      <c r="M181">
        <f>VLOOKUP($A181,'Temprorary Data'!$A:$G,4,FALSE)</f>
        <v>0.29849999999999999</v>
      </c>
      <c r="N181">
        <f>VLOOKUP($A181,'Temprorary Data'!$A:$G,5,FALSE)</f>
        <v>3</v>
      </c>
      <c r="O181">
        <f>VLOOKUP($A181,'Temprorary Data'!$A:$G,6,FALSE)</f>
        <v>52</v>
      </c>
      <c r="P181">
        <f>VLOOKUP($A181,'Temprorary Data'!$A:$G,7,FALSE)</f>
        <v>55</v>
      </c>
    </row>
    <row r="182" spans="1:16" ht="15.75" thickBot="1">
      <c r="A182" s="1">
        <v>181</v>
      </c>
      <c r="B182" s="2">
        <v>40551</v>
      </c>
      <c r="C182" s="1">
        <v>1</v>
      </c>
      <c r="D182" s="1">
        <v>0</v>
      </c>
      <c r="E182" s="1">
        <v>1</v>
      </c>
      <c r="F182" s="1">
        <v>19</v>
      </c>
      <c r="G182" s="3" t="b">
        <v>0</v>
      </c>
      <c r="H182" s="1">
        <v>6</v>
      </c>
      <c r="I182" s="1">
        <v>1</v>
      </c>
      <c r="J182" s="1">
        <v>0.14000000000000001</v>
      </c>
      <c r="K182">
        <f>VLOOKUP($A182,'Temprorary Data'!$A:$G,2,FALSE)</f>
        <v>0.1212</v>
      </c>
      <c r="L182">
        <f>VLOOKUP($A182,'Temprorary Data'!$A:$G,3,FALSE)</f>
        <v>0.36</v>
      </c>
      <c r="M182">
        <f>VLOOKUP($A182,'Temprorary Data'!$A:$G,4,FALSE)</f>
        <v>0.25369999999999998</v>
      </c>
      <c r="N182">
        <f>VLOOKUP($A182,'Temprorary Data'!$A:$G,5,FALSE)</f>
        <v>4</v>
      </c>
      <c r="O182">
        <f>VLOOKUP($A182,'Temprorary Data'!$A:$G,6,FALSE)</f>
        <v>26</v>
      </c>
      <c r="P182">
        <f>VLOOKUP($A182,'Temprorary Data'!$A:$G,7,FALSE)</f>
        <v>30</v>
      </c>
    </row>
    <row r="183" spans="1:16" ht="15.75" thickBot="1">
      <c r="A183" s="1">
        <v>182</v>
      </c>
      <c r="B183" s="2">
        <v>40551</v>
      </c>
      <c r="C183" s="1">
        <v>1</v>
      </c>
      <c r="D183" s="1">
        <v>0</v>
      </c>
      <c r="E183" s="1">
        <v>1</v>
      </c>
      <c r="F183" s="1">
        <v>20</v>
      </c>
      <c r="G183" s="3" t="b">
        <v>0</v>
      </c>
      <c r="H183" s="1">
        <v>6</v>
      </c>
      <c r="I183" s="1">
        <v>1</v>
      </c>
      <c r="J183" s="1">
        <v>0.12</v>
      </c>
      <c r="K183">
        <f>VLOOKUP($A183,'Temprorary Data'!$A:$G,2,FALSE)</f>
        <v>0.1212</v>
      </c>
      <c r="L183">
        <f>VLOOKUP($A183,'Temprorary Data'!$A:$G,3,FALSE)</f>
        <v>0.36</v>
      </c>
      <c r="M183">
        <f>VLOOKUP($A183,'Temprorary Data'!$A:$G,4,FALSE)</f>
        <v>0.25369999999999998</v>
      </c>
      <c r="N183">
        <f>VLOOKUP($A183,'Temprorary Data'!$A:$G,5,FALSE)</f>
        <v>0</v>
      </c>
      <c r="O183">
        <f>VLOOKUP($A183,'Temprorary Data'!$A:$G,6,FALSE)</f>
        <v>28</v>
      </c>
      <c r="P183">
        <f>VLOOKUP($A183,'Temprorary Data'!$A:$G,7,FALSE)</f>
        <v>28</v>
      </c>
    </row>
    <row r="184" spans="1:16" ht="15.75" thickBot="1">
      <c r="A184" s="1">
        <v>183</v>
      </c>
      <c r="B184" s="2">
        <v>40551</v>
      </c>
      <c r="C184" s="1">
        <v>1</v>
      </c>
      <c r="D184" s="1">
        <v>0</v>
      </c>
      <c r="E184" s="1">
        <v>1</v>
      </c>
      <c r="F184" s="1">
        <v>21</v>
      </c>
      <c r="G184" s="3" t="b">
        <v>0</v>
      </c>
      <c r="H184" s="1">
        <v>6</v>
      </c>
      <c r="I184" s="1">
        <v>1</v>
      </c>
      <c r="J184" s="1">
        <v>0.12</v>
      </c>
      <c r="K184">
        <f>VLOOKUP($A184,'Temprorary Data'!$A:$G,2,FALSE)</f>
        <v>0.1061</v>
      </c>
      <c r="L184">
        <f>VLOOKUP($A184,'Temprorary Data'!$A:$G,3,FALSE)</f>
        <v>0.39</v>
      </c>
      <c r="M184">
        <f>VLOOKUP($A184,'Temprorary Data'!$A:$G,4,FALSE)</f>
        <v>0.35820000000000002</v>
      </c>
      <c r="N184">
        <f>VLOOKUP($A184,'Temprorary Data'!$A:$G,5,FALSE)</f>
        <v>2</v>
      </c>
      <c r="O184">
        <f>VLOOKUP($A184,'Temprorary Data'!$A:$G,6,FALSE)</f>
        <v>35</v>
      </c>
      <c r="P184">
        <f>VLOOKUP($A184,'Temprorary Data'!$A:$G,7,FALSE)</f>
        <v>37</v>
      </c>
    </row>
    <row r="185" spans="1:16" ht="15.75" thickBot="1">
      <c r="A185" s="1">
        <v>184</v>
      </c>
      <c r="B185" s="2">
        <v>40551</v>
      </c>
      <c r="C185" s="1">
        <v>1</v>
      </c>
      <c r="D185" s="1">
        <v>0</v>
      </c>
      <c r="E185" s="1">
        <v>1</v>
      </c>
      <c r="F185" s="1">
        <v>22</v>
      </c>
      <c r="G185" s="3" t="b">
        <v>0</v>
      </c>
      <c r="H185" s="1">
        <v>6</v>
      </c>
      <c r="I185" s="1">
        <v>1</v>
      </c>
      <c r="J185" s="1">
        <v>0.12</v>
      </c>
      <c r="K185">
        <f>VLOOKUP($A185,'Temprorary Data'!$A:$G,2,FALSE)</f>
        <v>0.1061</v>
      </c>
      <c r="L185">
        <f>VLOOKUP($A185,'Temprorary Data'!$A:$G,3,FALSE)</f>
        <v>0.36</v>
      </c>
      <c r="M185">
        <f>VLOOKUP($A185,'Temprorary Data'!$A:$G,4,FALSE)</f>
        <v>0.3881</v>
      </c>
      <c r="N185">
        <f>VLOOKUP($A185,'Temprorary Data'!$A:$G,5,FALSE)</f>
        <v>1</v>
      </c>
      <c r="O185">
        <f>VLOOKUP($A185,'Temprorary Data'!$A:$G,6,FALSE)</f>
        <v>33</v>
      </c>
      <c r="P185">
        <f>VLOOKUP($A185,'Temprorary Data'!$A:$G,7,FALSE)</f>
        <v>34</v>
      </c>
    </row>
    <row r="186" spans="1:16" ht="15.75" thickBot="1">
      <c r="A186" s="1">
        <v>185</v>
      </c>
      <c r="B186" s="2">
        <v>40551</v>
      </c>
      <c r="C186" s="1">
        <v>1</v>
      </c>
      <c r="D186" s="1">
        <v>0</v>
      </c>
      <c r="E186" s="1">
        <v>1</v>
      </c>
      <c r="F186" s="1">
        <v>23</v>
      </c>
      <c r="G186" s="3" t="b">
        <v>0</v>
      </c>
      <c r="H186" s="1">
        <v>6</v>
      </c>
      <c r="I186" s="1">
        <v>1</v>
      </c>
      <c r="J186" s="1">
        <v>0.1</v>
      </c>
      <c r="K186">
        <f>VLOOKUP($A186,'Temprorary Data'!$A:$G,2,FALSE)</f>
        <v>6.0600000000000001E-2</v>
      </c>
      <c r="L186">
        <f>VLOOKUP($A186,'Temprorary Data'!$A:$G,3,FALSE)</f>
        <v>0.39</v>
      </c>
      <c r="M186">
        <f>VLOOKUP($A186,'Temprorary Data'!$A:$G,4,FALSE)</f>
        <v>0.44779999999999998</v>
      </c>
      <c r="N186">
        <f>VLOOKUP($A186,'Temprorary Data'!$A:$G,5,FALSE)</f>
        <v>0</v>
      </c>
      <c r="O186">
        <f>VLOOKUP($A186,'Temprorary Data'!$A:$G,6,FALSE)</f>
        <v>22</v>
      </c>
      <c r="P186">
        <f>VLOOKUP($A186,'Temprorary Data'!$A:$G,7,FALSE)</f>
        <v>22</v>
      </c>
    </row>
    <row r="187" spans="1:16" ht="15.75" thickBot="1">
      <c r="A187" s="1">
        <v>186</v>
      </c>
      <c r="B187" s="2">
        <v>40552</v>
      </c>
      <c r="C187" s="1">
        <v>1</v>
      </c>
      <c r="D187" s="1">
        <v>0</v>
      </c>
      <c r="E187" s="1">
        <v>1</v>
      </c>
      <c r="F187" s="1">
        <v>0</v>
      </c>
      <c r="G187" s="3" t="b">
        <v>0</v>
      </c>
      <c r="H187" s="1">
        <v>0</v>
      </c>
      <c r="I187" s="1">
        <v>1</v>
      </c>
      <c r="J187" s="1">
        <v>0.1</v>
      </c>
      <c r="K187">
        <f>VLOOKUP($A187,'Temprorary Data'!$A:$G,2,FALSE)</f>
        <v>7.5800000000000006E-2</v>
      </c>
      <c r="L187">
        <f>VLOOKUP($A187,'Temprorary Data'!$A:$G,3,FALSE)</f>
        <v>0.42</v>
      </c>
      <c r="M187">
        <f>VLOOKUP($A187,'Temprorary Data'!$A:$G,4,FALSE)</f>
        <v>0.3881</v>
      </c>
      <c r="N187">
        <f>VLOOKUP($A187,'Temprorary Data'!$A:$G,5,FALSE)</f>
        <v>1</v>
      </c>
      <c r="O187">
        <f>VLOOKUP($A187,'Temprorary Data'!$A:$G,6,FALSE)</f>
        <v>24</v>
      </c>
      <c r="P187">
        <f>VLOOKUP($A187,'Temprorary Data'!$A:$G,7,FALSE)</f>
        <v>25</v>
      </c>
    </row>
    <row r="188" spans="1:16" ht="15.75" thickBot="1">
      <c r="A188" s="1">
        <v>187</v>
      </c>
      <c r="B188" s="2">
        <v>40552</v>
      </c>
      <c r="C188" s="1">
        <v>1</v>
      </c>
      <c r="D188" s="1">
        <v>0</v>
      </c>
      <c r="E188" s="1">
        <v>1</v>
      </c>
      <c r="F188" s="1">
        <v>1</v>
      </c>
      <c r="G188" s="3" t="b">
        <v>0</v>
      </c>
      <c r="H188" s="1">
        <v>0</v>
      </c>
      <c r="I188" s="1">
        <v>1</v>
      </c>
      <c r="J188" s="1">
        <v>0.1</v>
      </c>
      <c r="K188">
        <f>VLOOKUP($A188,'Temprorary Data'!$A:$G,2,FALSE)</f>
        <v>6.0600000000000001E-2</v>
      </c>
      <c r="L188">
        <f>VLOOKUP($A188,'Temprorary Data'!$A:$G,3,FALSE)</f>
        <v>0.42</v>
      </c>
      <c r="M188">
        <f>VLOOKUP($A188,'Temprorary Data'!$A:$G,4,FALSE)</f>
        <v>0.4627</v>
      </c>
      <c r="N188">
        <f>VLOOKUP($A188,'Temprorary Data'!$A:$G,5,FALSE)</f>
        <v>0</v>
      </c>
      <c r="O188">
        <f>VLOOKUP($A188,'Temprorary Data'!$A:$G,6,FALSE)</f>
        <v>12</v>
      </c>
      <c r="P188">
        <f>VLOOKUP($A188,'Temprorary Data'!$A:$G,7,FALSE)</f>
        <v>12</v>
      </c>
    </row>
    <row r="189" spans="1:16" ht="15.75" thickBot="1">
      <c r="A189" s="1">
        <v>188</v>
      </c>
      <c r="B189" s="2">
        <v>40552</v>
      </c>
      <c r="C189" s="1">
        <v>1</v>
      </c>
      <c r="D189" s="1">
        <v>0</v>
      </c>
      <c r="E189" s="1">
        <v>1</v>
      </c>
      <c r="F189" s="1">
        <v>2</v>
      </c>
      <c r="G189" s="3" t="b">
        <v>0</v>
      </c>
      <c r="H189" s="1">
        <v>0</v>
      </c>
      <c r="I189" s="1">
        <v>1</v>
      </c>
      <c r="J189" s="1">
        <v>0.1</v>
      </c>
      <c r="K189">
        <f>VLOOKUP($A189,'Temprorary Data'!$A:$G,2,FALSE)</f>
        <v>6.0600000000000001E-2</v>
      </c>
      <c r="L189">
        <f>VLOOKUP($A189,'Temprorary Data'!$A:$G,3,FALSE)</f>
        <v>0.46</v>
      </c>
      <c r="M189">
        <f>VLOOKUP($A189,'Temprorary Data'!$A:$G,4,FALSE)</f>
        <v>0.4627</v>
      </c>
      <c r="N189">
        <f>VLOOKUP($A189,'Temprorary Data'!$A:$G,5,FALSE)</f>
        <v>0</v>
      </c>
      <c r="O189">
        <f>VLOOKUP($A189,'Temprorary Data'!$A:$G,6,FALSE)</f>
        <v>11</v>
      </c>
      <c r="P189">
        <f>VLOOKUP($A189,'Temprorary Data'!$A:$G,7,FALSE)</f>
        <v>11</v>
      </c>
    </row>
    <row r="190" spans="1:16" ht="15.75" thickBot="1">
      <c r="A190" s="1">
        <v>189</v>
      </c>
      <c r="B190" s="2">
        <v>40552</v>
      </c>
      <c r="C190" s="1">
        <v>1</v>
      </c>
      <c r="D190" s="1">
        <v>0</v>
      </c>
      <c r="E190" s="1">
        <v>1</v>
      </c>
      <c r="F190" s="1">
        <v>3</v>
      </c>
      <c r="G190" s="3" t="b">
        <v>0</v>
      </c>
      <c r="H190" s="1">
        <v>0</v>
      </c>
      <c r="I190" s="1">
        <v>1</v>
      </c>
      <c r="J190" s="1">
        <v>0.1</v>
      </c>
      <c r="K190">
        <f>VLOOKUP($A190,'Temprorary Data'!$A:$G,2,FALSE)</f>
        <v>7.5800000000000006E-2</v>
      </c>
      <c r="L190">
        <f>VLOOKUP($A190,'Temprorary Data'!$A:$G,3,FALSE)</f>
        <v>0.46</v>
      </c>
      <c r="M190">
        <f>VLOOKUP($A190,'Temprorary Data'!$A:$G,4,FALSE)</f>
        <v>0.41789999999999999</v>
      </c>
      <c r="N190">
        <f>VLOOKUP($A190,'Temprorary Data'!$A:$G,5,FALSE)</f>
        <v>0</v>
      </c>
      <c r="O190">
        <f>VLOOKUP($A190,'Temprorary Data'!$A:$G,6,FALSE)</f>
        <v>4</v>
      </c>
      <c r="P190">
        <f>VLOOKUP($A190,'Temprorary Data'!$A:$G,7,FALSE)</f>
        <v>4</v>
      </c>
    </row>
    <row r="191" spans="1:16" ht="15.75" thickBot="1">
      <c r="A191" s="1">
        <v>190</v>
      </c>
      <c r="B191" s="2">
        <v>40552</v>
      </c>
      <c r="C191" s="1">
        <v>1</v>
      </c>
      <c r="D191" s="1">
        <v>0</v>
      </c>
      <c r="E191" s="1">
        <v>1</v>
      </c>
      <c r="F191" s="1">
        <v>4</v>
      </c>
      <c r="G191" s="3" t="b">
        <v>0</v>
      </c>
      <c r="H191" s="1">
        <v>0</v>
      </c>
      <c r="I191" s="1">
        <v>1</v>
      </c>
      <c r="J191" s="1">
        <v>0.08</v>
      </c>
      <c r="K191">
        <f>VLOOKUP($A191,'Temprorary Data'!$A:$G,2,FALSE)</f>
        <v>9.0899999999999995E-2</v>
      </c>
      <c r="L191">
        <f>VLOOKUP($A191,'Temprorary Data'!$A:$G,3,FALSE)</f>
        <v>0.53</v>
      </c>
      <c r="M191">
        <f>VLOOKUP($A191,'Temprorary Data'!$A:$G,4,FALSE)</f>
        <v>0.19400000000000001</v>
      </c>
      <c r="N191">
        <f>VLOOKUP($A191,'Temprorary Data'!$A:$G,5,FALSE)</f>
        <v>0</v>
      </c>
      <c r="O191">
        <f>VLOOKUP($A191,'Temprorary Data'!$A:$G,6,FALSE)</f>
        <v>1</v>
      </c>
      <c r="P191">
        <f>VLOOKUP($A191,'Temprorary Data'!$A:$G,7,FALSE)</f>
        <v>1</v>
      </c>
    </row>
    <row r="192" spans="1:16" ht="15.75" thickBot="1">
      <c r="A192" s="1">
        <v>191</v>
      </c>
      <c r="B192" s="2">
        <v>40552</v>
      </c>
      <c r="C192" s="1">
        <v>1</v>
      </c>
      <c r="D192" s="1">
        <v>0</v>
      </c>
      <c r="E192" s="1">
        <v>1</v>
      </c>
      <c r="F192" s="1">
        <v>5</v>
      </c>
      <c r="G192" s="3" t="b">
        <v>0</v>
      </c>
      <c r="H192" s="1">
        <v>0</v>
      </c>
      <c r="I192" s="1">
        <v>1</v>
      </c>
      <c r="J192" s="1">
        <v>0.08</v>
      </c>
      <c r="K192">
        <f>VLOOKUP($A192,'Temprorary Data'!$A:$G,2,FALSE)</f>
        <v>9.0899999999999995E-2</v>
      </c>
      <c r="L192">
        <f>VLOOKUP($A192,'Temprorary Data'!$A:$G,3,FALSE)</f>
        <v>0.53</v>
      </c>
      <c r="M192">
        <f>VLOOKUP($A192,'Temprorary Data'!$A:$G,4,FALSE)</f>
        <v>0.19400000000000001</v>
      </c>
      <c r="N192">
        <f>VLOOKUP($A192,'Temprorary Data'!$A:$G,5,FALSE)</f>
        <v>0</v>
      </c>
      <c r="O192">
        <f>VLOOKUP($A192,'Temprorary Data'!$A:$G,6,FALSE)</f>
        <v>1</v>
      </c>
      <c r="P192">
        <f>VLOOKUP($A192,'Temprorary Data'!$A:$G,7,FALSE)</f>
        <v>1</v>
      </c>
    </row>
    <row r="193" spans="1:16" ht="15.75" thickBot="1">
      <c r="A193" s="1">
        <v>192</v>
      </c>
      <c r="B193" s="2">
        <v>40552</v>
      </c>
      <c r="C193" s="1">
        <v>1</v>
      </c>
      <c r="D193" s="1">
        <v>0</v>
      </c>
      <c r="E193" s="1">
        <v>1</v>
      </c>
      <c r="F193" s="1">
        <v>6</v>
      </c>
      <c r="G193" s="3" t="b">
        <v>0</v>
      </c>
      <c r="H193" s="1">
        <v>0</v>
      </c>
      <c r="I193" s="1">
        <v>1</v>
      </c>
      <c r="J193" s="1">
        <v>0.1</v>
      </c>
      <c r="K193">
        <f>VLOOKUP($A193,'Temprorary Data'!$A:$G,2,FALSE)</f>
        <v>9.0899999999999995E-2</v>
      </c>
      <c r="L193">
        <f>VLOOKUP($A193,'Temprorary Data'!$A:$G,3,FALSE)</f>
        <v>0.49</v>
      </c>
      <c r="M193">
        <f>VLOOKUP($A193,'Temprorary Data'!$A:$G,4,FALSE)</f>
        <v>0.28360000000000002</v>
      </c>
      <c r="N193">
        <f>VLOOKUP($A193,'Temprorary Data'!$A:$G,5,FALSE)</f>
        <v>0</v>
      </c>
      <c r="O193">
        <f>VLOOKUP($A193,'Temprorary Data'!$A:$G,6,FALSE)</f>
        <v>1</v>
      </c>
      <c r="P193">
        <f>VLOOKUP($A193,'Temprorary Data'!$A:$G,7,FALSE)</f>
        <v>1</v>
      </c>
    </row>
    <row r="194" spans="1:16" ht="15.75" thickBot="1">
      <c r="A194" s="1">
        <v>193</v>
      </c>
      <c r="B194" s="2">
        <v>40552</v>
      </c>
      <c r="C194" s="1">
        <v>1</v>
      </c>
      <c r="D194" s="1">
        <v>0</v>
      </c>
      <c r="E194" s="1">
        <v>1</v>
      </c>
      <c r="F194" s="1">
        <v>7</v>
      </c>
      <c r="G194" s="3" t="b">
        <v>0</v>
      </c>
      <c r="H194" s="1">
        <v>0</v>
      </c>
      <c r="I194" s="1">
        <v>1</v>
      </c>
      <c r="J194" s="1">
        <v>0.08</v>
      </c>
      <c r="K194">
        <f>VLOOKUP($A194,'Temprorary Data'!$A:$G,2,FALSE)</f>
        <v>9.0899999999999995E-2</v>
      </c>
      <c r="L194">
        <f>VLOOKUP($A194,'Temprorary Data'!$A:$G,3,FALSE)</f>
        <v>0.53</v>
      </c>
      <c r="M194">
        <f>VLOOKUP($A194,'Temprorary Data'!$A:$G,4,FALSE)</f>
        <v>0.19400000000000001</v>
      </c>
      <c r="N194">
        <f>VLOOKUP($A194,'Temprorary Data'!$A:$G,5,FALSE)</f>
        <v>1</v>
      </c>
      <c r="O194">
        <f>VLOOKUP($A194,'Temprorary Data'!$A:$G,6,FALSE)</f>
        <v>5</v>
      </c>
      <c r="P194">
        <f>VLOOKUP($A194,'Temprorary Data'!$A:$G,7,FALSE)</f>
        <v>6</v>
      </c>
    </row>
    <row r="195" spans="1:16" ht="15.75" thickBot="1">
      <c r="A195" s="1">
        <v>194</v>
      </c>
      <c r="B195" s="2">
        <v>40552</v>
      </c>
      <c r="C195" s="1">
        <v>1</v>
      </c>
      <c r="D195" s="1">
        <v>0</v>
      </c>
      <c r="E195" s="1">
        <v>1</v>
      </c>
      <c r="F195" s="1">
        <v>8</v>
      </c>
      <c r="G195" s="3" t="b">
        <v>0</v>
      </c>
      <c r="H195" s="1">
        <v>0</v>
      </c>
      <c r="I195" s="1">
        <v>1</v>
      </c>
      <c r="J195" s="1">
        <v>0.1</v>
      </c>
      <c r="K195">
        <f>VLOOKUP($A195,'Temprorary Data'!$A:$G,2,FALSE)</f>
        <v>9.0899999999999995E-2</v>
      </c>
      <c r="L195">
        <f>VLOOKUP($A195,'Temprorary Data'!$A:$G,3,FALSE)</f>
        <v>0.49</v>
      </c>
      <c r="M195">
        <f>VLOOKUP($A195,'Temprorary Data'!$A:$G,4,FALSE)</f>
        <v>0.28360000000000002</v>
      </c>
      <c r="N195">
        <f>VLOOKUP($A195,'Temprorary Data'!$A:$G,5,FALSE)</f>
        <v>0</v>
      </c>
      <c r="O195">
        <f>VLOOKUP($A195,'Temprorary Data'!$A:$G,6,FALSE)</f>
        <v>10</v>
      </c>
      <c r="P195">
        <f>VLOOKUP($A195,'Temprorary Data'!$A:$G,7,FALSE)</f>
        <v>10</v>
      </c>
    </row>
    <row r="196" spans="1:16" ht="15.75" thickBot="1">
      <c r="A196" s="1">
        <v>195</v>
      </c>
      <c r="B196" s="2">
        <v>40552</v>
      </c>
      <c r="C196" s="1">
        <v>1</v>
      </c>
      <c r="D196" s="1">
        <v>0</v>
      </c>
      <c r="E196" s="1">
        <v>1</v>
      </c>
      <c r="F196" s="1">
        <v>9</v>
      </c>
      <c r="G196" s="3" t="b">
        <v>0</v>
      </c>
      <c r="H196" s="1">
        <v>0</v>
      </c>
      <c r="I196" s="1">
        <v>1</v>
      </c>
      <c r="J196" s="1">
        <v>0.12</v>
      </c>
      <c r="K196">
        <f>VLOOKUP($A196,'Temprorary Data'!$A:$G,2,FALSE)</f>
        <v>7.5800000000000006E-2</v>
      </c>
      <c r="L196">
        <f>VLOOKUP($A196,'Temprorary Data'!$A:$G,3,FALSE)</f>
        <v>0.46</v>
      </c>
      <c r="M196">
        <f>VLOOKUP($A196,'Temprorary Data'!$A:$G,4,FALSE)</f>
        <v>0.52239999999999998</v>
      </c>
      <c r="N196">
        <f>VLOOKUP($A196,'Temprorary Data'!$A:$G,5,FALSE)</f>
        <v>0</v>
      </c>
      <c r="O196">
        <f>VLOOKUP($A196,'Temprorary Data'!$A:$G,6,FALSE)</f>
        <v>19</v>
      </c>
      <c r="P196">
        <f>VLOOKUP($A196,'Temprorary Data'!$A:$G,7,FALSE)</f>
        <v>19</v>
      </c>
    </row>
    <row r="197" spans="1:16" ht="15.75" thickBot="1">
      <c r="A197" s="1">
        <v>196</v>
      </c>
      <c r="B197" s="2">
        <v>40552</v>
      </c>
      <c r="C197" s="1">
        <v>1</v>
      </c>
      <c r="D197" s="1">
        <v>0</v>
      </c>
      <c r="E197" s="1">
        <v>1</v>
      </c>
      <c r="F197" s="1">
        <v>10</v>
      </c>
      <c r="G197" s="3" t="b">
        <v>0</v>
      </c>
      <c r="H197" s="1">
        <v>0</v>
      </c>
      <c r="I197" s="1">
        <v>1</v>
      </c>
      <c r="J197" s="1">
        <v>0.14000000000000001</v>
      </c>
      <c r="K197">
        <f>VLOOKUP($A197,'Temprorary Data'!$A:$G,2,FALSE)</f>
        <v>0.1061</v>
      </c>
      <c r="L197">
        <f>VLOOKUP($A197,'Temprorary Data'!$A:$G,3,FALSE)</f>
        <v>0.43</v>
      </c>
      <c r="M197">
        <f>VLOOKUP($A197,'Temprorary Data'!$A:$G,4,FALSE)</f>
        <v>0.3881</v>
      </c>
      <c r="N197">
        <f>VLOOKUP($A197,'Temprorary Data'!$A:$G,5,FALSE)</f>
        <v>0</v>
      </c>
      <c r="O197">
        <f>VLOOKUP($A197,'Temprorary Data'!$A:$G,6,FALSE)</f>
        <v>49</v>
      </c>
      <c r="P197">
        <f>VLOOKUP($A197,'Temprorary Data'!$A:$G,7,FALSE)</f>
        <v>49</v>
      </c>
    </row>
    <row r="198" spans="1:16" ht="15.75" thickBot="1">
      <c r="A198" s="1">
        <v>197</v>
      </c>
      <c r="B198" s="2">
        <v>40552</v>
      </c>
      <c r="C198" s="1">
        <v>1</v>
      </c>
      <c r="D198" s="1">
        <v>0</v>
      </c>
      <c r="E198" s="1">
        <v>1</v>
      </c>
      <c r="F198" s="1">
        <v>11</v>
      </c>
      <c r="G198" s="3" t="b">
        <v>0</v>
      </c>
      <c r="H198" s="1">
        <v>0</v>
      </c>
      <c r="I198" s="1">
        <v>1</v>
      </c>
      <c r="J198" s="1">
        <v>0.16</v>
      </c>
      <c r="K198">
        <f>VLOOKUP($A198,'Temprorary Data'!$A:$G,2,FALSE)</f>
        <v>0.1212</v>
      </c>
      <c r="L198">
        <f>VLOOKUP($A198,'Temprorary Data'!$A:$G,3,FALSE)</f>
        <v>0.4</v>
      </c>
      <c r="M198">
        <f>VLOOKUP($A198,'Temprorary Data'!$A:$G,4,FALSE)</f>
        <v>0.52239999999999998</v>
      </c>
      <c r="N198">
        <f>VLOOKUP($A198,'Temprorary Data'!$A:$G,5,FALSE)</f>
        <v>2</v>
      </c>
      <c r="O198">
        <f>VLOOKUP($A198,'Temprorary Data'!$A:$G,6,FALSE)</f>
        <v>47</v>
      </c>
      <c r="P198">
        <f>VLOOKUP($A198,'Temprorary Data'!$A:$G,7,FALSE)</f>
        <v>49</v>
      </c>
    </row>
    <row r="199" spans="1:16" ht="15.75" thickBot="1">
      <c r="A199" s="1">
        <v>198</v>
      </c>
      <c r="B199" s="2">
        <v>40552</v>
      </c>
      <c r="C199" s="1">
        <v>1</v>
      </c>
      <c r="D199" s="1">
        <v>0</v>
      </c>
      <c r="E199" s="1">
        <v>1</v>
      </c>
      <c r="F199" s="1">
        <v>12</v>
      </c>
      <c r="G199" s="3" t="b">
        <v>0</v>
      </c>
      <c r="H199" s="1">
        <v>0</v>
      </c>
      <c r="I199" s="1">
        <v>1</v>
      </c>
      <c r="J199" s="1">
        <v>0.18</v>
      </c>
      <c r="K199">
        <f>VLOOKUP($A199,'Temprorary Data'!$A:$G,2,FALSE)</f>
        <v>0.13639999999999999</v>
      </c>
      <c r="L199">
        <f>VLOOKUP($A199,'Temprorary Data'!$A:$G,3,FALSE)</f>
        <v>0.37</v>
      </c>
      <c r="M199">
        <f>VLOOKUP($A199,'Temprorary Data'!$A:$G,4,FALSE)</f>
        <v>0.44779999999999998</v>
      </c>
      <c r="N199">
        <f>VLOOKUP($A199,'Temprorary Data'!$A:$G,5,FALSE)</f>
        <v>4</v>
      </c>
      <c r="O199">
        <f>VLOOKUP($A199,'Temprorary Data'!$A:$G,6,FALSE)</f>
        <v>79</v>
      </c>
      <c r="P199">
        <f>VLOOKUP($A199,'Temprorary Data'!$A:$G,7,FALSE)</f>
        <v>83</v>
      </c>
    </row>
    <row r="200" spans="1:16" ht="15.75" thickBot="1">
      <c r="A200" s="1">
        <v>199</v>
      </c>
      <c r="B200" s="2">
        <v>40552</v>
      </c>
      <c r="C200" s="1">
        <v>1</v>
      </c>
      <c r="D200" s="1">
        <v>0</v>
      </c>
      <c r="E200" s="1">
        <v>1</v>
      </c>
      <c r="F200" s="1">
        <v>13</v>
      </c>
      <c r="G200" s="3" t="b">
        <v>0</v>
      </c>
      <c r="H200" s="1">
        <v>0</v>
      </c>
      <c r="I200" s="1">
        <v>1</v>
      </c>
      <c r="J200" s="1">
        <v>0.2</v>
      </c>
      <c r="K200">
        <f>VLOOKUP($A200,'Temprorary Data'!$A:$G,2,FALSE)</f>
        <v>0.16669999999999999</v>
      </c>
      <c r="L200">
        <f>VLOOKUP($A200,'Temprorary Data'!$A:$G,3,FALSE)</f>
        <v>0.34</v>
      </c>
      <c r="M200">
        <f>VLOOKUP($A200,'Temprorary Data'!$A:$G,4,FALSE)</f>
        <v>0.44779999999999998</v>
      </c>
      <c r="N200">
        <f>VLOOKUP($A200,'Temprorary Data'!$A:$G,5,FALSE)</f>
        <v>6</v>
      </c>
      <c r="O200">
        <f>VLOOKUP($A200,'Temprorary Data'!$A:$G,6,FALSE)</f>
        <v>69</v>
      </c>
      <c r="P200">
        <f>VLOOKUP($A200,'Temprorary Data'!$A:$G,7,FALSE)</f>
        <v>75</v>
      </c>
    </row>
    <row r="201" spans="1:16" ht="15.75" thickBot="1">
      <c r="A201" s="1">
        <v>200</v>
      </c>
      <c r="B201" s="2">
        <v>40552</v>
      </c>
      <c r="C201" s="1">
        <v>1</v>
      </c>
      <c r="D201" s="1">
        <v>0</v>
      </c>
      <c r="E201" s="1">
        <v>1</v>
      </c>
      <c r="F201" s="1">
        <v>14</v>
      </c>
      <c r="G201" s="3" t="b">
        <v>0</v>
      </c>
      <c r="H201" s="1">
        <v>0</v>
      </c>
      <c r="I201" s="1">
        <v>1</v>
      </c>
      <c r="J201" s="1">
        <v>0.22</v>
      </c>
      <c r="K201">
        <f>VLOOKUP($A201,'Temprorary Data'!$A:$G,2,FALSE)</f>
        <v>0.18179999999999999</v>
      </c>
      <c r="L201">
        <f>VLOOKUP($A201,'Temprorary Data'!$A:$G,3,FALSE)</f>
        <v>0.32</v>
      </c>
      <c r="M201">
        <f>VLOOKUP($A201,'Temprorary Data'!$A:$G,4,FALSE)</f>
        <v>0.4627</v>
      </c>
      <c r="N201">
        <f>VLOOKUP($A201,'Temprorary Data'!$A:$G,5,FALSE)</f>
        <v>8</v>
      </c>
      <c r="O201">
        <f>VLOOKUP($A201,'Temprorary Data'!$A:$G,6,FALSE)</f>
        <v>64</v>
      </c>
      <c r="P201">
        <f>VLOOKUP($A201,'Temprorary Data'!$A:$G,7,FALSE)</f>
        <v>72</v>
      </c>
    </row>
    <row r="202" spans="1:16" ht="15.75" thickBot="1">
      <c r="A202" s="1">
        <v>201</v>
      </c>
      <c r="B202" s="2">
        <v>40552</v>
      </c>
      <c r="C202" s="1">
        <v>1</v>
      </c>
      <c r="D202" s="1">
        <v>0</v>
      </c>
      <c r="E202" s="1">
        <v>1</v>
      </c>
      <c r="F202" s="1">
        <v>15</v>
      </c>
      <c r="G202" s="3" t="b">
        <v>0</v>
      </c>
      <c r="H202" s="1">
        <v>0</v>
      </c>
      <c r="I202" s="1">
        <v>1</v>
      </c>
      <c r="J202" s="1">
        <v>0.22</v>
      </c>
      <c r="K202">
        <f>VLOOKUP($A202,'Temprorary Data'!$A:$G,2,FALSE)</f>
        <v>0.19700000000000001</v>
      </c>
      <c r="L202">
        <f>VLOOKUP($A202,'Temprorary Data'!$A:$G,3,FALSE)</f>
        <v>0.35</v>
      </c>
      <c r="M202">
        <f>VLOOKUP($A202,'Temprorary Data'!$A:$G,4,FALSE)</f>
        <v>0.35820000000000002</v>
      </c>
      <c r="N202">
        <f>VLOOKUP($A202,'Temprorary Data'!$A:$G,5,FALSE)</f>
        <v>5</v>
      </c>
      <c r="O202">
        <f>VLOOKUP($A202,'Temprorary Data'!$A:$G,6,FALSE)</f>
        <v>77</v>
      </c>
      <c r="P202">
        <f>VLOOKUP($A202,'Temprorary Data'!$A:$G,7,FALSE)</f>
        <v>82</v>
      </c>
    </row>
    <row r="203" spans="1:16" ht="15.75" thickBot="1">
      <c r="A203" s="1">
        <v>202</v>
      </c>
      <c r="B203" s="2">
        <v>40552</v>
      </c>
      <c r="C203" s="1">
        <v>1</v>
      </c>
      <c r="D203" s="1">
        <v>0</v>
      </c>
      <c r="E203" s="1">
        <v>1</v>
      </c>
      <c r="F203" s="1">
        <v>16</v>
      </c>
      <c r="G203" s="3" t="b">
        <v>0</v>
      </c>
      <c r="H203" s="1">
        <v>0</v>
      </c>
      <c r="I203" s="1">
        <v>1</v>
      </c>
      <c r="J203" s="1">
        <v>0.2</v>
      </c>
      <c r="K203">
        <f>VLOOKUP($A203,'Temprorary Data'!$A:$G,2,FALSE)</f>
        <v>0.16669999999999999</v>
      </c>
      <c r="L203">
        <f>VLOOKUP($A203,'Temprorary Data'!$A:$G,3,FALSE)</f>
        <v>0.34</v>
      </c>
      <c r="M203">
        <f>VLOOKUP($A203,'Temprorary Data'!$A:$G,4,FALSE)</f>
        <v>0.44779999999999998</v>
      </c>
      <c r="N203">
        <f>VLOOKUP($A203,'Temprorary Data'!$A:$G,5,FALSE)</f>
        <v>13</v>
      </c>
      <c r="O203">
        <f>VLOOKUP($A203,'Temprorary Data'!$A:$G,6,FALSE)</f>
        <v>79</v>
      </c>
      <c r="P203">
        <f>VLOOKUP($A203,'Temprorary Data'!$A:$G,7,FALSE)</f>
        <v>92</v>
      </c>
    </row>
    <row r="204" spans="1:16" ht="15.75" thickBot="1">
      <c r="A204" s="1">
        <v>203</v>
      </c>
      <c r="B204" s="2">
        <v>40552</v>
      </c>
      <c r="C204" s="1">
        <v>1</v>
      </c>
      <c r="D204" s="1">
        <v>0</v>
      </c>
      <c r="E204" s="1">
        <v>1</v>
      </c>
      <c r="F204" s="1">
        <v>17</v>
      </c>
      <c r="G204" s="3" t="b">
        <v>0</v>
      </c>
      <c r="H204" s="1">
        <v>0</v>
      </c>
      <c r="I204" s="1">
        <v>1</v>
      </c>
      <c r="J204" s="1">
        <v>0.18</v>
      </c>
      <c r="K204">
        <f>VLOOKUP($A204,'Temprorary Data'!$A:$G,2,FALSE)</f>
        <v>0.1515</v>
      </c>
      <c r="L204">
        <f>VLOOKUP($A204,'Temprorary Data'!$A:$G,3,FALSE)</f>
        <v>0.37</v>
      </c>
      <c r="M204">
        <f>VLOOKUP($A204,'Temprorary Data'!$A:$G,4,FALSE)</f>
        <v>0.3881</v>
      </c>
      <c r="N204">
        <f>VLOOKUP($A204,'Temprorary Data'!$A:$G,5,FALSE)</f>
        <v>3</v>
      </c>
      <c r="O204">
        <f>VLOOKUP($A204,'Temprorary Data'!$A:$G,6,FALSE)</f>
        <v>59</v>
      </c>
      <c r="P204">
        <f>VLOOKUP($A204,'Temprorary Data'!$A:$G,7,FALSE)</f>
        <v>62</v>
      </c>
    </row>
    <row r="205" spans="1:16" ht="15.75" thickBot="1">
      <c r="A205" s="1">
        <v>204</v>
      </c>
      <c r="B205" s="2">
        <v>40552</v>
      </c>
      <c r="C205" s="1">
        <v>1</v>
      </c>
      <c r="D205" s="1">
        <v>0</v>
      </c>
      <c r="E205" s="1">
        <v>1</v>
      </c>
      <c r="F205" s="1">
        <v>18</v>
      </c>
      <c r="G205" s="3" t="b">
        <v>0</v>
      </c>
      <c r="H205" s="1">
        <v>0</v>
      </c>
      <c r="I205" s="1">
        <v>1</v>
      </c>
      <c r="J205" s="1">
        <v>0.16</v>
      </c>
      <c r="K205">
        <f>VLOOKUP($A205,'Temprorary Data'!$A:$G,2,FALSE)</f>
        <v>0.13639999999999999</v>
      </c>
      <c r="L205">
        <f>VLOOKUP($A205,'Temprorary Data'!$A:$G,3,FALSE)</f>
        <v>0.4</v>
      </c>
      <c r="M205">
        <f>VLOOKUP($A205,'Temprorary Data'!$A:$G,4,FALSE)</f>
        <v>0.32840000000000003</v>
      </c>
      <c r="N205">
        <f>VLOOKUP($A205,'Temprorary Data'!$A:$G,5,FALSE)</f>
        <v>4</v>
      </c>
      <c r="O205">
        <f>VLOOKUP($A205,'Temprorary Data'!$A:$G,6,FALSE)</f>
        <v>44</v>
      </c>
      <c r="P205">
        <f>VLOOKUP($A205,'Temprorary Data'!$A:$G,7,FALSE)</f>
        <v>48</v>
      </c>
    </row>
    <row r="206" spans="1:16" ht="15.75" thickBot="1">
      <c r="A206" s="1">
        <v>205</v>
      </c>
      <c r="B206" s="2">
        <v>40552</v>
      </c>
      <c r="C206" s="1">
        <v>1</v>
      </c>
      <c r="D206" s="1">
        <v>0</v>
      </c>
      <c r="E206" s="1">
        <v>1</v>
      </c>
      <c r="F206" s="1">
        <v>19</v>
      </c>
      <c r="G206" s="3" t="b">
        <v>0</v>
      </c>
      <c r="H206" s="1">
        <v>0</v>
      </c>
      <c r="I206" s="1">
        <v>1</v>
      </c>
      <c r="J206" s="1">
        <v>0.16</v>
      </c>
      <c r="K206">
        <f>VLOOKUP($A206,'Temprorary Data'!$A:$G,2,FALSE)</f>
        <v>0.13639999999999999</v>
      </c>
      <c r="L206">
        <f>VLOOKUP($A206,'Temprorary Data'!$A:$G,3,FALSE)</f>
        <v>0.43</v>
      </c>
      <c r="M206">
        <f>VLOOKUP($A206,'Temprorary Data'!$A:$G,4,FALSE)</f>
        <v>0.32840000000000003</v>
      </c>
      <c r="N206">
        <f>VLOOKUP($A206,'Temprorary Data'!$A:$G,5,FALSE)</f>
        <v>1</v>
      </c>
      <c r="O206">
        <f>VLOOKUP($A206,'Temprorary Data'!$A:$G,6,FALSE)</f>
        <v>40</v>
      </c>
      <c r="P206">
        <f>VLOOKUP($A206,'Temprorary Data'!$A:$G,7,FALSE)</f>
        <v>41</v>
      </c>
    </row>
    <row r="207" spans="1:16" ht="15.75" thickBot="1">
      <c r="A207" s="1">
        <v>206</v>
      </c>
      <c r="B207" s="2">
        <v>40552</v>
      </c>
      <c r="C207" s="1">
        <v>1</v>
      </c>
      <c r="D207" s="1">
        <v>0</v>
      </c>
      <c r="E207" s="1">
        <v>1</v>
      </c>
      <c r="F207" s="1">
        <v>20</v>
      </c>
      <c r="G207" s="3" t="b">
        <v>0</v>
      </c>
      <c r="H207" s="1">
        <v>0</v>
      </c>
      <c r="I207" s="1">
        <v>1</v>
      </c>
      <c r="J207" s="1">
        <v>0.14000000000000001</v>
      </c>
      <c r="K207">
        <f>VLOOKUP($A207,'Temprorary Data'!$A:$G,2,FALSE)</f>
        <v>0.1212</v>
      </c>
      <c r="L207">
        <f>VLOOKUP($A207,'Temprorary Data'!$A:$G,3,FALSE)</f>
        <v>0.46</v>
      </c>
      <c r="M207">
        <f>VLOOKUP($A207,'Temprorary Data'!$A:$G,4,FALSE)</f>
        <v>0.25369999999999998</v>
      </c>
      <c r="N207">
        <f>VLOOKUP($A207,'Temprorary Data'!$A:$G,5,FALSE)</f>
        <v>0</v>
      </c>
      <c r="O207">
        <f>VLOOKUP($A207,'Temprorary Data'!$A:$G,6,FALSE)</f>
        <v>38</v>
      </c>
      <c r="P207">
        <f>VLOOKUP($A207,'Temprorary Data'!$A:$G,7,FALSE)</f>
        <v>38</v>
      </c>
    </row>
    <row r="208" spans="1:16" ht="15.75" thickBot="1">
      <c r="A208" s="1">
        <v>207</v>
      </c>
      <c r="B208" s="2">
        <v>40552</v>
      </c>
      <c r="C208" s="1">
        <v>1</v>
      </c>
      <c r="D208" s="1">
        <v>0</v>
      </c>
      <c r="E208" s="1">
        <v>1</v>
      </c>
      <c r="F208" s="1">
        <v>21</v>
      </c>
      <c r="G208" s="3" t="b">
        <v>0</v>
      </c>
      <c r="H208" s="1">
        <v>0</v>
      </c>
      <c r="I208" s="1">
        <v>1</v>
      </c>
      <c r="J208" s="1">
        <v>0.14000000000000001</v>
      </c>
      <c r="K208">
        <f>VLOOKUP($A208,'Temprorary Data'!$A:$G,2,FALSE)</f>
        <v>0.1061</v>
      </c>
      <c r="L208">
        <f>VLOOKUP($A208,'Temprorary Data'!$A:$G,3,FALSE)</f>
        <v>0.46</v>
      </c>
      <c r="M208">
        <f>VLOOKUP($A208,'Temprorary Data'!$A:$G,4,FALSE)</f>
        <v>0.41789999999999999</v>
      </c>
      <c r="N208">
        <f>VLOOKUP($A208,'Temprorary Data'!$A:$G,5,FALSE)</f>
        <v>1</v>
      </c>
      <c r="O208">
        <f>VLOOKUP($A208,'Temprorary Data'!$A:$G,6,FALSE)</f>
        <v>19</v>
      </c>
      <c r="P208">
        <f>VLOOKUP($A208,'Temprorary Data'!$A:$G,7,FALSE)</f>
        <v>20</v>
      </c>
    </row>
    <row r="209" spans="1:16" ht="15.75" thickBot="1">
      <c r="A209" s="1">
        <v>208</v>
      </c>
      <c r="B209" s="2">
        <v>40552</v>
      </c>
      <c r="C209" s="1">
        <v>1</v>
      </c>
      <c r="D209" s="1">
        <v>0</v>
      </c>
      <c r="E209" s="1">
        <v>1</v>
      </c>
      <c r="F209" s="1">
        <v>22</v>
      </c>
      <c r="G209" s="3" t="b">
        <v>0</v>
      </c>
      <c r="H209" s="1">
        <v>0</v>
      </c>
      <c r="I209" s="1">
        <v>1</v>
      </c>
      <c r="J209" s="1">
        <v>0.14000000000000001</v>
      </c>
      <c r="K209">
        <f>VLOOKUP($A209,'Temprorary Data'!$A:$G,2,FALSE)</f>
        <v>0.1212</v>
      </c>
      <c r="L209">
        <f>VLOOKUP($A209,'Temprorary Data'!$A:$G,3,FALSE)</f>
        <v>0.46</v>
      </c>
      <c r="M209">
        <f>VLOOKUP($A209,'Temprorary Data'!$A:$G,4,FALSE)</f>
        <v>0.29849999999999999</v>
      </c>
      <c r="N209">
        <f>VLOOKUP($A209,'Temprorary Data'!$A:$G,5,FALSE)</f>
        <v>5</v>
      </c>
      <c r="O209">
        <f>VLOOKUP($A209,'Temprorary Data'!$A:$G,6,FALSE)</f>
        <v>10</v>
      </c>
      <c r="P209">
        <f>VLOOKUP($A209,'Temprorary Data'!$A:$G,7,FALSE)</f>
        <v>15</v>
      </c>
    </row>
    <row r="210" spans="1:16" ht="15.75" thickBot="1">
      <c r="A210" s="1">
        <v>209</v>
      </c>
      <c r="B210" s="2">
        <v>40552</v>
      </c>
      <c r="C210" s="1">
        <v>1</v>
      </c>
      <c r="D210" s="1">
        <v>0</v>
      </c>
      <c r="E210" s="1">
        <v>1</v>
      </c>
      <c r="F210" s="1">
        <v>23</v>
      </c>
      <c r="G210" s="3" t="b">
        <v>0</v>
      </c>
      <c r="H210" s="1">
        <v>0</v>
      </c>
      <c r="I210" s="1">
        <v>1</v>
      </c>
      <c r="J210" s="1">
        <v>0.12</v>
      </c>
      <c r="K210">
        <f>VLOOKUP($A210,'Temprorary Data'!$A:$G,2,FALSE)</f>
        <v>0.13639999999999999</v>
      </c>
      <c r="L210">
        <f>VLOOKUP($A210,'Temprorary Data'!$A:$G,3,FALSE)</f>
        <v>0.5</v>
      </c>
      <c r="M210">
        <f>VLOOKUP($A210,'Temprorary Data'!$A:$G,4,FALSE)</f>
        <v>0.19400000000000001</v>
      </c>
      <c r="N210">
        <f>VLOOKUP($A210,'Temprorary Data'!$A:$G,5,FALSE)</f>
        <v>0</v>
      </c>
      <c r="O210">
        <f>VLOOKUP($A210,'Temprorary Data'!$A:$G,6,FALSE)</f>
        <v>6</v>
      </c>
      <c r="P210">
        <f>VLOOKUP($A210,'Temprorary Data'!$A:$G,7,FALSE)</f>
        <v>6</v>
      </c>
    </row>
    <row r="211" spans="1:16" ht="15.75" thickBot="1">
      <c r="A211" s="1">
        <v>210</v>
      </c>
      <c r="B211" s="2">
        <v>40553</v>
      </c>
      <c r="C211" s="1">
        <v>1</v>
      </c>
      <c r="D211" s="1">
        <v>0</v>
      </c>
      <c r="E211" s="1">
        <v>1</v>
      </c>
      <c r="F211" s="1">
        <v>0</v>
      </c>
      <c r="G211" s="3" t="b">
        <v>0</v>
      </c>
      <c r="H211" s="1">
        <v>1</v>
      </c>
      <c r="I211" s="1">
        <v>1</v>
      </c>
      <c r="J211" s="1">
        <v>0.12</v>
      </c>
      <c r="K211">
        <f>VLOOKUP($A211,'Temprorary Data'!$A:$G,2,FALSE)</f>
        <v>0.1212</v>
      </c>
      <c r="L211">
        <f>VLOOKUP($A211,'Temprorary Data'!$A:$G,3,FALSE)</f>
        <v>0.5</v>
      </c>
      <c r="M211">
        <f>VLOOKUP($A211,'Temprorary Data'!$A:$G,4,FALSE)</f>
        <v>0.28360000000000002</v>
      </c>
      <c r="N211">
        <f>VLOOKUP($A211,'Temprorary Data'!$A:$G,5,FALSE)</f>
        <v>2</v>
      </c>
      <c r="O211">
        <f>VLOOKUP($A211,'Temprorary Data'!$A:$G,6,FALSE)</f>
        <v>3</v>
      </c>
      <c r="P211">
        <f>VLOOKUP($A211,'Temprorary Data'!$A:$G,7,FALSE)</f>
        <v>5</v>
      </c>
    </row>
    <row r="212" spans="1:16" ht="15.75" thickBot="1">
      <c r="A212" s="1">
        <v>211</v>
      </c>
      <c r="B212" s="2">
        <v>40553</v>
      </c>
      <c r="C212" s="1">
        <v>1</v>
      </c>
      <c r="D212" s="1">
        <v>0</v>
      </c>
      <c r="E212" s="1">
        <v>1</v>
      </c>
      <c r="F212" s="1">
        <v>1</v>
      </c>
      <c r="G212" s="3" t="b">
        <v>0</v>
      </c>
      <c r="H212" s="1">
        <v>1</v>
      </c>
      <c r="I212" s="1">
        <v>1</v>
      </c>
      <c r="J212" s="1">
        <v>0.12</v>
      </c>
      <c r="K212">
        <f>VLOOKUP($A212,'Temprorary Data'!$A:$G,2,FALSE)</f>
        <v>0.1212</v>
      </c>
      <c r="L212">
        <f>VLOOKUP($A212,'Temprorary Data'!$A:$G,3,FALSE)</f>
        <v>0.5</v>
      </c>
      <c r="M212">
        <f>VLOOKUP($A212,'Temprorary Data'!$A:$G,4,FALSE)</f>
        <v>0.28360000000000002</v>
      </c>
      <c r="N212">
        <f>VLOOKUP($A212,'Temprorary Data'!$A:$G,5,FALSE)</f>
        <v>1</v>
      </c>
      <c r="O212">
        <f>VLOOKUP($A212,'Temprorary Data'!$A:$G,6,FALSE)</f>
        <v>0</v>
      </c>
      <c r="P212">
        <f>VLOOKUP($A212,'Temprorary Data'!$A:$G,7,FALSE)</f>
        <v>1</v>
      </c>
    </row>
    <row r="213" spans="1:16" ht="15.75" thickBot="1">
      <c r="A213" s="1">
        <v>212</v>
      </c>
      <c r="B213" s="2">
        <v>40553</v>
      </c>
      <c r="C213" s="1">
        <v>1</v>
      </c>
      <c r="D213" s="1">
        <v>0</v>
      </c>
      <c r="E213" s="1">
        <v>1</v>
      </c>
      <c r="F213" s="1">
        <v>2</v>
      </c>
      <c r="G213" s="3" t="b">
        <v>0</v>
      </c>
      <c r="H213" s="1">
        <v>1</v>
      </c>
      <c r="I213" s="1">
        <v>1</v>
      </c>
      <c r="J213" s="1">
        <v>0.12</v>
      </c>
      <c r="K213">
        <f>VLOOKUP($A213,'Temprorary Data'!$A:$G,2,FALSE)</f>
        <v>0.1212</v>
      </c>
      <c r="L213">
        <f>VLOOKUP($A213,'Temprorary Data'!$A:$G,3,FALSE)</f>
        <v>0.5</v>
      </c>
      <c r="M213">
        <f>VLOOKUP($A213,'Temprorary Data'!$A:$G,4,FALSE)</f>
        <v>0.22389999999999999</v>
      </c>
      <c r="N213">
        <f>VLOOKUP($A213,'Temprorary Data'!$A:$G,5,FALSE)</f>
        <v>0</v>
      </c>
      <c r="O213">
        <f>VLOOKUP($A213,'Temprorary Data'!$A:$G,6,FALSE)</f>
        <v>3</v>
      </c>
      <c r="P213">
        <f>VLOOKUP($A213,'Temprorary Data'!$A:$G,7,FALSE)</f>
        <v>3</v>
      </c>
    </row>
    <row r="214" spans="1:16" ht="15.75" thickBot="1">
      <c r="A214" s="1">
        <v>213</v>
      </c>
      <c r="B214" s="2">
        <v>40553</v>
      </c>
      <c r="C214" s="1">
        <v>1</v>
      </c>
      <c r="D214" s="1">
        <v>0</v>
      </c>
      <c r="E214" s="1">
        <v>1</v>
      </c>
      <c r="F214" s="1">
        <v>3</v>
      </c>
      <c r="G214" s="3" t="b">
        <v>0</v>
      </c>
      <c r="H214" s="1">
        <v>1</v>
      </c>
      <c r="I214" s="1">
        <v>1</v>
      </c>
      <c r="J214" s="1">
        <v>0.12</v>
      </c>
      <c r="K214">
        <f>VLOOKUP($A214,'Temprorary Data'!$A:$G,2,FALSE)</f>
        <v>0.1212</v>
      </c>
      <c r="L214">
        <f>VLOOKUP($A214,'Temprorary Data'!$A:$G,3,FALSE)</f>
        <v>0.5</v>
      </c>
      <c r="M214">
        <f>VLOOKUP($A214,'Temprorary Data'!$A:$G,4,FALSE)</f>
        <v>0.22389999999999999</v>
      </c>
      <c r="N214">
        <f>VLOOKUP($A214,'Temprorary Data'!$A:$G,5,FALSE)</f>
        <v>0</v>
      </c>
      <c r="O214">
        <f>VLOOKUP($A214,'Temprorary Data'!$A:$G,6,FALSE)</f>
        <v>1</v>
      </c>
      <c r="P214">
        <f>VLOOKUP($A214,'Temprorary Data'!$A:$G,7,FALSE)</f>
        <v>1</v>
      </c>
    </row>
    <row r="215" spans="1:16" ht="15.75" thickBot="1">
      <c r="A215" s="1">
        <v>214</v>
      </c>
      <c r="B215" s="2">
        <v>40553</v>
      </c>
      <c r="C215" s="1">
        <v>1</v>
      </c>
      <c r="D215" s="1">
        <v>0</v>
      </c>
      <c r="E215" s="1">
        <v>1</v>
      </c>
      <c r="F215" s="1">
        <v>4</v>
      </c>
      <c r="G215" s="3" t="b">
        <v>0</v>
      </c>
      <c r="H215" s="1">
        <v>1</v>
      </c>
      <c r="I215" s="1">
        <v>1</v>
      </c>
      <c r="J215" s="1">
        <v>0.1</v>
      </c>
      <c r="K215">
        <f>VLOOKUP($A215,'Temprorary Data'!$A:$G,2,FALSE)</f>
        <v>0.1212</v>
      </c>
      <c r="L215">
        <f>VLOOKUP($A215,'Temprorary Data'!$A:$G,3,FALSE)</f>
        <v>0.54</v>
      </c>
      <c r="M215">
        <f>VLOOKUP($A215,'Temprorary Data'!$A:$G,4,FALSE)</f>
        <v>0.1343</v>
      </c>
      <c r="N215">
        <f>VLOOKUP($A215,'Temprorary Data'!$A:$G,5,FALSE)</f>
        <v>1</v>
      </c>
      <c r="O215">
        <f>VLOOKUP($A215,'Temprorary Data'!$A:$G,6,FALSE)</f>
        <v>2</v>
      </c>
      <c r="P215">
        <f>VLOOKUP($A215,'Temprorary Data'!$A:$G,7,FALSE)</f>
        <v>3</v>
      </c>
    </row>
    <row r="216" spans="1:16" ht="15.75" thickBot="1">
      <c r="A216" s="1">
        <v>215</v>
      </c>
      <c r="B216" s="2">
        <v>40553</v>
      </c>
      <c r="C216" s="1">
        <v>1</v>
      </c>
      <c r="D216" s="1">
        <v>0</v>
      </c>
      <c r="E216" s="1">
        <v>1</v>
      </c>
      <c r="F216" s="1">
        <v>5</v>
      </c>
      <c r="G216" s="3" t="b">
        <v>0</v>
      </c>
      <c r="H216" s="1">
        <v>1</v>
      </c>
      <c r="I216" s="1">
        <v>1</v>
      </c>
      <c r="J216" s="1">
        <v>0.1</v>
      </c>
      <c r="K216">
        <f>VLOOKUP($A216,'Temprorary Data'!$A:$G,2,FALSE)</f>
        <v>0.1061</v>
      </c>
      <c r="L216">
        <f>VLOOKUP($A216,'Temprorary Data'!$A:$G,3,FALSE)</f>
        <v>0.54</v>
      </c>
      <c r="M216">
        <f>VLOOKUP($A216,'Temprorary Data'!$A:$G,4,FALSE)</f>
        <v>0.25369999999999998</v>
      </c>
      <c r="N216">
        <f>VLOOKUP($A216,'Temprorary Data'!$A:$G,5,FALSE)</f>
        <v>0</v>
      </c>
      <c r="O216">
        <f>VLOOKUP($A216,'Temprorary Data'!$A:$G,6,FALSE)</f>
        <v>3</v>
      </c>
      <c r="P216">
        <f>VLOOKUP($A216,'Temprorary Data'!$A:$G,7,FALSE)</f>
        <v>3</v>
      </c>
    </row>
    <row r="217" spans="1:16" ht="15.75" thickBot="1">
      <c r="A217" s="1">
        <v>216</v>
      </c>
      <c r="B217" s="2">
        <v>40553</v>
      </c>
      <c r="C217" s="1">
        <v>1</v>
      </c>
      <c r="D217" s="1">
        <v>0</v>
      </c>
      <c r="E217" s="1">
        <v>1</v>
      </c>
      <c r="F217" s="1">
        <v>6</v>
      </c>
      <c r="G217" s="3" t="b">
        <v>0</v>
      </c>
      <c r="H217" s="1">
        <v>1</v>
      </c>
      <c r="I217" s="1">
        <v>1</v>
      </c>
      <c r="J217" s="1">
        <v>0.12</v>
      </c>
      <c r="K217">
        <f>VLOOKUP($A217,'Temprorary Data'!$A:$G,2,FALSE)</f>
        <v>0.1212</v>
      </c>
      <c r="L217">
        <f>VLOOKUP($A217,'Temprorary Data'!$A:$G,3,FALSE)</f>
        <v>0.5</v>
      </c>
      <c r="M217">
        <f>VLOOKUP($A217,'Temprorary Data'!$A:$G,4,FALSE)</f>
        <v>0.28360000000000002</v>
      </c>
      <c r="N217">
        <f>VLOOKUP($A217,'Temprorary Data'!$A:$G,5,FALSE)</f>
        <v>0</v>
      </c>
      <c r="O217">
        <f>VLOOKUP($A217,'Temprorary Data'!$A:$G,6,FALSE)</f>
        <v>31</v>
      </c>
      <c r="P217">
        <f>VLOOKUP($A217,'Temprorary Data'!$A:$G,7,FALSE)</f>
        <v>31</v>
      </c>
    </row>
    <row r="218" spans="1:16" ht="15.75" thickBot="1">
      <c r="A218" s="1">
        <v>217</v>
      </c>
      <c r="B218" s="2">
        <v>40553</v>
      </c>
      <c r="C218" s="1">
        <v>1</v>
      </c>
      <c r="D218" s="1">
        <v>0</v>
      </c>
      <c r="E218" s="1">
        <v>1</v>
      </c>
      <c r="F218" s="1">
        <v>7</v>
      </c>
      <c r="G218" s="3" t="b">
        <v>0</v>
      </c>
      <c r="H218" s="1">
        <v>1</v>
      </c>
      <c r="I218" s="1">
        <v>1</v>
      </c>
      <c r="J218" s="1">
        <v>0.12</v>
      </c>
      <c r="K218">
        <f>VLOOKUP($A218,'Temprorary Data'!$A:$G,2,FALSE)</f>
        <v>0.1212</v>
      </c>
      <c r="L218">
        <f>VLOOKUP($A218,'Temprorary Data'!$A:$G,3,FALSE)</f>
        <v>0.5</v>
      </c>
      <c r="M218">
        <f>VLOOKUP($A218,'Temprorary Data'!$A:$G,4,FALSE)</f>
        <v>0.22389999999999999</v>
      </c>
      <c r="N218">
        <f>VLOOKUP($A218,'Temprorary Data'!$A:$G,5,FALSE)</f>
        <v>2</v>
      </c>
      <c r="O218">
        <f>VLOOKUP($A218,'Temprorary Data'!$A:$G,6,FALSE)</f>
        <v>75</v>
      </c>
      <c r="P218">
        <f>VLOOKUP($A218,'Temprorary Data'!$A:$G,7,FALSE)</f>
        <v>77</v>
      </c>
    </row>
    <row r="219" spans="1:16" ht="15.75" thickBot="1">
      <c r="A219" s="1">
        <v>218</v>
      </c>
      <c r="B219" s="2">
        <v>40553</v>
      </c>
      <c r="C219" s="1">
        <v>1</v>
      </c>
      <c r="D219" s="1">
        <v>0</v>
      </c>
      <c r="E219" s="1">
        <v>1</v>
      </c>
      <c r="F219" s="1">
        <v>8</v>
      </c>
      <c r="G219" s="3" t="b">
        <v>0</v>
      </c>
      <c r="H219" s="1">
        <v>1</v>
      </c>
      <c r="I219" s="1">
        <v>2</v>
      </c>
      <c r="J219" s="1">
        <v>0.12</v>
      </c>
      <c r="K219">
        <f>VLOOKUP($A219,'Temprorary Data'!$A:$G,2,FALSE)</f>
        <v>0.1212</v>
      </c>
      <c r="L219">
        <f>VLOOKUP($A219,'Temprorary Data'!$A:$G,3,FALSE)</f>
        <v>0.5</v>
      </c>
      <c r="M219">
        <f>VLOOKUP($A219,'Temprorary Data'!$A:$G,4,FALSE)</f>
        <v>0.28360000000000002</v>
      </c>
      <c r="N219">
        <f>VLOOKUP($A219,'Temprorary Data'!$A:$G,5,FALSE)</f>
        <v>4</v>
      </c>
      <c r="O219">
        <f>VLOOKUP($A219,'Temprorary Data'!$A:$G,6,FALSE)</f>
        <v>184</v>
      </c>
      <c r="P219">
        <f>VLOOKUP($A219,'Temprorary Data'!$A:$G,7,FALSE)</f>
        <v>188</v>
      </c>
    </row>
    <row r="220" spans="1:16" ht="15.75" thickBot="1">
      <c r="A220" s="1">
        <v>219</v>
      </c>
      <c r="B220" s="2">
        <v>40553</v>
      </c>
      <c r="C220" s="1">
        <v>1</v>
      </c>
      <c r="D220" s="1">
        <v>0</v>
      </c>
      <c r="E220" s="1">
        <v>1</v>
      </c>
      <c r="F220" s="1">
        <v>9</v>
      </c>
      <c r="G220" s="3" t="b">
        <v>0</v>
      </c>
      <c r="H220" s="1">
        <v>1</v>
      </c>
      <c r="I220" s="1">
        <v>2</v>
      </c>
      <c r="J220" s="1">
        <v>0.14000000000000001</v>
      </c>
      <c r="K220">
        <f>VLOOKUP($A220,'Temprorary Data'!$A:$G,2,FALSE)</f>
        <v>0.1212</v>
      </c>
      <c r="L220">
        <f>VLOOKUP($A220,'Temprorary Data'!$A:$G,3,FALSE)</f>
        <v>0.5</v>
      </c>
      <c r="M220">
        <f>VLOOKUP($A220,'Temprorary Data'!$A:$G,4,FALSE)</f>
        <v>0.25369999999999998</v>
      </c>
      <c r="N220">
        <f>VLOOKUP($A220,'Temprorary Data'!$A:$G,5,FALSE)</f>
        <v>2</v>
      </c>
      <c r="O220">
        <f>VLOOKUP($A220,'Temprorary Data'!$A:$G,6,FALSE)</f>
        <v>92</v>
      </c>
      <c r="P220">
        <f>VLOOKUP($A220,'Temprorary Data'!$A:$G,7,FALSE)</f>
        <v>94</v>
      </c>
    </row>
    <row r="221" spans="1:16" ht="15.75" thickBot="1">
      <c r="A221" s="1">
        <v>220</v>
      </c>
      <c r="B221" s="2">
        <v>40553</v>
      </c>
      <c r="C221" s="1">
        <v>1</v>
      </c>
      <c r="D221" s="1">
        <v>0</v>
      </c>
      <c r="E221" s="1">
        <v>1</v>
      </c>
      <c r="F221" s="1">
        <v>10</v>
      </c>
      <c r="G221" s="3" t="b">
        <v>0</v>
      </c>
      <c r="H221" s="1">
        <v>1</v>
      </c>
      <c r="I221" s="1">
        <v>2</v>
      </c>
      <c r="J221" s="1">
        <v>0.14000000000000001</v>
      </c>
      <c r="K221">
        <f>VLOOKUP($A221,'Temprorary Data'!$A:$G,2,FALSE)</f>
        <v>0.1212</v>
      </c>
      <c r="L221">
        <f>VLOOKUP($A221,'Temprorary Data'!$A:$G,3,FALSE)</f>
        <v>0.5</v>
      </c>
      <c r="M221">
        <f>VLOOKUP($A221,'Temprorary Data'!$A:$G,4,FALSE)</f>
        <v>0.29849999999999999</v>
      </c>
      <c r="N221">
        <f>VLOOKUP($A221,'Temprorary Data'!$A:$G,5,FALSE)</f>
        <v>0</v>
      </c>
      <c r="O221">
        <f>VLOOKUP($A221,'Temprorary Data'!$A:$G,6,FALSE)</f>
        <v>31</v>
      </c>
      <c r="P221">
        <f>VLOOKUP($A221,'Temprorary Data'!$A:$G,7,FALSE)</f>
        <v>31</v>
      </c>
    </row>
    <row r="222" spans="1:16" ht="15.75" thickBot="1">
      <c r="A222" s="1">
        <v>221</v>
      </c>
      <c r="B222" s="2">
        <v>40553</v>
      </c>
      <c r="C222" s="1">
        <v>1</v>
      </c>
      <c r="D222" s="1">
        <v>0</v>
      </c>
      <c r="E222" s="1">
        <v>1</v>
      </c>
      <c r="F222" s="1">
        <v>11</v>
      </c>
      <c r="G222" s="3" t="b">
        <v>0</v>
      </c>
      <c r="H222" s="1">
        <v>1</v>
      </c>
      <c r="I222" s="1">
        <v>2</v>
      </c>
      <c r="J222" s="1">
        <v>0.16</v>
      </c>
      <c r="K222">
        <f>VLOOKUP($A222,'Temprorary Data'!$A:$G,2,FALSE)</f>
        <v>0.13639999999999999</v>
      </c>
      <c r="L222">
        <f>VLOOKUP($A222,'Temprorary Data'!$A:$G,3,FALSE)</f>
        <v>0.47</v>
      </c>
      <c r="M222">
        <f>VLOOKUP($A222,'Temprorary Data'!$A:$G,4,FALSE)</f>
        <v>0.28360000000000002</v>
      </c>
      <c r="N222">
        <f>VLOOKUP($A222,'Temprorary Data'!$A:$G,5,FALSE)</f>
        <v>2</v>
      </c>
      <c r="O222">
        <f>VLOOKUP($A222,'Temprorary Data'!$A:$G,6,FALSE)</f>
        <v>28</v>
      </c>
      <c r="P222">
        <f>VLOOKUP($A222,'Temprorary Data'!$A:$G,7,FALSE)</f>
        <v>30</v>
      </c>
    </row>
    <row r="223" spans="1:16" ht="15.75" thickBot="1">
      <c r="A223" s="1">
        <v>222</v>
      </c>
      <c r="B223" s="2">
        <v>40553</v>
      </c>
      <c r="C223" s="1">
        <v>1</v>
      </c>
      <c r="D223" s="1">
        <v>0</v>
      </c>
      <c r="E223" s="1">
        <v>1</v>
      </c>
      <c r="F223" s="1">
        <v>12</v>
      </c>
      <c r="G223" s="3" t="b">
        <v>0</v>
      </c>
      <c r="H223" s="1">
        <v>1</v>
      </c>
      <c r="I223" s="1">
        <v>2</v>
      </c>
      <c r="J223" s="1">
        <v>0.2</v>
      </c>
      <c r="K223">
        <f>VLOOKUP($A223,'Temprorary Data'!$A:$G,2,FALSE)</f>
        <v>0.18179999999999999</v>
      </c>
      <c r="L223">
        <f>VLOOKUP($A223,'Temprorary Data'!$A:$G,3,FALSE)</f>
        <v>0.4</v>
      </c>
      <c r="M223">
        <f>VLOOKUP($A223,'Temprorary Data'!$A:$G,4,FALSE)</f>
        <v>0.28360000000000002</v>
      </c>
      <c r="N223">
        <f>VLOOKUP($A223,'Temprorary Data'!$A:$G,5,FALSE)</f>
        <v>5</v>
      </c>
      <c r="O223">
        <f>VLOOKUP($A223,'Temprorary Data'!$A:$G,6,FALSE)</f>
        <v>47</v>
      </c>
      <c r="P223">
        <f>VLOOKUP($A223,'Temprorary Data'!$A:$G,7,FALSE)</f>
        <v>52</v>
      </c>
    </row>
    <row r="224" spans="1:16" ht="15.75" thickBot="1">
      <c r="A224" s="1">
        <v>223</v>
      </c>
      <c r="B224" s="2">
        <v>40553</v>
      </c>
      <c r="C224" s="1">
        <v>1</v>
      </c>
      <c r="D224" s="1">
        <v>0</v>
      </c>
      <c r="E224" s="1">
        <v>1</v>
      </c>
      <c r="F224" s="1">
        <v>13</v>
      </c>
      <c r="G224" s="3" t="b">
        <v>0</v>
      </c>
      <c r="H224" s="1">
        <v>1</v>
      </c>
      <c r="I224" s="1">
        <v>2</v>
      </c>
      <c r="J224" s="1">
        <v>0.2</v>
      </c>
      <c r="K224">
        <f>VLOOKUP($A224,'Temprorary Data'!$A:$G,2,FALSE)</f>
        <v>0.18179999999999999</v>
      </c>
      <c r="L224">
        <f>VLOOKUP($A224,'Temprorary Data'!$A:$G,3,FALSE)</f>
        <v>0.4</v>
      </c>
      <c r="M224">
        <f>VLOOKUP($A224,'Temprorary Data'!$A:$G,4,FALSE)</f>
        <v>0.28360000000000002</v>
      </c>
      <c r="N224">
        <f>VLOOKUP($A224,'Temprorary Data'!$A:$G,5,FALSE)</f>
        <v>4</v>
      </c>
      <c r="O224">
        <f>VLOOKUP($A224,'Temprorary Data'!$A:$G,6,FALSE)</f>
        <v>50</v>
      </c>
      <c r="P224">
        <f>VLOOKUP($A224,'Temprorary Data'!$A:$G,7,FALSE)</f>
        <v>54</v>
      </c>
    </row>
    <row r="225" spans="1:16" ht="15.75" thickBot="1">
      <c r="A225" s="1">
        <v>224</v>
      </c>
      <c r="B225" s="2">
        <v>40553</v>
      </c>
      <c r="C225" s="1">
        <v>1</v>
      </c>
      <c r="D225" s="1">
        <v>0</v>
      </c>
      <c r="E225" s="1">
        <v>1</v>
      </c>
      <c r="F225" s="1">
        <v>14</v>
      </c>
      <c r="G225" s="3" t="b">
        <v>0</v>
      </c>
      <c r="H225" s="1">
        <v>1</v>
      </c>
      <c r="I225" s="1">
        <v>2</v>
      </c>
      <c r="J225" s="1">
        <v>0.2</v>
      </c>
      <c r="K225">
        <f>VLOOKUP($A225,'Temprorary Data'!$A:$G,2,FALSE)</f>
        <v>0.19700000000000001</v>
      </c>
      <c r="L225">
        <f>VLOOKUP($A225,'Temprorary Data'!$A:$G,3,FALSE)</f>
        <v>0.4</v>
      </c>
      <c r="M225">
        <f>VLOOKUP($A225,'Temprorary Data'!$A:$G,4,FALSE)</f>
        <v>0.22389999999999999</v>
      </c>
      <c r="N225">
        <f>VLOOKUP($A225,'Temprorary Data'!$A:$G,5,FALSE)</f>
        <v>0</v>
      </c>
      <c r="O225">
        <f>VLOOKUP($A225,'Temprorary Data'!$A:$G,6,FALSE)</f>
        <v>47</v>
      </c>
      <c r="P225">
        <f>VLOOKUP($A225,'Temprorary Data'!$A:$G,7,FALSE)</f>
        <v>47</v>
      </c>
    </row>
    <row r="226" spans="1:16" ht="15.75" thickBot="1">
      <c r="A226" s="1">
        <v>225</v>
      </c>
      <c r="B226" s="2">
        <v>40553</v>
      </c>
      <c r="C226" s="1">
        <v>1</v>
      </c>
      <c r="D226" s="1">
        <v>0</v>
      </c>
      <c r="E226" s="1">
        <v>1</v>
      </c>
      <c r="F226" s="1">
        <v>15</v>
      </c>
      <c r="G226" s="3" t="b">
        <v>0</v>
      </c>
      <c r="H226" s="1">
        <v>1</v>
      </c>
      <c r="I226" s="1">
        <v>2</v>
      </c>
      <c r="J226" s="1">
        <v>0.2</v>
      </c>
      <c r="K226">
        <f>VLOOKUP($A226,'Temprorary Data'!$A:$G,2,FALSE)</f>
        <v>0.19700000000000001</v>
      </c>
      <c r="L226">
        <f>VLOOKUP($A226,'Temprorary Data'!$A:$G,3,FALSE)</f>
        <v>0.4</v>
      </c>
      <c r="M226">
        <f>VLOOKUP($A226,'Temprorary Data'!$A:$G,4,FALSE)</f>
        <v>0.22389999999999999</v>
      </c>
      <c r="N226">
        <f>VLOOKUP($A226,'Temprorary Data'!$A:$G,5,FALSE)</f>
        <v>2</v>
      </c>
      <c r="O226">
        <f>VLOOKUP($A226,'Temprorary Data'!$A:$G,6,FALSE)</f>
        <v>43</v>
      </c>
      <c r="P226">
        <f>VLOOKUP($A226,'Temprorary Data'!$A:$G,7,FALSE)</f>
        <v>45</v>
      </c>
    </row>
    <row r="227" spans="1:16" ht="15.75" thickBot="1">
      <c r="A227" s="1">
        <v>226</v>
      </c>
      <c r="B227" s="2">
        <v>40553</v>
      </c>
      <c r="C227" s="1">
        <v>1</v>
      </c>
      <c r="D227" s="1">
        <v>0</v>
      </c>
      <c r="E227" s="1">
        <v>1</v>
      </c>
      <c r="F227" s="1">
        <v>16</v>
      </c>
      <c r="G227" s="3" t="b">
        <v>0</v>
      </c>
      <c r="H227" s="1">
        <v>1</v>
      </c>
      <c r="I227" s="1">
        <v>1</v>
      </c>
      <c r="J227" s="1">
        <v>0.2</v>
      </c>
      <c r="K227">
        <f>VLOOKUP($A227,'Temprorary Data'!$A:$G,2,FALSE)</f>
        <v>0.21210000000000001</v>
      </c>
      <c r="L227">
        <f>VLOOKUP($A227,'Temprorary Data'!$A:$G,3,FALSE)</f>
        <v>0.4</v>
      </c>
      <c r="M227">
        <f>VLOOKUP($A227,'Temprorary Data'!$A:$G,4,FALSE)</f>
        <v>0.1343</v>
      </c>
      <c r="N227">
        <f>VLOOKUP($A227,'Temprorary Data'!$A:$G,5,FALSE)</f>
        <v>4</v>
      </c>
      <c r="O227">
        <f>VLOOKUP($A227,'Temprorary Data'!$A:$G,6,FALSE)</f>
        <v>70</v>
      </c>
      <c r="P227">
        <f>VLOOKUP($A227,'Temprorary Data'!$A:$G,7,FALSE)</f>
        <v>74</v>
      </c>
    </row>
    <row r="228" spans="1:16" ht="15.75" thickBot="1">
      <c r="A228" s="1">
        <v>227</v>
      </c>
      <c r="B228" s="2">
        <v>40553</v>
      </c>
      <c r="C228" s="1">
        <v>1</v>
      </c>
      <c r="D228" s="1">
        <v>0</v>
      </c>
      <c r="E228" s="1">
        <v>1</v>
      </c>
      <c r="F228" s="1">
        <v>17</v>
      </c>
      <c r="G228" s="3" t="b">
        <v>0</v>
      </c>
      <c r="H228" s="1">
        <v>1</v>
      </c>
      <c r="I228" s="1">
        <v>1</v>
      </c>
      <c r="J228" s="1">
        <v>0.2</v>
      </c>
      <c r="K228">
        <f>VLOOKUP($A228,'Temprorary Data'!$A:$G,2,FALSE)</f>
        <v>0.2273</v>
      </c>
      <c r="L228">
        <f>VLOOKUP($A228,'Temprorary Data'!$A:$G,3,FALSE)</f>
        <v>0.4</v>
      </c>
      <c r="M228">
        <f>VLOOKUP($A228,'Temprorary Data'!$A:$G,4,FALSE)</f>
        <v>0.1045</v>
      </c>
      <c r="N228">
        <f>VLOOKUP($A228,'Temprorary Data'!$A:$G,5,FALSE)</f>
        <v>4</v>
      </c>
      <c r="O228">
        <f>VLOOKUP($A228,'Temprorary Data'!$A:$G,6,FALSE)</f>
        <v>174</v>
      </c>
      <c r="P228">
        <f>VLOOKUP($A228,'Temprorary Data'!$A:$G,7,FALSE)</f>
        <v>178</v>
      </c>
    </row>
    <row r="229" spans="1:16" ht="15.75" thickBot="1">
      <c r="A229" s="1">
        <v>228</v>
      </c>
      <c r="B229" s="2">
        <v>40553</v>
      </c>
      <c r="C229" s="1">
        <v>1</v>
      </c>
      <c r="D229" s="1">
        <v>0</v>
      </c>
      <c r="E229" s="1">
        <v>1</v>
      </c>
      <c r="F229" s="1">
        <v>18</v>
      </c>
      <c r="G229" s="3" t="b">
        <v>0</v>
      </c>
      <c r="H229" s="1">
        <v>1</v>
      </c>
      <c r="I229" s="1">
        <v>1</v>
      </c>
      <c r="J229" s="1">
        <v>0.2</v>
      </c>
      <c r="K229">
        <f>VLOOKUP($A229,'Temprorary Data'!$A:$G,2,FALSE)</f>
        <v>0.19700000000000001</v>
      </c>
      <c r="L229">
        <f>VLOOKUP($A229,'Temprorary Data'!$A:$G,3,FALSE)</f>
        <v>0.4</v>
      </c>
      <c r="M229">
        <f>VLOOKUP($A229,'Temprorary Data'!$A:$G,4,FALSE)</f>
        <v>0.22389999999999999</v>
      </c>
      <c r="N229">
        <f>VLOOKUP($A229,'Temprorary Data'!$A:$G,5,FALSE)</f>
        <v>1</v>
      </c>
      <c r="O229">
        <f>VLOOKUP($A229,'Temprorary Data'!$A:$G,6,FALSE)</f>
        <v>154</v>
      </c>
      <c r="P229">
        <f>VLOOKUP($A229,'Temprorary Data'!$A:$G,7,FALSE)</f>
        <v>155</v>
      </c>
    </row>
    <row r="230" spans="1:16" ht="15.75" thickBot="1">
      <c r="A230" s="1">
        <v>229</v>
      </c>
      <c r="B230" s="2">
        <v>40553</v>
      </c>
      <c r="C230" s="1">
        <v>1</v>
      </c>
      <c r="D230" s="1">
        <v>0</v>
      </c>
      <c r="E230" s="1">
        <v>1</v>
      </c>
      <c r="F230" s="1">
        <v>19</v>
      </c>
      <c r="G230" s="3" t="b">
        <v>0</v>
      </c>
      <c r="H230" s="1">
        <v>1</v>
      </c>
      <c r="I230" s="1">
        <v>1</v>
      </c>
      <c r="J230" s="1">
        <v>0.16</v>
      </c>
      <c r="K230">
        <f>VLOOKUP($A230,'Temprorary Data'!$A:$G,2,FALSE)</f>
        <v>0.16669999999999999</v>
      </c>
      <c r="L230">
        <f>VLOOKUP($A230,'Temprorary Data'!$A:$G,3,FALSE)</f>
        <v>0.47</v>
      </c>
      <c r="M230">
        <f>VLOOKUP($A230,'Temprorary Data'!$A:$G,4,FALSE)</f>
        <v>0.16420000000000001</v>
      </c>
      <c r="N230">
        <f>VLOOKUP($A230,'Temprorary Data'!$A:$G,5,FALSE)</f>
        <v>3</v>
      </c>
      <c r="O230">
        <f>VLOOKUP($A230,'Temprorary Data'!$A:$G,6,FALSE)</f>
        <v>92</v>
      </c>
      <c r="P230">
        <f>VLOOKUP($A230,'Temprorary Data'!$A:$G,7,FALSE)</f>
        <v>95</v>
      </c>
    </row>
    <row r="231" spans="1:16" ht="15.75" thickBot="1">
      <c r="A231" s="1">
        <v>230</v>
      </c>
      <c r="B231" s="2">
        <v>40553</v>
      </c>
      <c r="C231" s="1">
        <v>1</v>
      </c>
      <c r="D231" s="1">
        <v>0</v>
      </c>
      <c r="E231" s="1">
        <v>1</v>
      </c>
      <c r="F231" s="1">
        <v>20</v>
      </c>
      <c r="G231" s="3" t="b">
        <v>0</v>
      </c>
      <c r="H231" s="1">
        <v>1</v>
      </c>
      <c r="I231" s="1">
        <v>1</v>
      </c>
      <c r="J231" s="1">
        <v>0.16</v>
      </c>
      <c r="K231">
        <f>VLOOKUP($A231,'Temprorary Data'!$A:$G,2,FALSE)</f>
        <v>0.16669999999999999</v>
      </c>
      <c r="L231">
        <f>VLOOKUP($A231,'Temprorary Data'!$A:$G,3,FALSE)</f>
        <v>0.5</v>
      </c>
      <c r="M231">
        <f>VLOOKUP($A231,'Temprorary Data'!$A:$G,4,FALSE)</f>
        <v>0.16420000000000001</v>
      </c>
      <c r="N231">
        <f>VLOOKUP($A231,'Temprorary Data'!$A:$G,5,FALSE)</f>
        <v>1</v>
      </c>
      <c r="O231">
        <f>VLOOKUP($A231,'Temprorary Data'!$A:$G,6,FALSE)</f>
        <v>73</v>
      </c>
      <c r="P231">
        <f>VLOOKUP($A231,'Temprorary Data'!$A:$G,7,FALSE)</f>
        <v>74</v>
      </c>
    </row>
    <row r="232" spans="1:16" ht="15.75" thickBot="1">
      <c r="A232" s="1">
        <v>231</v>
      </c>
      <c r="B232" s="2">
        <v>40553</v>
      </c>
      <c r="C232" s="1">
        <v>1</v>
      </c>
      <c r="D232" s="1">
        <v>0</v>
      </c>
      <c r="E232" s="1">
        <v>1</v>
      </c>
      <c r="F232" s="1">
        <v>21</v>
      </c>
      <c r="G232" s="3" t="b">
        <v>0</v>
      </c>
      <c r="H232" s="1">
        <v>1</v>
      </c>
      <c r="I232" s="1">
        <v>1</v>
      </c>
      <c r="J232" s="1">
        <v>0.14000000000000001</v>
      </c>
      <c r="K232">
        <f>VLOOKUP($A232,'Temprorary Data'!$A:$G,2,FALSE)</f>
        <v>0.13639999999999999</v>
      </c>
      <c r="L232">
        <f>VLOOKUP($A232,'Temprorary Data'!$A:$G,3,FALSE)</f>
        <v>0.59</v>
      </c>
      <c r="M232">
        <f>VLOOKUP($A232,'Temprorary Data'!$A:$G,4,FALSE)</f>
        <v>0.19400000000000001</v>
      </c>
      <c r="N232">
        <f>VLOOKUP($A232,'Temprorary Data'!$A:$G,5,FALSE)</f>
        <v>1</v>
      </c>
      <c r="O232">
        <f>VLOOKUP($A232,'Temprorary Data'!$A:$G,6,FALSE)</f>
        <v>37</v>
      </c>
      <c r="P232">
        <f>VLOOKUP($A232,'Temprorary Data'!$A:$G,7,FALSE)</f>
        <v>38</v>
      </c>
    </row>
    <row r="233" spans="1:16" ht="15.75" thickBot="1">
      <c r="A233" s="1">
        <v>232</v>
      </c>
      <c r="B233" s="2">
        <v>40553</v>
      </c>
      <c r="C233" s="1">
        <v>1</v>
      </c>
      <c r="D233" s="1">
        <v>0</v>
      </c>
      <c r="E233" s="1">
        <v>1</v>
      </c>
      <c r="F233" s="1">
        <v>22</v>
      </c>
      <c r="G233" s="3" t="b">
        <v>0</v>
      </c>
      <c r="H233" s="1">
        <v>1</v>
      </c>
      <c r="I233" s="1">
        <v>1</v>
      </c>
      <c r="J233" s="1">
        <v>0.14000000000000001</v>
      </c>
      <c r="K233">
        <f>VLOOKUP($A233,'Temprorary Data'!$A:$G,2,FALSE)</f>
        <v>0.1515</v>
      </c>
      <c r="L233">
        <f>VLOOKUP($A233,'Temprorary Data'!$A:$G,3,FALSE)</f>
        <v>0.59</v>
      </c>
      <c r="M233">
        <f>VLOOKUP($A233,'Temprorary Data'!$A:$G,4,FALSE)</f>
        <v>0.16420000000000001</v>
      </c>
      <c r="N233">
        <f>VLOOKUP($A233,'Temprorary Data'!$A:$G,5,FALSE)</f>
        <v>2</v>
      </c>
      <c r="O233">
        <f>VLOOKUP($A233,'Temprorary Data'!$A:$G,6,FALSE)</f>
        <v>22</v>
      </c>
      <c r="P233">
        <f>VLOOKUP($A233,'Temprorary Data'!$A:$G,7,FALSE)</f>
        <v>24</v>
      </c>
    </row>
    <row r="234" spans="1:16" ht="15.75" thickBot="1">
      <c r="A234" s="1">
        <v>233</v>
      </c>
      <c r="B234" s="2">
        <v>40553</v>
      </c>
      <c r="C234" s="1">
        <v>1</v>
      </c>
      <c r="D234" s="1">
        <v>0</v>
      </c>
      <c r="E234" s="1">
        <v>1</v>
      </c>
      <c r="F234" s="1">
        <v>23</v>
      </c>
      <c r="G234" s="3" t="b">
        <v>0</v>
      </c>
      <c r="H234" s="1">
        <v>1</v>
      </c>
      <c r="I234" s="1">
        <v>1</v>
      </c>
      <c r="J234" s="1">
        <v>0.14000000000000001</v>
      </c>
      <c r="K234">
        <f>VLOOKUP($A234,'Temprorary Data'!$A:$G,2,FALSE)</f>
        <v>0.1515</v>
      </c>
      <c r="L234">
        <f>VLOOKUP($A234,'Temprorary Data'!$A:$G,3,FALSE)</f>
        <v>0.59</v>
      </c>
      <c r="M234">
        <f>VLOOKUP($A234,'Temprorary Data'!$A:$G,4,FALSE)</f>
        <v>0.16420000000000001</v>
      </c>
      <c r="N234">
        <f>VLOOKUP($A234,'Temprorary Data'!$A:$G,5,FALSE)</f>
        <v>0</v>
      </c>
      <c r="O234">
        <f>VLOOKUP($A234,'Temprorary Data'!$A:$G,6,FALSE)</f>
        <v>18</v>
      </c>
      <c r="P234">
        <f>VLOOKUP($A234,'Temprorary Data'!$A:$G,7,FALSE)</f>
        <v>18</v>
      </c>
    </row>
    <row r="235" spans="1:16" ht="15.75" thickBot="1">
      <c r="A235" s="1">
        <v>234</v>
      </c>
      <c r="B235" s="2">
        <v>40554</v>
      </c>
      <c r="C235" s="1">
        <v>1</v>
      </c>
      <c r="D235" s="1">
        <v>0</v>
      </c>
      <c r="E235" s="1">
        <v>1</v>
      </c>
      <c r="F235" s="1">
        <v>0</v>
      </c>
      <c r="G235" s="3" t="b">
        <v>0</v>
      </c>
      <c r="H235" s="1">
        <v>2</v>
      </c>
      <c r="I235" s="1">
        <v>1</v>
      </c>
      <c r="J235" s="1">
        <v>0.14000000000000001</v>
      </c>
      <c r="K235">
        <f>VLOOKUP($A235,'Temprorary Data'!$A:$G,2,FALSE)</f>
        <v>0.16669999999999999</v>
      </c>
      <c r="L235">
        <f>VLOOKUP($A235,'Temprorary Data'!$A:$G,3,FALSE)</f>
        <v>0.59</v>
      </c>
      <c r="M235">
        <f>VLOOKUP($A235,'Temprorary Data'!$A:$G,4,FALSE)</f>
        <v>0.1045</v>
      </c>
      <c r="N235">
        <f>VLOOKUP($A235,'Temprorary Data'!$A:$G,5,FALSE)</f>
        <v>2</v>
      </c>
      <c r="O235">
        <f>VLOOKUP($A235,'Temprorary Data'!$A:$G,6,FALSE)</f>
        <v>10</v>
      </c>
      <c r="P235">
        <f>VLOOKUP($A235,'Temprorary Data'!$A:$G,7,FALSE)</f>
        <v>12</v>
      </c>
    </row>
    <row r="236" spans="1:16" ht="15.75" thickBot="1">
      <c r="A236" s="1">
        <v>235</v>
      </c>
      <c r="B236" s="2">
        <v>40554</v>
      </c>
      <c r="C236" s="1">
        <v>1</v>
      </c>
      <c r="D236" s="1">
        <v>0</v>
      </c>
      <c r="E236" s="1">
        <v>1</v>
      </c>
      <c r="F236" s="1">
        <v>1</v>
      </c>
      <c r="G236" s="3" t="b">
        <v>0</v>
      </c>
      <c r="H236" s="1">
        <v>2</v>
      </c>
      <c r="I236" s="1">
        <v>1</v>
      </c>
      <c r="J236" s="1">
        <v>0.14000000000000001</v>
      </c>
      <c r="K236">
        <f>VLOOKUP($A236,'Temprorary Data'!$A:$G,2,FALSE)</f>
        <v>0.1515</v>
      </c>
      <c r="L236">
        <f>VLOOKUP($A236,'Temprorary Data'!$A:$G,3,FALSE)</f>
        <v>0.59</v>
      </c>
      <c r="M236">
        <f>VLOOKUP($A236,'Temprorary Data'!$A:$G,4,FALSE)</f>
        <v>0.16420000000000001</v>
      </c>
      <c r="N236">
        <f>VLOOKUP($A236,'Temprorary Data'!$A:$G,5,FALSE)</f>
        <v>0</v>
      </c>
      <c r="O236">
        <f>VLOOKUP($A236,'Temprorary Data'!$A:$G,6,FALSE)</f>
        <v>3</v>
      </c>
      <c r="P236">
        <f>VLOOKUP($A236,'Temprorary Data'!$A:$G,7,FALSE)</f>
        <v>3</v>
      </c>
    </row>
    <row r="237" spans="1:16" ht="15.75" thickBot="1">
      <c r="A237" s="1">
        <v>236</v>
      </c>
      <c r="B237" s="2">
        <v>40554</v>
      </c>
      <c r="C237" s="1">
        <v>1</v>
      </c>
      <c r="D237" s="1">
        <v>0</v>
      </c>
      <c r="E237" s="1">
        <v>1</v>
      </c>
      <c r="F237" s="1">
        <v>2</v>
      </c>
      <c r="G237" s="3" t="b">
        <v>0</v>
      </c>
      <c r="H237" s="1">
        <v>2</v>
      </c>
      <c r="I237" s="1">
        <v>2</v>
      </c>
      <c r="J237" s="1">
        <v>0.16</v>
      </c>
      <c r="K237">
        <f>VLOOKUP($A237,'Temprorary Data'!$A:$G,2,FALSE)</f>
        <v>0.1515</v>
      </c>
      <c r="L237">
        <f>VLOOKUP($A237,'Temprorary Data'!$A:$G,3,FALSE)</f>
        <v>0.55000000000000004</v>
      </c>
      <c r="M237">
        <f>VLOOKUP($A237,'Temprorary Data'!$A:$G,4,FALSE)</f>
        <v>0.19400000000000001</v>
      </c>
      <c r="N237">
        <f>VLOOKUP($A237,'Temprorary Data'!$A:$G,5,FALSE)</f>
        <v>0</v>
      </c>
      <c r="O237">
        <f>VLOOKUP($A237,'Temprorary Data'!$A:$G,6,FALSE)</f>
        <v>3</v>
      </c>
      <c r="P237">
        <f>VLOOKUP($A237,'Temprorary Data'!$A:$G,7,FALSE)</f>
        <v>3</v>
      </c>
    </row>
    <row r="238" spans="1:16" ht="15.75" thickBot="1">
      <c r="A238" s="1">
        <v>237</v>
      </c>
      <c r="B238" s="2">
        <v>40554</v>
      </c>
      <c r="C238" s="1">
        <v>1</v>
      </c>
      <c r="D238" s="1">
        <v>0</v>
      </c>
      <c r="E238" s="1">
        <v>1</v>
      </c>
      <c r="F238" s="1">
        <v>5</v>
      </c>
      <c r="G238" s="3" t="b">
        <v>0</v>
      </c>
      <c r="H238" s="1">
        <v>2</v>
      </c>
      <c r="I238" s="1">
        <v>2</v>
      </c>
      <c r="J238" s="1">
        <v>0.16</v>
      </c>
      <c r="K238">
        <f>VLOOKUP($A238,'Temprorary Data'!$A:$G,2,FALSE)</f>
        <v>0.18179999999999999</v>
      </c>
      <c r="L238">
        <f>VLOOKUP($A238,'Temprorary Data'!$A:$G,3,FALSE)</f>
        <v>0.55000000000000004</v>
      </c>
      <c r="M238">
        <f>VLOOKUP($A238,'Temprorary Data'!$A:$G,4,FALSE)</f>
        <v>0.1343</v>
      </c>
      <c r="N238">
        <f>VLOOKUP($A238,'Temprorary Data'!$A:$G,5,FALSE)</f>
        <v>0</v>
      </c>
      <c r="O238">
        <f>VLOOKUP($A238,'Temprorary Data'!$A:$G,6,FALSE)</f>
        <v>6</v>
      </c>
      <c r="P238">
        <f>VLOOKUP($A238,'Temprorary Data'!$A:$G,7,FALSE)</f>
        <v>6</v>
      </c>
    </row>
    <row r="239" spans="1:16" ht="15.75" thickBot="1">
      <c r="A239" s="1">
        <v>238</v>
      </c>
      <c r="B239" s="2">
        <v>40554</v>
      </c>
      <c r="C239" s="1">
        <v>1</v>
      </c>
      <c r="D239" s="1">
        <v>0</v>
      </c>
      <c r="E239" s="1">
        <v>1</v>
      </c>
      <c r="F239" s="1">
        <v>6</v>
      </c>
      <c r="G239" s="3" t="b">
        <v>0</v>
      </c>
      <c r="H239" s="1">
        <v>2</v>
      </c>
      <c r="I239" s="1">
        <v>2</v>
      </c>
      <c r="J239" s="1">
        <v>0.16</v>
      </c>
      <c r="K239">
        <f>VLOOKUP($A239,'Temprorary Data'!$A:$G,2,FALSE)</f>
        <v>0.18179999999999999</v>
      </c>
      <c r="L239">
        <f>VLOOKUP($A239,'Temprorary Data'!$A:$G,3,FALSE)</f>
        <v>0.55000000000000004</v>
      </c>
      <c r="M239">
        <f>VLOOKUP($A239,'Temprorary Data'!$A:$G,4,FALSE)</f>
        <v>0.1343</v>
      </c>
      <c r="N239">
        <f>VLOOKUP($A239,'Temprorary Data'!$A:$G,5,FALSE)</f>
        <v>0</v>
      </c>
      <c r="O239">
        <f>VLOOKUP($A239,'Temprorary Data'!$A:$G,6,FALSE)</f>
        <v>27</v>
      </c>
      <c r="P239">
        <f>VLOOKUP($A239,'Temprorary Data'!$A:$G,7,FALSE)</f>
        <v>27</v>
      </c>
    </row>
    <row r="240" spans="1:16" ht="15.75" thickBot="1">
      <c r="A240" s="1">
        <v>239</v>
      </c>
      <c r="B240" s="2">
        <v>40554</v>
      </c>
      <c r="C240" s="1">
        <v>1</v>
      </c>
      <c r="D240" s="1">
        <v>0</v>
      </c>
      <c r="E240" s="1">
        <v>1</v>
      </c>
      <c r="F240" s="1">
        <v>7</v>
      </c>
      <c r="G240" s="3" t="b">
        <v>0</v>
      </c>
      <c r="H240" s="1">
        <v>2</v>
      </c>
      <c r="I240" s="1">
        <v>2</v>
      </c>
      <c r="J240" s="1">
        <v>0.16</v>
      </c>
      <c r="K240">
        <f>VLOOKUP($A240,'Temprorary Data'!$A:$G,2,FALSE)</f>
        <v>0.2273</v>
      </c>
      <c r="L240">
        <f>VLOOKUP($A240,'Temprorary Data'!$A:$G,3,FALSE)</f>
        <v>0.55000000000000004</v>
      </c>
      <c r="M240">
        <f>VLOOKUP($A240,'Temprorary Data'!$A:$G,4,FALSE)</f>
        <v>0</v>
      </c>
      <c r="N240">
        <f>VLOOKUP($A240,'Temprorary Data'!$A:$G,5,FALSE)</f>
        <v>2</v>
      </c>
      <c r="O240">
        <f>VLOOKUP($A240,'Temprorary Data'!$A:$G,6,FALSE)</f>
        <v>97</v>
      </c>
      <c r="P240">
        <f>VLOOKUP($A240,'Temprorary Data'!$A:$G,7,FALSE)</f>
        <v>99</v>
      </c>
    </row>
    <row r="241" spans="1:16" ht="15.75" thickBot="1">
      <c r="A241" s="1">
        <v>240</v>
      </c>
      <c r="B241" s="2">
        <v>40554</v>
      </c>
      <c r="C241" s="1">
        <v>1</v>
      </c>
      <c r="D241" s="1">
        <v>0</v>
      </c>
      <c r="E241" s="1">
        <v>1</v>
      </c>
      <c r="F241" s="1">
        <v>8</v>
      </c>
      <c r="G241" s="3" t="b">
        <v>0</v>
      </c>
      <c r="H241" s="1">
        <v>2</v>
      </c>
      <c r="I241" s="1">
        <v>2</v>
      </c>
      <c r="J241" s="1">
        <v>0.18</v>
      </c>
      <c r="K241">
        <f>VLOOKUP($A241,'Temprorary Data'!$A:$G,2,FALSE)</f>
        <v>0.21210000000000001</v>
      </c>
      <c r="L241">
        <f>VLOOKUP($A241,'Temprorary Data'!$A:$G,3,FALSE)</f>
        <v>0.51</v>
      </c>
      <c r="M241">
        <f>VLOOKUP($A241,'Temprorary Data'!$A:$G,4,FALSE)</f>
        <v>8.9599999999999999E-2</v>
      </c>
      <c r="N241">
        <f>VLOOKUP($A241,'Temprorary Data'!$A:$G,5,FALSE)</f>
        <v>3</v>
      </c>
      <c r="O241">
        <f>VLOOKUP($A241,'Temprorary Data'!$A:$G,6,FALSE)</f>
        <v>214</v>
      </c>
      <c r="P241">
        <f>VLOOKUP($A241,'Temprorary Data'!$A:$G,7,FALSE)</f>
        <v>217</v>
      </c>
    </row>
    <row r="242" spans="1:16" ht="15.75" thickBot="1">
      <c r="A242" s="1">
        <v>241</v>
      </c>
      <c r="B242" s="2">
        <v>40554</v>
      </c>
      <c r="C242" s="1">
        <v>1</v>
      </c>
      <c r="D242" s="1">
        <v>0</v>
      </c>
      <c r="E242" s="1">
        <v>1</v>
      </c>
      <c r="F242" s="1">
        <v>9</v>
      </c>
      <c r="G242" s="3" t="b">
        <v>0</v>
      </c>
      <c r="H242" s="1">
        <v>2</v>
      </c>
      <c r="I242" s="1">
        <v>2</v>
      </c>
      <c r="J242" s="1">
        <v>0.18</v>
      </c>
      <c r="K242">
        <f>VLOOKUP($A242,'Temprorary Data'!$A:$G,2,FALSE)</f>
        <v>0.19700000000000001</v>
      </c>
      <c r="L242">
        <f>VLOOKUP($A242,'Temprorary Data'!$A:$G,3,FALSE)</f>
        <v>0.51</v>
      </c>
      <c r="M242">
        <f>VLOOKUP($A242,'Temprorary Data'!$A:$G,4,FALSE)</f>
        <v>0.16420000000000001</v>
      </c>
      <c r="N242">
        <f>VLOOKUP($A242,'Temprorary Data'!$A:$G,5,FALSE)</f>
        <v>3</v>
      </c>
      <c r="O242">
        <f>VLOOKUP($A242,'Temprorary Data'!$A:$G,6,FALSE)</f>
        <v>127</v>
      </c>
      <c r="P242">
        <f>VLOOKUP($A242,'Temprorary Data'!$A:$G,7,FALSE)</f>
        <v>130</v>
      </c>
    </row>
    <row r="243" spans="1:16" ht="15.75" thickBot="1">
      <c r="A243" s="1">
        <v>242</v>
      </c>
      <c r="B243" s="2">
        <v>40554</v>
      </c>
      <c r="C243" s="1">
        <v>1</v>
      </c>
      <c r="D243" s="1">
        <v>0</v>
      </c>
      <c r="E243" s="1">
        <v>1</v>
      </c>
      <c r="F243" s="1">
        <v>10</v>
      </c>
      <c r="G243" s="3" t="b">
        <v>0</v>
      </c>
      <c r="H243" s="1">
        <v>2</v>
      </c>
      <c r="I243" s="1">
        <v>2</v>
      </c>
      <c r="J243" s="1">
        <v>0.2</v>
      </c>
      <c r="K243">
        <f>VLOOKUP($A243,'Temprorary Data'!$A:$G,2,FALSE)</f>
        <v>0.21210000000000001</v>
      </c>
      <c r="L243">
        <f>VLOOKUP($A243,'Temprorary Data'!$A:$G,3,FALSE)</f>
        <v>0.51</v>
      </c>
      <c r="M243">
        <f>VLOOKUP($A243,'Temprorary Data'!$A:$G,4,FALSE)</f>
        <v>0.16420000000000001</v>
      </c>
      <c r="N243">
        <f>VLOOKUP($A243,'Temprorary Data'!$A:$G,5,FALSE)</f>
        <v>3</v>
      </c>
      <c r="O243">
        <f>VLOOKUP($A243,'Temprorary Data'!$A:$G,6,FALSE)</f>
        <v>51</v>
      </c>
      <c r="P243">
        <f>VLOOKUP($A243,'Temprorary Data'!$A:$G,7,FALSE)</f>
        <v>54</v>
      </c>
    </row>
    <row r="244" spans="1:16" ht="15.75" thickBot="1">
      <c r="A244" s="1">
        <v>243</v>
      </c>
      <c r="B244" s="2">
        <v>40554</v>
      </c>
      <c r="C244" s="1">
        <v>1</v>
      </c>
      <c r="D244" s="1">
        <v>0</v>
      </c>
      <c r="E244" s="1">
        <v>1</v>
      </c>
      <c r="F244" s="1">
        <v>11</v>
      </c>
      <c r="G244" s="3" t="b">
        <v>0</v>
      </c>
      <c r="H244" s="1">
        <v>2</v>
      </c>
      <c r="I244" s="1">
        <v>2</v>
      </c>
      <c r="J244" s="1">
        <v>0.2</v>
      </c>
      <c r="K244">
        <f>VLOOKUP($A244,'Temprorary Data'!$A:$G,2,FALSE)</f>
        <v>0.21210000000000001</v>
      </c>
      <c r="L244">
        <f>VLOOKUP($A244,'Temprorary Data'!$A:$G,3,FALSE)</f>
        <v>0.47</v>
      </c>
      <c r="M244">
        <f>VLOOKUP($A244,'Temprorary Data'!$A:$G,4,FALSE)</f>
        <v>0.1343</v>
      </c>
      <c r="N244">
        <f>VLOOKUP($A244,'Temprorary Data'!$A:$G,5,FALSE)</f>
        <v>4</v>
      </c>
      <c r="O244">
        <f>VLOOKUP($A244,'Temprorary Data'!$A:$G,6,FALSE)</f>
        <v>31</v>
      </c>
      <c r="P244">
        <f>VLOOKUP($A244,'Temprorary Data'!$A:$G,7,FALSE)</f>
        <v>35</v>
      </c>
    </row>
    <row r="245" spans="1:16" ht="15.75" thickBot="1">
      <c r="A245" s="1">
        <v>244</v>
      </c>
      <c r="B245" s="2">
        <v>40554</v>
      </c>
      <c r="C245" s="1">
        <v>1</v>
      </c>
      <c r="D245" s="1">
        <v>0</v>
      </c>
      <c r="E245" s="1">
        <v>1</v>
      </c>
      <c r="F245" s="1">
        <v>12</v>
      </c>
      <c r="G245" s="3" t="b">
        <v>0</v>
      </c>
      <c r="H245" s="1">
        <v>2</v>
      </c>
      <c r="I245" s="1">
        <v>2</v>
      </c>
      <c r="J245" s="1">
        <v>0.2</v>
      </c>
      <c r="K245">
        <f>VLOOKUP($A245,'Temprorary Data'!$A:$G,2,FALSE)</f>
        <v>0.2273</v>
      </c>
      <c r="L245">
        <f>VLOOKUP($A245,'Temprorary Data'!$A:$G,3,FALSE)</f>
        <v>0.51</v>
      </c>
      <c r="M245">
        <f>VLOOKUP($A245,'Temprorary Data'!$A:$G,4,FALSE)</f>
        <v>0.1045</v>
      </c>
      <c r="N245">
        <f>VLOOKUP($A245,'Temprorary Data'!$A:$G,5,FALSE)</f>
        <v>2</v>
      </c>
      <c r="O245">
        <f>VLOOKUP($A245,'Temprorary Data'!$A:$G,6,FALSE)</f>
        <v>55</v>
      </c>
      <c r="P245">
        <f>VLOOKUP($A245,'Temprorary Data'!$A:$G,7,FALSE)</f>
        <v>57</v>
      </c>
    </row>
    <row r="246" spans="1:16" ht="15.75" thickBot="1">
      <c r="A246" s="1">
        <v>245</v>
      </c>
      <c r="B246" s="2">
        <v>40554</v>
      </c>
      <c r="C246" s="1">
        <v>1</v>
      </c>
      <c r="D246" s="1">
        <v>0</v>
      </c>
      <c r="E246" s="1">
        <v>1</v>
      </c>
      <c r="F246" s="1">
        <v>13</v>
      </c>
      <c r="G246" s="3" t="b">
        <v>0</v>
      </c>
      <c r="H246" s="1">
        <v>2</v>
      </c>
      <c r="I246" s="1">
        <v>2</v>
      </c>
      <c r="J246" s="1">
        <v>0.2</v>
      </c>
      <c r="K246">
        <f>VLOOKUP($A246,'Temprorary Data'!$A:$G,2,FALSE)</f>
        <v>0.2273</v>
      </c>
      <c r="L246">
        <f>VLOOKUP($A246,'Temprorary Data'!$A:$G,3,FALSE)</f>
        <v>0.59</v>
      </c>
      <c r="M246">
        <f>VLOOKUP($A246,'Temprorary Data'!$A:$G,4,FALSE)</f>
        <v>8.9599999999999999E-2</v>
      </c>
      <c r="N246">
        <f>VLOOKUP($A246,'Temprorary Data'!$A:$G,5,FALSE)</f>
        <v>6</v>
      </c>
      <c r="O246">
        <f>VLOOKUP($A246,'Temprorary Data'!$A:$G,6,FALSE)</f>
        <v>46</v>
      </c>
      <c r="P246">
        <f>VLOOKUP($A246,'Temprorary Data'!$A:$G,7,FALSE)</f>
        <v>52</v>
      </c>
    </row>
    <row r="247" spans="1:16" ht="15.75" thickBot="1">
      <c r="A247" s="1">
        <v>246</v>
      </c>
      <c r="B247" s="2">
        <v>40554</v>
      </c>
      <c r="C247" s="1">
        <v>1</v>
      </c>
      <c r="D247" s="1">
        <v>0</v>
      </c>
      <c r="E247" s="1">
        <v>1</v>
      </c>
      <c r="F247" s="1">
        <v>14</v>
      </c>
      <c r="G247" s="3" t="b">
        <v>0</v>
      </c>
      <c r="H247" s="1">
        <v>2</v>
      </c>
      <c r="I247" s="1">
        <v>2</v>
      </c>
      <c r="J247" s="1">
        <v>0.2</v>
      </c>
      <c r="K247">
        <f>VLOOKUP($A247,'Temprorary Data'!$A:$G,2,FALSE)</f>
        <v>0.2273</v>
      </c>
      <c r="L247">
        <f>VLOOKUP($A247,'Temprorary Data'!$A:$G,3,FALSE)</f>
        <v>0.59</v>
      </c>
      <c r="M247">
        <f>VLOOKUP($A247,'Temprorary Data'!$A:$G,4,FALSE)</f>
        <v>8.9599999999999999E-2</v>
      </c>
      <c r="N247">
        <f>VLOOKUP($A247,'Temprorary Data'!$A:$G,5,FALSE)</f>
        <v>3</v>
      </c>
      <c r="O247">
        <f>VLOOKUP($A247,'Temprorary Data'!$A:$G,6,FALSE)</f>
        <v>60</v>
      </c>
      <c r="P247">
        <f>VLOOKUP($A247,'Temprorary Data'!$A:$G,7,FALSE)</f>
        <v>63</v>
      </c>
    </row>
    <row r="248" spans="1:16" ht="15.75" thickBot="1">
      <c r="A248" s="1">
        <v>247</v>
      </c>
      <c r="B248" s="2">
        <v>40554</v>
      </c>
      <c r="C248" s="1">
        <v>1</v>
      </c>
      <c r="D248" s="1">
        <v>0</v>
      </c>
      <c r="E248" s="1">
        <v>1</v>
      </c>
      <c r="F248" s="1">
        <v>15</v>
      </c>
      <c r="G248" s="3" t="b">
        <v>0</v>
      </c>
      <c r="H248" s="1">
        <v>2</v>
      </c>
      <c r="I248" s="1">
        <v>2</v>
      </c>
      <c r="J248" s="1">
        <v>0.16</v>
      </c>
      <c r="K248">
        <f>VLOOKUP($A248,'Temprorary Data'!$A:$G,2,FALSE)</f>
        <v>0.19700000000000001</v>
      </c>
      <c r="L248">
        <f>VLOOKUP($A248,'Temprorary Data'!$A:$G,3,FALSE)</f>
        <v>0.8</v>
      </c>
      <c r="M248">
        <f>VLOOKUP($A248,'Temprorary Data'!$A:$G,4,FALSE)</f>
        <v>8.9599999999999999E-2</v>
      </c>
      <c r="N248">
        <f>VLOOKUP($A248,'Temprorary Data'!$A:$G,5,FALSE)</f>
        <v>2</v>
      </c>
      <c r="O248">
        <f>VLOOKUP($A248,'Temprorary Data'!$A:$G,6,FALSE)</f>
        <v>45</v>
      </c>
      <c r="P248">
        <f>VLOOKUP($A248,'Temprorary Data'!$A:$G,7,FALSE)</f>
        <v>47</v>
      </c>
    </row>
    <row r="249" spans="1:16" ht="15.75" thickBot="1">
      <c r="A249" s="1">
        <v>248</v>
      </c>
      <c r="B249" s="2">
        <v>40554</v>
      </c>
      <c r="C249" s="1">
        <v>1</v>
      </c>
      <c r="D249" s="1">
        <v>0</v>
      </c>
      <c r="E249" s="1">
        <v>1</v>
      </c>
      <c r="F249" s="1">
        <v>16</v>
      </c>
      <c r="G249" s="3" t="b">
        <v>0</v>
      </c>
      <c r="H249" s="1">
        <v>2</v>
      </c>
      <c r="I249" s="1">
        <v>2</v>
      </c>
      <c r="J249" s="1">
        <v>0.16</v>
      </c>
      <c r="K249">
        <f>VLOOKUP($A249,'Temprorary Data'!$A:$G,2,FALSE)</f>
        <v>0.1515</v>
      </c>
      <c r="L249">
        <f>VLOOKUP($A249,'Temprorary Data'!$A:$G,3,FALSE)</f>
        <v>0.86</v>
      </c>
      <c r="M249">
        <f>VLOOKUP($A249,'Temprorary Data'!$A:$G,4,FALSE)</f>
        <v>0.22389999999999999</v>
      </c>
      <c r="N249">
        <f>VLOOKUP($A249,'Temprorary Data'!$A:$G,5,FALSE)</f>
        <v>4</v>
      </c>
      <c r="O249">
        <f>VLOOKUP($A249,'Temprorary Data'!$A:$G,6,FALSE)</f>
        <v>72</v>
      </c>
      <c r="P249">
        <f>VLOOKUP($A249,'Temprorary Data'!$A:$G,7,FALSE)</f>
        <v>76</v>
      </c>
    </row>
    <row r="250" spans="1:16" ht="15.75" thickBot="1">
      <c r="A250" s="1">
        <v>249</v>
      </c>
      <c r="B250" s="2">
        <v>40554</v>
      </c>
      <c r="C250" s="1">
        <v>1</v>
      </c>
      <c r="D250" s="1">
        <v>0</v>
      </c>
      <c r="E250" s="1">
        <v>1</v>
      </c>
      <c r="F250" s="1">
        <v>17</v>
      </c>
      <c r="G250" s="3" t="b">
        <v>0</v>
      </c>
      <c r="H250" s="1">
        <v>2</v>
      </c>
      <c r="I250" s="1">
        <v>2</v>
      </c>
      <c r="J250" s="1">
        <v>0.16</v>
      </c>
      <c r="K250">
        <f>VLOOKUP($A250,'Temprorary Data'!$A:$G,2,FALSE)</f>
        <v>0.1515</v>
      </c>
      <c r="L250">
        <f>VLOOKUP($A250,'Temprorary Data'!$A:$G,3,FALSE)</f>
        <v>0.86</v>
      </c>
      <c r="M250">
        <f>VLOOKUP($A250,'Temprorary Data'!$A:$G,4,FALSE)</f>
        <v>0.22389999999999999</v>
      </c>
      <c r="N250">
        <f>VLOOKUP($A250,'Temprorary Data'!$A:$G,5,FALSE)</f>
        <v>6</v>
      </c>
      <c r="O250">
        <f>VLOOKUP($A250,'Temprorary Data'!$A:$G,6,FALSE)</f>
        <v>130</v>
      </c>
      <c r="P250">
        <f>VLOOKUP($A250,'Temprorary Data'!$A:$G,7,FALSE)</f>
        <v>136</v>
      </c>
    </row>
    <row r="251" spans="1:16" ht="15.75" thickBot="1">
      <c r="A251" s="1">
        <v>250</v>
      </c>
      <c r="B251" s="2">
        <v>40554</v>
      </c>
      <c r="C251" s="1">
        <v>1</v>
      </c>
      <c r="D251" s="1">
        <v>0</v>
      </c>
      <c r="E251" s="1">
        <v>1</v>
      </c>
      <c r="F251" s="1">
        <v>18</v>
      </c>
      <c r="G251" s="3" t="b">
        <v>0</v>
      </c>
      <c r="H251" s="1">
        <v>2</v>
      </c>
      <c r="I251" s="1">
        <v>3</v>
      </c>
      <c r="J251" s="1">
        <v>0.16</v>
      </c>
      <c r="K251">
        <f>VLOOKUP($A251,'Temprorary Data'!$A:$G,2,FALSE)</f>
        <v>0.18179999999999999</v>
      </c>
      <c r="L251">
        <f>VLOOKUP($A251,'Temprorary Data'!$A:$G,3,FALSE)</f>
        <v>0.93</v>
      </c>
      <c r="M251">
        <f>VLOOKUP($A251,'Temprorary Data'!$A:$G,4,FALSE)</f>
        <v>0.1045</v>
      </c>
      <c r="N251">
        <f>VLOOKUP($A251,'Temprorary Data'!$A:$G,5,FALSE)</f>
        <v>1</v>
      </c>
      <c r="O251">
        <f>VLOOKUP($A251,'Temprorary Data'!$A:$G,6,FALSE)</f>
        <v>94</v>
      </c>
      <c r="P251">
        <f>VLOOKUP($A251,'Temprorary Data'!$A:$G,7,FALSE)</f>
        <v>95</v>
      </c>
    </row>
    <row r="252" spans="1:16" ht="15.75" thickBot="1">
      <c r="A252" s="1">
        <v>251</v>
      </c>
      <c r="B252" s="2">
        <v>40554</v>
      </c>
      <c r="C252" s="1">
        <v>1</v>
      </c>
      <c r="D252" s="1">
        <v>0</v>
      </c>
      <c r="E252" s="1">
        <v>1</v>
      </c>
      <c r="F252" s="1">
        <v>19</v>
      </c>
      <c r="G252" s="3" t="b">
        <v>0</v>
      </c>
      <c r="H252" s="1">
        <v>2</v>
      </c>
      <c r="I252" s="1">
        <v>3</v>
      </c>
      <c r="J252" s="1">
        <v>0.16</v>
      </c>
      <c r="K252">
        <f>VLOOKUP($A252,'Temprorary Data'!$A:$G,2,FALSE)</f>
        <v>0.2273</v>
      </c>
      <c r="L252">
        <f>VLOOKUP($A252,'Temprorary Data'!$A:$G,3,FALSE)</f>
        <v>0.93</v>
      </c>
      <c r="M252">
        <f>VLOOKUP($A252,'Temprorary Data'!$A:$G,4,FALSE)</f>
        <v>0</v>
      </c>
      <c r="N252">
        <f>VLOOKUP($A252,'Temprorary Data'!$A:$G,5,FALSE)</f>
        <v>0</v>
      </c>
      <c r="O252">
        <f>VLOOKUP($A252,'Temprorary Data'!$A:$G,6,FALSE)</f>
        <v>51</v>
      </c>
      <c r="P252">
        <f>VLOOKUP($A252,'Temprorary Data'!$A:$G,7,FALSE)</f>
        <v>51</v>
      </c>
    </row>
    <row r="253" spans="1:16" ht="15.75" thickBot="1">
      <c r="A253" s="1">
        <v>252</v>
      </c>
      <c r="B253" s="2">
        <v>40554</v>
      </c>
      <c r="C253" s="1">
        <v>1</v>
      </c>
      <c r="D253" s="1">
        <v>0</v>
      </c>
      <c r="E253" s="1">
        <v>1</v>
      </c>
      <c r="F253" s="1">
        <v>20</v>
      </c>
      <c r="G253" s="3" t="b">
        <v>0</v>
      </c>
      <c r="H253" s="1">
        <v>2</v>
      </c>
      <c r="I253" s="1">
        <v>3</v>
      </c>
      <c r="J253" s="1">
        <v>0.16</v>
      </c>
      <c r="K253">
        <f>VLOOKUP($A253,'Temprorary Data'!$A:$G,2,FALSE)</f>
        <v>0.1515</v>
      </c>
      <c r="L253">
        <f>VLOOKUP($A253,'Temprorary Data'!$A:$G,3,FALSE)</f>
        <v>0.93</v>
      </c>
      <c r="M253">
        <f>VLOOKUP($A253,'Temprorary Data'!$A:$G,4,FALSE)</f>
        <v>0.19400000000000001</v>
      </c>
      <c r="N253">
        <f>VLOOKUP($A253,'Temprorary Data'!$A:$G,5,FALSE)</f>
        <v>0</v>
      </c>
      <c r="O253">
        <f>VLOOKUP($A253,'Temprorary Data'!$A:$G,6,FALSE)</f>
        <v>32</v>
      </c>
      <c r="P253">
        <f>VLOOKUP($A253,'Temprorary Data'!$A:$G,7,FALSE)</f>
        <v>32</v>
      </c>
    </row>
    <row r="254" spans="1:16" ht="15.75" thickBot="1">
      <c r="A254" s="1">
        <v>253</v>
      </c>
      <c r="B254" s="2">
        <v>40554</v>
      </c>
      <c r="C254" s="1">
        <v>1</v>
      </c>
      <c r="D254" s="1">
        <v>0</v>
      </c>
      <c r="E254" s="1">
        <v>1</v>
      </c>
      <c r="F254" s="1">
        <v>21</v>
      </c>
      <c r="G254" s="3" t="b">
        <v>0</v>
      </c>
      <c r="H254" s="1">
        <v>2</v>
      </c>
      <c r="I254" s="1">
        <v>3</v>
      </c>
      <c r="J254" s="1">
        <v>0.16</v>
      </c>
      <c r="K254">
        <f>VLOOKUP($A254,'Temprorary Data'!$A:$G,2,FALSE)</f>
        <v>0.19700000000000001</v>
      </c>
      <c r="L254">
        <f>VLOOKUP($A254,'Temprorary Data'!$A:$G,3,FALSE)</f>
        <v>0.86</v>
      </c>
      <c r="M254">
        <f>VLOOKUP($A254,'Temprorary Data'!$A:$G,4,FALSE)</f>
        <v>8.9599999999999999E-2</v>
      </c>
      <c r="N254">
        <f>VLOOKUP($A254,'Temprorary Data'!$A:$G,5,FALSE)</f>
        <v>0</v>
      </c>
      <c r="O254">
        <f>VLOOKUP($A254,'Temprorary Data'!$A:$G,6,FALSE)</f>
        <v>20</v>
      </c>
      <c r="P254">
        <f>VLOOKUP($A254,'Temprorary Data'!$A:$G,7,FALSE)</f>
        <v>20</v>
      </c>
    </row>
    <row r="255" spans="1:16" ht="15.75" thickBot="1">
      <c r="A255" s="1">
        <v>254</v>
      </c>
      <c r="B255" s="2">
        <v>40554</v>
      </c>
      <c r="C255" s="1">
        <v>1</v>
      </c>
      <c r="D255" s="1">
        <v>0</v>
      </c>
      <c r="E255" s="1">
        <v>1</v>
      </c>
      <c r="F255" s="1">
        <v>22</v>
      </c>
      <c r="G255" s="3" t="b">
        <v>0</v>
      </c>
      <c r="H255" s="1">
        <v>2</v>
      </c>
      <c r="I255" s="1">
        <v>3</v>
      </c>
      <c r="J255" s="1">
        <v>0.16</v>
      </c>
      <c r="K255">
        <f>VLOOKUP($A255,'Temprorary Data'!$A:$G,2,FALSE)</f>
        <v>0.18179999999999999</v>
      </c>
      <c r="L255">
        <f>VLOOKUP($A255,'Temprorary Data'!$A:$G,3,FALSE)</f>
        <v>0.93</v>
      </c>
      <c r="M255">
        <f>VLOOKUP($A255,'Temprorary Data'!$A:$G,4,FALSE)</f>
        <v>0.1045</v>
      </c>
      <c r="N255">
        <f>VLOOKUP($A255,'Temprorary Data'!$A:$G,5,FALSE)</f>
        <v>1</v>
      </c>
      <c r="O255">
        <f>VLOOKUP($A255,'Temprorary Data'!$A:$G,6,FALSE)</f>
        <v>28</v>
      </c>
      <c r="P255">
        <f>VLOOKUP($A255,'Temprorary Data'!$A:$G,7,FALSE)</f>
        <v>29</v>
      </c>
    </row>
    <row r="256" spans="1:16" ht="15.75" thickBot="1">
      <c r="A256" s="1">
        <v>255</v>
      </c>
      <c r="B256" s="2">
        <v>40554</v>
      </c>
      <c r="C256" s="1">
        <v>1</v>
      </c>
      <c r="D256" s="1">
        <v>0</v>
      </c>
      <c r="E256" s="1">
        <v>1</v>
      </c>
      <c r="F256" s="1">
        <v>23</v>
      </c>
      <c r="G256" s="3" t="b">
        <v>0</v>
      </c>
      <c r="H256" s="1">
        <v>2</v>
      </c>
      <c r="I256" s="1">
        <v>3</v>
      </c>
      <c r="J256" s="1">
        <v>0.16</v>
      </c>
      <c r="K256">
        <f>VLOOKUP($A256,'Temprorary Data'!$A:$G,2,FALSE)</f>
        <v>0.19700000000000001</v>
      </c>
      <c r="L256">
        <f>VLOOKUP($A256,'Temprorary Data'!$A:$G,3,FALSE)</f>
        <v>0.93</v>
      </c>
      <c r="M256">
        <f>VLOOKUP($A256,'Temprorary Data'!$A:$G,4,FALSE)</f>
        <v>8.9599999999999999E-2</v>
      </c>
      <c r="N256">
        <f>VLOOKUP($A256,'Temprorary Data'!$A:$G,5,FALSE)</f>
        <v>1</v>
      </c>
      <c r="O256">
        <f>VLOOKUP($A256,'Temprorary Data'!$A:$G,6,FALSE)</f>
        <v>18</v>
      </c>
      <c r="P256">
        <f>VLOOKUP($A256,'Temprorary Data'!$A:$G,7,FALSE)</f>
        <v>19</v>
      </c>
    </row>
    <row r="257" spans="1:16" ht="15.75" thickBot="1">
      <c r="A257" s="1">
        <v>256</v>
      </c>
      <c r="B257" s="2">
        <v>40555</v>
      </c>
      <c r="C257" s="1">
        <v>1</v>
      </c>
      <c r="D257" s="1">
        <v>0</v>
      </c>
      <c r="E257" s="1">
        <v>1</v>
      </c>
      <c r="F257" s="1">
        <v>0</v>
      </c>
      <c r="G257" s="3" t="b">
        <v>0</v>
      </c>
      <c r="H257" s="1">
        <v>3</v>
      </c>
      <c r="I257" s="1">
        <v>2</v>
      </c>
      <c r="J257" s="1">
        <v>0.16</v>
      </c>
      <c r="K257">
        <f>VLOOKUP($A257,'Temprorary Data'!$A:$G,2,FALSE)</f>
        <v>0.19700000000000001</v>
      </c>
      <c r="L257">
        <f>VLOOKUP($A257,'Temprorary Data'!$A:$G,3,FALSE)</f>
        <v>0.86</v>
      </c>
      <c r="M257">
        <f>VLOOKUP($A257,'Temprorary Data'!$A:$G,4,FALSE)</f>
        <v>8.9599999999999999E-2</v>
      </c>
      <c r="N257">
        <f>VLOOKUP($A257,'Temprorary Data'!$A:$G,5,FALSE)</f>
        <v>0</v>
      </c>
      <c r="O257">
        <f>VLOOKUP($A257,'Temprorary Data'!$A:$G,6,FALSE)</f>
        <v>7</v>
      </c>
      <c r="P257">
        <f>VLOOKUP($A257,'Temprorary Data'!$A:$G,7,FALSE)</f>
        <v>7</v>
      </c>
    </row>
    <row r="258" spans="1:16" ht="15.75" thickBot="1">
      <c r="A258" s="1">
        <v>257</v>
      </c>
      <c r="B258" s="2">
        <v>40555</v>
      </c>
      <c r="C258" s="1">
        <v>1</v>
      </c>
      <c r="D258" s="1">
        <v>0</v>
      </c>
      <c r="E258" s="1">
        <v>1</v>
      </c>
      <c r="F258" s="1">
        <v>1</v>
      </c>
      <c r="G258" s="3" t="b">
        <v>0</v>
      </c>
      <c r="H258" s="1">
        <v>3</v>
      </c>
      <c r="I258" s="1">
        <v>2</v>
      </c>
      <c r="J258" s="1">
        <v>0.16</v>
      </c>
      <c r="K258">
        <f>VLOOKUP($A258,'Temprorary Data'!$A:$G,2,FALSE)</f>
        <v>0.18179999999999999</v>
      </c>
      <c r="L258">
        <f>VLOOKUP($A258,'Temprorary Data'!$A:$G,3,FALSE)</f>
        <v>0.86</v>
      </c>
      <c r="M258">
        <f>VLOOKUP($A258,'Temprorary Data'!$A:$G,4,FALSE)</f>
        <v>0.1045</v>
      </c>
      <c r="N258">
        <f>VLOOKUP($A258,'Temprorary Data'!$A:$G,5,FALSE)</f>
        <v>0</v>
      </c>
      <c r="O258">
        <f>VLOOKUP($A258,'Temprorary Data'!$A:$G,6,FALSE)</f>
        <v>6</v>
      </c>
      <c r="P258">
        <f>VLOOKUP($A258,'Temprorary Data'!$A:$G,7,FALSE)</f>
        <v>6</v>
      </c>
    </row>
    <row r="259" spans="1:16" ht="15.75" thickBot="1">
      <c r="A259" s="1">
        <v>258</v>
      </c>
      <c r="B259" s="2">
        <v>40555</v>
      </c>
      <c r="C259" s="1">
        <v>1</v>
      </c>
      <c r="D259" s="1">
        <v>0</v>
      </c>
      <c r="E259" s="1">
        <v>1</v>
      </c>
      <c r="F259" s="1">
        <v>2</v>
      </c>
      <c r="G259" s="3" t="b">
        <v>0</v>
      </c>
      <c r="H259" s="1">
        <v>3</v>
      </c>
      <c r="I259" s="1">
        <v>1</v>
      </c>
      <c r="J259" s="1">
        <v>0.14000000000000001</v>
      </c>
      <c r="K259">
        <f>VLOOKUP($A259,'Temprorary Data'!$A:$G,2,FALSE)</f>
        <v>0.1515</v>
      </c>
      <c r="L259">
        <f>VLOOKUP($A259,'Temprorary Data'!$A:$G,3,FALSE)</f>
        <v>0.86</v>
      </c>
      <c r="M259">
        <f>VLOOKUP($A259,'Temprorary Data'!$A:$G,4,FALSE)</f>
        <v>0.1343</v>
      </c>
      <c r="N259">
        <f>VLOOKUP($A259,'Temprorary Data'!$A:$G,5,FALSE)</f>
        <v>0</v>
      </c>
      <c r="O259">
        <f>VLOOKUP($A259,'Temprorary Data'!$A:$G,6,FALSE)</f>
        <v>1</v>
      </c>
      <c r="P259">
        <f>VLOOKUP($A259,'Temprorary Data'!$A:$G,7,FALSE)</f>
        <v>1</v>
      </c>
    </row>
    <row r="260" spans="1:16" ht="15.75" thickBot="1">
      <c r="A260" s="1">
        <v>259</v>
      </c>
      <c r="B260" s="2">
        <v>40555</v>
      </c>
      <c r="C260" s="1">
        <v>1</v>
      </c>
      <c r="D260" s="1">
        <v>0</v>
      </c>
      <c r="E260" s="1">
        <v>1</v>
      </c>
      <c r="F260" s="1">
        <v>5</v>
      </c>
      <c r="G260" s="3" t="b">
        <v>0</v>
      </c>
      <c r="H260" s="1">
        <v>3</v>
      </c>
      <c r="I260" s="1">
        <v>1</v>
      </c>
      <c r="J260" s="1">
        <v>0.14000000000000001</v>
      </c>
      <c r="K260">
        <f>VLOOKUP($A260,'Temprorary Data'!$A:$G,2,FALSE)</f>
        <v>0.1515</v>
      </c>
      <c r="L260">
        <f>VLOOKUP($A260,'Temprorary Data'!$A:$G,3,FALSE)</f>
        <v>0.86</v>
      </c>
      <c r="M260">
        <f>VLOOKUP($A260,'Temprorary Data'!$A:$G,4,FALSE)</f>
        <v>0.16420000000000001</v>
      </c>
      <c r="N260">
        <f>VLOOKUP($A260,'Temprorary Data'!$A:$G,5,FALSE)</f>
        <v>0</v>
      </c>
      <c r="O260">
        <f>VLOOKUP($A260,'Temprorary Data'!$A:$G,6,FALSE)</f>
        <v>5</v>
      </c>
      <c r="P260">
        <f>VLOOKUP($A260,'Temprorary Data'!$A:$G,7,FALSE)</f>
        <v>5</v>
      </c>
    </row>
    <row r="261" spans="1:16" ht="15.75" thickBot="1">
      <c r="A261" s="1">
        <v>260</v>
      </c>
      <c r="B261" s="2">
        <v>40555</v>
      </c>
      <c r="C261" s="1">
        <v>1</v>
      </c>
      <c r="D261" s="1">
        <v>0</v>
      </c>
      <c r="E261" s="1">
        <v>1</v>
      </c>
      <c r="F261" s="1">
        <v>6</v>
      </c>
      <c r="G261" s="3" t="b">
        <v>0</v>
      </c>
      <c r="H261" s="1">
        <v>3</v>
      </c>
      <c r="I261" s="1">
        <v>1</v>
      </c>
      <c r="J261" s="1">
        <v>0.12</v>
      </c>
      <c r="K261">
        <f>VLOOKUP($A261,'Temprorary Data'!$A:$G,2,FALSE)</f>
        <v>0.1515</v>
      </c>
      <c r="L261">
        <f>VLOOKUP($A261,'Temprorary Data'!$A:$G,3,FALSE)</f>
        <v>0.93</v>
      </c>
      <c r="M261">
        <f>VLOOKUP($A261,'Temprorary Data'!$A:$G,4,FALSE)</f>
        <v>0.1343</v>
      </c>
      <c r="N261">
        <f>VLOOKUP($A261,'Temprorary Data'!$A:$G,5,FALSE)</f>
        <v>0</v>
      </c>
      <c r="O261">
        <f>VLOOKUP($A261,'Temprorary Data'!$A:$G,6,FALSE)</f>
        <v>16</v>
      </c>
      <c r="P261">
        <f>VLOOKUP($A261,'Temprorary Data'!$A:$G,7,FALSE)</f>
        <v>16</v>
      </c>
    </row>
    <row r="262" spans="1:16" ht="15.75" thickBot="1">
      <c r="A262" s="1">
        <v>261</v>
      </c>
      <c r="B262" s="2">
        <v>40555</v>
      </c>
      <c r="C262" s="1">
        <v>1</v>
      </c>
      <c r="D262" s="1">
        <v>0</v>
      </c>
      <c r="E262" s="1">
        <v>1</v>
      </c>
      <c r="F262" s="1">
        <v>7</v>
      </c>
      <c r="G262" s="3" t="b">
        <v>0</v>
      </c>
      <c r="H262" s="1">
        <v>3</v>
      </c>
      <c r="I262" s="1">
        <v>1</v>
      </c>
      <c r="J262" s="1">
        <v>0.14000000000000001</v>
      </c>
      <c r="K262">
        <f>VLOOKUP($A262,'Temprorary Data'!$A:$G,2,FALSE)</f>
        <v>0.1515</v>
      </c>
      <c r="L262">
        <f>VLOOKUP($A262,'Temprorary Data'!$A:$G,3,FALSE)</f>
        <v>0.69</v>
      </c>
      <c r="M262">
        <f>VLOOKUP($A262,'Temprorary Data'!$A:$G,4,FALSE)</f>
        <v>0.1343</v>
      </c>
      <c r="N262">
        <f>VLOOKUP($A262,'Temprorary Data'!$A:$G,5,FALSE)</f>
        <v>0</v>
      </c>
      <c r="O262">
        <f>VLOOKUP($A262,'Temprorary Data'!$A:$G,6,FALSE)</f>
        <v>54</v>
      </c>
      <c r="P262">
        <f>VLOOKUP($A262,'Temprorary Data'!$A:$G,7,FALSE)</f>
        <v>54</v>
      </c>
    </row>
    <row r="263" spans="1:16" ht="15.75" thickBot="1">
      <c r="A263" s="1">
        <v>262</v>
      </c>
      <c r="B263" s="2">
        <v>40555</v>
      </c>
      <c r="C263" s="1">
        <v>1</v>
      </c>
      <c r="D263" s="1">
        <v>0</v>
      </c>
      <c r="E263" s="1">
        <v>1</v>
      </c>
      <c r="F263" s="1">
        <v>8</v>
      </c>
      <c r="G263" s="3" t="b">
        <v>0</v>
      </c>
      <c r="H263" s="1">
        <v>3</v>
      </c>
      <c r="I263" s="1">
        <v>1</v>
      </c>
      <c r="J263" s="1">
        <v>0.16</v>
      </c>
      <c r="K263">
        <f>VLOOKUP($A263,'Temprorary Data'!$A:$G,2,FALSE)</f>
        <v>0.16669999999999999</v>
      </c>
      <c r="L263">
        <f>VLOOKUP($A263,'Temprorary Data'!$A:$G,3,FALSE)</f>
        <v>0.59</v>
      </c>
      <c r="M263">
        <f>VLOOKUP($A263,'Temprorary Data'!$A:$G,4,FALSE)</f>
        <v>0.16420000000000001</v>
      </c>
      <c r="N263">
        <f>VLOOKUP($A263,'Temprorary Data'!$A:$G,5,FALSE)</f>
        <v>3</v>
      </c>
      <c r="O263">
        <f>VLOOKUP($A263,'Temprorary Data'!$A:$G,6,FALSE)</f>
        <v>125</v>
      </c>
      <c r="P263">
        <f>VLOOKUP($A263,'Temprorary Data'!$A:$G,7,FALSE)</f>
        <v>128</v>
      </c>
    </row>
    <row r="264" spans="1:16" ht="15.75" thickBot="1">
      <c r="A264" s="1">
        <v>263</v>
      </c>
      <c r="B264" s="2">
        <v>40555</v>
      </c>
      <c r="C264" s="1">
        <v>1</v>
      </c>
      <c r="D264" s="1">
        <v>0</v>
      </c>
      <c r="E264" s="1">
        <v>1</v>
      </c>
      <c r="F264" s="1">
        <v>9</v>
      </c>
      <c r="G264" s="3" t="b">
        <v>0</v>
      </c>
      <c r="H264" s="1">
        <v>3</v>
      </c>
      <c r="I264" s="1">
        <v>1</v>
      </c>
      <c r="J264" s="1">
        <v>0.16</v>
      </c>
      <c r="K264">
        <f>VLOOKUP($A264,'Temprorary Data'!$A:$G,2,FALSE)</f>
        <v>0.13639999999999999</v>
      </c>
      <c r="L264">
        <f>VLOOKUP($A264,'Temprorary Data'!$A:$G,3,FALSE)</f>
        <v>0.59</v>
      </c>
      <c r="M264">
        <f>VLOOKUP($A264,'Temprorary Data'!$A:$G,4,FALSE)</f>
        <v>0.32840000000000003</v>
      </c>
      <c r="N264">
        <f>VLOOKUP($A264,'Temprorary Data'!$A:$G,5,FALSE)</f>
        <v>3</v>
      </c>
      <c r="O264">
        <f>VLOOKUP($A264,'Temprorary Data'!$A:$G,6,FALSE)</f>
        <v>78</v>
      </c>
      <c r="P264">
        <f>VLOOKUP($A264,'Temprorary Data'!$A:$G,7,FALSE)</f>
        <v>81</v>
      </c>
    </row>
    <row r="265" spans="1:16" ht="15.75" thickBot="1">
      <c r="A265" s="1">
        <v>264</v>
      </c>
      <c r="B265" s="2">
        <v>40555</v>
      </c>
      <c r="C265" s="1">
        <v>1</v>
      </c>
      <c r="D265" s="1">
        <v>0</v>
      </c>
      <c r="E265" s="1">
        <v>1</v>
      </c>
      <c r="F265" s="1">
        <v>10</v>
      </c>
      <c r="G265" s="3" t="b">
        <v>0</v>
      </c>
      <c r="H265" s="1">
        <v>3</v>
      </c>
      <c r="I265" s="1">
        <v>1</v>
      </c>
      <c r="J265" s="1">
        <v>0.18</v>
      </c>
      <c r="K265">
        <f>VLOOKUP($A265,'Temprorary Data'!$A:$G,2,FALSE)</f>
        <v>0.18179999999999999</v>
      </c>
      <c r="L265">
        <f>VLOOKUP($A265,'Temprorary Data'!$A:$G,3,FALSE)</f>
        <v>0.55000000000000004</v>
      </c>
      <c r="M265">
        <f>VLOOKUP($A265,'Temprorary Data'!$A:$G,4,FALSE)</f>
        <v>0.22389999999999999</v>
      </c>
      <c r="N265">
        <f>VLOOKUP($A265,'Temprorary Data'!$A:$G,5,FALSE)</f>
        <v>0</v>
      </c>
      <c r="O265">
        <f>VLOOKUP($A265,'Temprorary Data'!$A:$G,6,FALSE)</f>
        <v>39</v>
      </c>
      <c r="P265">
        <f>VLOOKUP($A265,'Temprorary Data'!$A:$G,7,FALSE)</f>
        <v>39</v>
      </c>
    </row>
    <row r="266" spans="1:16" ht="15.75" thickBot="1">
      <c r="A266" s="1">
        <v>265</v>
      </c>
      <c r="B266" s="2">
        <v>40555</v>
      </c>
      <c r="C266" s="1">
        <v>1</v>
      </c>
      <c r="D266" s="1">
        <v>0</v>
      </c>
      <c r="E266" s="1">
        <v>1</v>
      </c>
      <c r="F266" s="1">
        <v>11</v>
      </c>
      <c r="G266" s="3" t="b">
        <v>0</v>
      </c>
      <c r="H266" s="1">
        <v>3</v>
      </c>
      <c r="I266" s="1">
        <v>1</v>
      </c>
      <c r="J266" s="1">
        <v>0.2</v>
      </c>
      <c r="K266">
        <f>VLOOKUP($A266,'Temprorary Data'!$A:$G,2,FALSE)</f>
        <v>0.18179999999999999</v>
      </c>
      <c r="L266">
        <f>VLOOKUP($A266,'Temprorary Data'!$A:$G,3,FALSE)</f>
        <v>0.51</v>
      </c>
      <c r="M266">
        <f>VLOOKUP($A266,'Temprorary Data'!$A:$G,4,FALSE)</f>
        <v>0.3881</v>
      </c>
      <c r="N266">
        <f>VLOOKUP($A266,'Temprorary Data'!$A:$G,5,FALSE)</f>
        <v>3</v>
      </c>
      <c r="O266">
        <f>VLOOKUP($A266,'Temprorary Data'!$A:$G,6,FALSE)</f>
        <v>32</v>
      </c>
      <c r="P266">
        <f>VLOOKUP($A266,'Temprorary Data'!$A:$G,7,FALSE)</f>
        <v>35</v>
      </c>
    </row>
    <row r="267" spans="1:16" ht="15.75" thickBot="1">
      <c r="A267" s="1">
        <v>266</v>
      </c>
      <c r="B267" s="2">
        <v>40555</v>
      </c>
      <c r="C267" s="1">
        <v>1</v>
      </c>
      <c r="D267" s="1">
        <v>0</v>
      </c>
      <c r="E267" s="1">
        <v>1</v>
      </c>
      <c r="F267" s="1">
        <v>12</v>
      </c>
      <c r="G267" s="3" t="b">
        <v>0</v>
      </c>
      <c r="H267" s="1">
        <v>3</v>
      </c>
      <c r="I267" s="1">
        <v>1</v>
      </c>
      <c r="J267" s="1">
        <v>0.2</v>
      </c>
      <c r="K267">
        <f>VLOOKUP($A267,'Temprorary Data'!$A:$G,2,FALSE)</f>
        <v>0.1515</v>
      </c>
      <c r="L267">
        <f>VLOOKUP($A267,'Temprorary Data'!$A:$G,3,FALSE)</f>
        <v>0.47</v>
      </c>
      <c r="M267">
        <f>VLOOKUP($A267,'Temprorary Data'!$A:$G,4,FALSE)</f>
        <v>0.58209999999999995</v>
      </c>
      <c r="N267">
        <f>VLOOKUP($A267,'Temprorary Data'!$A:$G,5,FALSE)</f>
        <v>3</v>
      </c>
      <c r="O267">
        <f>VLOOKUP($A267,'Temprorary Data'!$A:$G,6,FALSE)</f>
        <v>52</v>
      </c>
      <c r="P267">
        <f>VLOOKUP($A267,'Temprorary Data'!$A:$G,7,FALSE)</f>
        <v>55</v>
      </c>
    </row>
    <row r="268" spans="1:16" ht="15.75" thickBot="1">
      <c r="A268" s="1">
        <v>267</v>
      </c>
      <c r="B268" s="2">
        <v>40555</v>
      </c>
      <c r="C268" s="1">
        <v>1</v>
      </c>
      <c r="D268" s="1">
        <v>0</v>
      </c>
      <c r="E268" s="1">
        <v>1</v>
      </c>
      <c r="F268" s="1">
        <v>13</v>
      </c>
      <c r="G268" s="3" t="b">
        <v>0</v>
      </c>
      <c r="H268" s="1">
        <v>3</v>
      </c>
      <c r="I268" s="1">
        <v>1</v>
      </c>
      <c r="J268" s="1">
        <v>0.22</v>
      </c>
      <c r="K268">
        <f>VLOOKUP($A268,'Temprorary Data'!$A:$G,2,FALSE)</f>
        <v>0.19700000000000001</v>
      </c>
      <c r="L268">
        <f>VLOOKUP($A268,'Temprorary Data'!$A:$G,3,FALSE)</f>
        <v>0.44</v>
      </c>
      <c r="M268">
        <f>VLOOKUP($A268,'Temprorary Data'!$A:$G,4,FALSE)</f>
        <v>0.35820000000000002</v>
      </c>
      <c r="N268">
        <f>VLOOKUP($A268,'Temprorary Data'!$A:$G,5,FALSE)</f>
        <v>0</v>
      </c>
      <c r="O268">
        <f>VLOOKUP($A268,'Temprorary Data'!$A:$G,6,FALSE)</f>
        <v>49</v>
      </c>
      <c r="P268">
        <f>VLOOKUP($A268,'Temprorary Data'!$A:$G,7,FALSE)</f>
        <v>49</v>
      </c>
    </row>
    <row r="269" spans="1:16" ht="15.75" thickBot="1">
      <c r="A269" s="1">
        <v>268</v>
      </c>
      <c r="B269" s="2">
        <v>40555</v>
      </c>
      <c r="C269" s="1">
        <v>1</v>
      </c>
      <c r="D269" s="1">
        <v>0</v>
      </c>
      <c r="E269" s="1">
        <v>1</v>
      </c>
      <c r="F269" s="1">
        <v>14</v>
      </c>
      <c r="G269" s="3" t="b">
        <v>0</v>
      </c>
      <c r="H269" s="1">
        <v>3</v>
      </c>
      <c r="I269" s="1">
        <v>1</v>
      </c>
      <c r="J269" s="1">
        <v>0.2</v>
      </c>
      <c r="K269">
        <f>VLOOKUP($A269,'Temprorary Data'!$A:$G,2,FALSE)</f>
        <v>0.18179999999999999</v>
      </c>
      <c r="L269">
        <f>VLOOKUP($A269,'Temprorary Data'!$A:$G,3,FALSE)</f>
        <v>0.47</v>
      </c>
      <c r="M269">
        <f>VLOOKUP($A269,'Temprorary Data'!$A:$G,4,FALSE)</f>
        <v>0.32840000000000003</v>
      </c>
      <c r="N269">
        <f>VLOOKUP($A269,'Temprorary Data'!$A:$G,5,FALSE)</f>
        <v>0</v>
      </c>
      <c r="O269">
        <f>VLOOKUP($A269,'Temprorary Data'!$A:$G,6,FALSE)</f>
        <v>44</v>
      </c>
      <c r="P269">
        <f>VLOOKUP($A269,'Temprorary Data'!$A:$G,7,FALSE)</f>
        <v>44</v>
      </c>
    </row>
    <row r="270" spans="1:16" ht="15.75" thickBot="1">
      <c r="A270" s="1">
        <v>269</v>
      </c>
      <c r="B270" s="2">
        <v>40555</v>
      </c>
      <c r="C270" s="1">
        <v>1</v>
      </c>
      <c r="D270" s="1">
        <v>0</v>
      </c>
      <c r="E270" s="1">
        <v>1</v>
      </c>
      <c r="F270" s="1">
        <v>15</v>
      </c>
      <c r="G270" s="3" t="b">
        <v>0</v>
      </c>
      <c r="H270" s="1">
        <v>3</v>
      </c>
      <c r="I270" s="1">
        <v>1</v>
      </c>
      <c r="J270" s="1">
        <v>0.2</v>
      </c>
      <c r="K270">
        <f>VLOOKUP($A270,'Temprorary Data'!$A:$G,2,FALSE)</f>
        <v>0.16669999999999999</v>
      </c>
      <c r="L270">
        <f>VLOOKUP($A270,'Temprorary Data'!$A:$G,3,FALSE)</f>
        <v>0.47</v>
      </c>
      <c r="M270">
        <f>VLOOKUP($A270,'Temprorary Data'!$A:$G,4,FALSE)</f>
        <v>0.41789999999999999</v>
      </c>
      <c r="N270">
        <f>VLOOKUP($A270,'Temprorary Data'!$A:$G,5,FALSE)</f>
        <v>1</v>
      </c>
      <c r="O270">
        <f>VLOOKUP($A270,'Temprorary Data'!$A:$G,6,FALSE)</f>
        <v>48</v>
      </c>
      <c r="P270">
        <f>VLOOKUP($A270,'Temprorary Data'!$A:$G,7,FALSE)</f>
        <v>49</v>
      </c>
    </row>
    <row r="271" spans="1:16" ht="15.75" thickBot="1">
      <c r="A271" s="1">
        <v>270</v>
      </c>
      <c r="B271" s="2">
        <v>40555</v>
      </c>
      <c r="C271" s="1">
        <v>1</v>
      </c>
      <c r="D271" s="1">
        <v>0</v>
      </c>
      <c r="E271" s="1">
        <v>1</v>
      </c>
      <c r="F271" s="1">
        <v>16</v>
      </c>
      <c r="G271" s="3" t="b">
        <v>0</v>
      </c>
      <c r="H271" s="1">
        <v>3</v>
      </c>
      <c r="I271" s="1">
        <v>1</v>
      </c>
      <c r="J271" s="1">
        <v>0.22</v>
      </c>
      <c r="K271">
        <f>VLOOKUP($A271,'Temprorary Data'!$A:$G,2,FALSE)</f>
        <v>0.19700000000000001</v>
      </c>
      <c r="L271">
        <f>VLOOKUP($A271,'Temprorary Data'!$A:$G,3,FALSE)</f>
        <v>0.44</v>
      </c>
      <c r="M271">
        <f>VLOOKUP($A271,'Temprorary Data'!$A:$G,4,FALSE)</f>
        <v>0.32840000000000003</v>
      </c>
      <c r="N271">
        <f>VLOOKUP($A271,'Temprorary Data'!$A:$G,5,FALSE)</f>
        <v>5</v>
      </c>
      <c r="O271">
        <f>VLOOKUP($A271,'Temprorary Data'!$A:$G,6,FALSE)</f>
        <v>63</v>
      </c>
      <c r="P271">
        <f>VLOOKUP($A271,'Temprorary Data'!$A:$G,7,FALSE)</f>
        <v>68</v>
      </c>
    </row>
    <row r="272" spans="1:16" ht="15.75" thickBot="1">
      <c r="A272" s="1">
        <v>271</v>
      </c>
      <c r="B272" s="2">
        <v>40555</v>
      </c>
      <c r="C272" s="1">
        <v>1</v>
      </c>
      <c r="D272" s="1">
        <v>0</v>
      </c>
      <c r="E272" s="1">
        <v>1</v>
      </c>
      <c r="F272" s="1">
        <v>17</v>
      </c>
      <c r="G272" s="3" t="b">
        <v>0</v>
      </c>
      <c r="H272" s="1">
        <v>3</v>
      </c>
      <c r="I272" s="1">
        <v>1</v>
      </c>
      <c r="J272" s="1">
        <v>0.2</v>
      </c>
      <c r="K272">
        <f>VLOOKUP($A272,'Temprorary Data'!$A:$G,2,FALSE)</f>
        <v>0.18179999999999999</v>
      </c>
      <c r="L272">
        <f>VLOOKUP($A272,'Temprorary Data'!$A:$G,3,FALSE)</f>
        <v>0.47</v>
      </c>
      <c r="M272">
        <f>VLOOKUP($A272,'Temprorary Data'!$A:$G,4,FALSE)</f>
        <v>0.35820000000000002</v>
      </c>
      <c r="N272">
        <f>VLOOKUP($A272,'Temprorary Data'!$A:$G,5,FALSE)</f>
        <v>0</v>
      </c>
      <c r="O272">
        <f>VLOOKUP($A272,'Temprorary Data'!$A:$G,6,FALSE)</f>
        <v>139</v>
      </c>
      <c r="P272">
        <f>VLOOKUP($A272,'Temprorary Data'!$A:$G,7,FALSE)</f>
        <v>139</v>
      </c>
    </row>
    <row r="273" spans="1:16" ht="15.75" thickBot="1">
      <c r="A273" s="1">
        <v>272</v>
      </c>
      <c r="B273" s="2">
        <v>40555</v>
      </c>
      <c r="C273" s="1">
        <v>1</v>
      </c>
      <c r="D273" s="1">
        <v>0</v>
      </c>
      <c r="E273" s="1">
        <v>1</v>
      </c>
      <c r="F273" s="1">
        <v>18</v>
      </c>
      <c r="G273" s="3" t="b">
        <v>0</v>
      </c>
      <c r="H273" s="1">
        <v>3</v>
      </c>
      <c r="I273" s="1">
        <v>1</v>
      </c>
      <c r="J273" s="1">
        <v>0.2</v>
      </c>
      <c r="K273">
        <f>VLOOKUP($A273,'Temprorary Data'!$A:$G,2,FALSE)</f>
        <v>0.1515</v>
      </c>
      <c r="L273">
        <f>VLOOKUP($A273,'Temprorary Data'!$A:$G,3,FALSE)</f>
        <v>0.47</v>
      </c>
      <c r="M273">
        <f>VLOOKUP($A273,'Temprorary Data'!$A:$G,4,FALSE)</f>
        <v>0.52239999999999998</v>
      </c>
      <c r="N273">
        <f>VLOOKUP($A273,'Temprorary Data'!$A:$G,5,FALSE)</f>
        <v>2</v>
      </c>
      <c r="O273">
        <f>VLOOKUP($A273,'Temprorary Data'!$A:$G,6,FALSE)</f>
        <v>135</v>
      </c>
      <c r="P273">
        <f>VLOOKUP($A273,'Temprorary Data'!$A:$G,7,FALSE)</f>
        <v>137</v>
      </c>
    </row>
    <row r="274" spans="1:16" ht="15.75" thickBot="1">
      <c r="A274" s="1">
        <v>273</v>
      </c>
      <c r="B274" s="2">
        <v>40555</v>
      </c>
      <c r="C274" s="1">
        <v>1</v>
      </c>
      <c r="D274" s="1">
        <v>0</v>
      </c>
      <c r="E274" s="1">
        <v>1</v>
      </c>
      <c r="F274" s="1">
        <v>19</v>
      </c>
      <c r="G274" s="3" t="b">
        <v>0</v>
      </c>
      <c r="H274" s="1">
        <v>3</v>
      </c>
      <c r="I274" s="1">
        <v>1</v>
      </c>
      <c r="J274" s="1">
        <v>0.18</v>
      </c>
      <c r="K274">
        <f>VLOOKUP($A274,'Temprorary Data'!$A:$G,2,FALSE)</f>
        <v>0.1515</v>
      </c>
      <c r="L274">
        <f>VLOOKUP($A274,'Temprorary Data'!$A:$G,3,FALSE)</f>
        <v>0.47</v>
      </c>
      <c r="M274">
        <f>VLOOKUP($A274,'Temprorary Data'!$A:$G,4,FALSE)</f>
        <v>0.41789999999999999</v>
      </c>
      <c r="N274">
        <f>VLOOKUP($A274,'Temprorary Data'!$A:$G,5,FALSE)</f>
        <v>1</v>
      </c>
      <c r="O274">
        <f>VLOOKUP($A274,'Temprorary Data'!$A:$G,6,FALSE)</f>
        <v>82</v>
      </c>
      <c r="P274">
        <f>VLOOKUP($A274,'Temprorary Data'!$A:$G,7,FALSE)</f>
        <v>83</v>
      </c>
    </row>
    <row r="275" spans="1:16" ht="15.75" thickBot="1">
      <c r="A275" s="1">
        <v>274</v>
      </c>
      <c r="B275" s="2">
        <v>40555</v>
      </c>
      <c r="C275" s="1">
        <v>1</v>
      </c>
      <c r="D275" s="1">
        <v>0</v>
      </c>
      <c r="E275" s="1">
        <v>1</v>
      </c>
      <c r="F275" s="1">
        <v>20</v>
      </c>
      <c r="G275" s="3" t="b">
        <v>0</v>
      </c>
      <c r="H275" s="1">
        <v>3</v>
      </c>
      <c r="I275" s="1">
        <v>1</v>
      </c>
      <c r="J275" s="1">
        <v>0.16</v>
      </c>
      <c r="K275">
        <f>VLOOKUP($A275,'Temprorary Data'!$A:$G,2,FALSE)</f>
        <v>0.13639999999999999</v>
      </c>
      <c r="L275">
        <f>VLOOKUP($A275,'Temprorary Data'!$A:$G,3,FALSE)</f>
        <v>0.5</v>
      </c>
      <c r="M275">
        <f>VLOOKUP($A275,'Temprorary Data'!$A:$G,4,FALSE)</f>
        <v>0.32840000000000003</v>
      </c>
      <c r="N275">
        <f>VLOOKUP($A275,'Temprorary Data'!$A:$G,5,FALSE)</f>
        <v>2</v>
      </c>
      <c r="O275">
        <f>VLOOKUP($A275,'Temprorary Data'!$A:$G,6,FALSE)</f>
        <v>54</v>
      </c>
      <c r="P275">
        <f>VLOOKUP($A275,'Temprorary Data'!$A:$G,7,FALSE)</f>
        <v>56</v>
      </c>
    </row>
    <row r="276" spans="1:16" ht="15.75" thickBot="1">
      <c r="A276" s="1">
        <v>275</v>
      </c>
      <c r="B276" s="2">
        <v>40555</v>
      </c>
      <c r="C276" s="1">
        <v>1</v>
      </c>
      <c r="D276" s="1">
        <v>0</v>
      </c>
      <c r="E276" s="1">
        <v>1</v>
      </c>
      <c r="F276" s="1">
        <v>21</v>
      </c>
      <c r="G276" s="3" t="b">
        <v>0</v>
      </c>
      <c r="H276" s="1">
        <v>3</v>
      </c>
      <c r="I276" s="1">
        <v>1</v>
      </c>
      <c r="J276" s="1">
        <v>0.16</v>
      </c>
      <c r="K276">
        <f>VLOOKUP($A276,'Temprorary Data'!$A:$G,2,FALSE)</f>
        <v>0.13639999999999999</v>
      </c>
      <c r="L276">
        <f>VLOOKUP($A276,'Temprorary Data'!$A:$G,3,FALSE)</f>
        <v>0.55000000000000004</v>
      </c>
      <c r="M276">
        <f>VLOOKUP($A276,'Temprorary Data'!$A:$G,4,FALSE)</f>
        <v>0.32840000000000003</v>
      </c>
      <c r="N276">
        <f>VLOOKUP($A276,'Temprorary Data'!$A:$G,5,FALSE)</f>
        <v>0</v>
      </c>
      <c r="O276">
        <f>VLOOKUP($A276,'Temprorary Data'!$A:$G,6,FALSE)</f>
        <v>57</v>
      </c>
      <c r="P276">
        <f>VLOOKUP($A276,'Temprorary Data'!$A:$G,7,FALSE)</f>
        <v>57</v>
      </c>
    </row>
    <row r="277" spans="1:16" ht="15.75" thickBot="1">
      <c r="A277" s="1">
        <v>276</v>
      </c>
      <c r="B277" s="2">
        <v>40555</v>
      </c>
      <c r="C277" s="1">
        <v>1</v>
      </c>
      <c r="D277" s="1">
        <v>0</v>
      </c>
      <c r="E277" s="1">
        <v>1</v>
      </c>
      <c r="F277" s="1">
        <v>22</v>
      </c>
      <c r="G277" s="3" t="b">
        <v>0</v>
      </c>
      <c r="H277" s="1">
        <v>3</v>
      </c>
      <c r="I277" s="1">
        <v>1</v>
      </c>
      <c r="J277" s="1">
        <v>0.16</v>
      </c>
      <c r="K277">
        <f>VLOOKUP($A277,'Temprorary Data'!$A:$G,2,FALSE)</f>
        <v>0.1212</v>
      </c>
      <c r="L277">
        <f>VLOOKUP($A277,'Temprorary Data'!$A:$G,3,FALSE)</f>
        <v>0.55000000000000004</v>
      </c>
      <c r="M277">
        <f>VLOOKUP($A277,'Temprorary Data'!$A:$G,4,FALSE)</f>
        <v>0.44779999999999998</v>
      </c>
      <c r="N277">
        <f>VLOOKUP($A277,'Temprorary Data'!$A:$G,5,FALSE)</f>
        <v>1</v>
      </c>
      <c r="O277">
        <f>VLOOKUP($A277,'Temprorary Data'!$A:$G,6,FALSE)</f>
        <v>32</v>
      </c>
      <c r="P277">
        <f>VLOOKUP($A277,'Temprorary Data'!$A:$G,7,FALSE)</f>
        <v>33</v>
      </c>
    </row>
    <row r="278" spans="1:16" ht="15.75" thickBot="1">
      <c r="A278" s="1">
        <v>277</v>
      </c>
      <c r="B278" s="2">
        <v>40555</v>
      </c>
      <c r="C278" s="1">
        <v>1</v>
      </c>
      <c r="D278" s="1">
        <v>0</v>
      </c>
      <c r="E278" s="1">
        <v>1</v>
      </c>
      <c r="F278" s="1">
        <v>23</v>
      </c>
      <c r="G278" s="3" t="b">
        <v>0</v>
      </c>
      <c r="H278" s="1">
        <v>3</v>
      </c>
      <c r="I278" s="1">
        <v>1</v>
      </c>
      <c r="J278" s="1">
        <v>0.14000000000000001</v>
      </c>
      <c r="K278">
        <f>VLOOKUP($A278,'Temprorary Data'!$A:$G,2,FALSE)</f>
        <v>0.1061</v>
      </c>
      <c r="L278">
        <f>VLOOKUP($A278,'Temprorary Data'!$A:$G,3,FALSE)</f>
        <v>0.59</v>
      </c>
      <c r="M278">
        <f>VLOOKUP($A278,'Temprorary Data'!$A:$G,4,FALSE)</f>
        <v>0.41789999999999999</v>
      </c>
      <c r="N278">
        <f>VLOOKUP($A278,'Temprorary Data'!$A:$G,5,FALSE)</f>
        <v>1</v>
      </c>
      <c r="O278">
        <f>VLOOKUP($A278,'Temprorary Data'!$A:$G,6,FALSE)</f>
        <v>19</v>
      </c>
      <c r="P278">
        <f>VLOOKUP($A278,'Temprorary Data'!$A:$G,7,FALSE)</f>
        <v>20</v>
      </c>
    </row>
    <row r="279" spans="1:16" ht="15.75" thickBot="1">
      <c r="A279" s="1">
        <v>278</v>
      </c>
      <c r="B279" s="2">
        <v>40556</v>
      </c>
      <c r="C279" s="1">
        <v>1</v>
      </c>
      <c r="D279" s="1">
        <v>0</v>
      </c>
      <c r="E279" s="1">
        <v>1</v>
      </c>
      <c r="F279" s="1">
        <v>0</v>
      </c>
      <c r="G279" s="3" t="b">
        <v>0</v>
      </c>
      <c r="H279" s="1">
        <v>4</v>
      </c>
      <c r="I279" s="1">
        <v>1</v>
      </c>
      <c r="J279" s="1">
        <v>0.14000000000000001</v>
      </c>
      <c r="K279">
        <f>VLOOKUP($A279,'Temprorary Data'!$A:$G,2,FALSE)</f>
        <v>0.1212</v>
      </c>
      <c r="L279">
        <f>VLOOKUP($A279,'Temprorary Data'!$A:$G,3,FALSE)</f>
        <v>0.59</v>
      </c>
      <c r="M279">
        <f>VLOOKUP($A279,'Temprorary Data'!$A:$G,4,FALSE)</f>
        <v>0.28360000000000002</v>
      </c>
      <c r="N279">
        <f>VLOOKUP($A279,'Temprorary Data'!$A:$G,5,FALSE)</f>
        <v>1</v>
      </c>
      <c r="O279">
        <f>VLOOKUP($A279,'Temprorary Data'!$A:$G,6,FALSE)</f>
        <v>6</v>
      </c>
      <c r="P279">
        <f>VLOOKUP($A279,'Temprorary Data'!$A:$G,7,FALSE)</f>
        <v>7</v>
      </c>
    </row>
    <row r="280" spans="1:16" ht="15.75" thickBot="1">
      <c r="A280" s="1">
        <v>279</v>
      </c>
      <c r="B280" s="2">
        <v>40556</v>
      </c>
      <c r="C280" s="1">
        <v>1</v>
      </c>
      <c r="D280" s="1">
        <v>0</v>
      </c>
      <c r="E280" s="1">
        <v>1</v>
      </c>
      <c r="F280" s="1">
        <v>1</v>
      </c>
      <c r="G280" s="3" t="b">
        <v>0</v>
      </c>
      <c r="H280" s="1">
        <v>4</v>
      </c>
      <c r="I280" s="1">
        <v>1</v>
      </c>
      <c r="J280" s="1">
        <v>0.14000000000000001</v>
      </c>
      <c r="K280">
        <f>VLOOKUP($A280,'Temprorary Data'!$A:$G,2,FALSE)</f>
        <v>0.1212</v>
      </c>
      <c r="L280">
        <f>VLOOKUP($A280,'Temprorary Data'!$A:$G,3,FALSE)</f>
        <v>0.5</v>
      </c>
      <c r="M280">
        <f>VLOOKUP($A280,'Temprorary Data'!$A:$G,4,FALSE)</f>
        <v>0.28360000000000002</v>
      </c>
      <c r="N280">
        <f>VLOOKUP($A280,'Temprorary Data'!$A:$G,5,FALSE)</f>
        <v>0</v>
      </c>
      <c r="O280">
        <f>VLOOKUP($A280,'Temprorary Data'!$A:$G,6,FALSE)</f>
        <v>2</v>
      </c>
      <c r="P280">
        <f>VLOOKUP($A280,'Temprorary Data'!$A:$G,7,FALSE)</f>
        <v>2</v>
      </c>
    </row>
    <row r="281" spans="1:16" ht="15.75" thickBot="1">
      <c r="A281" s="1">
        <v>280</v>
      </c>
      <c r="B281" s="2">
        <v>40556</v>
      </c>
      <c r="C281" s="1">
        <v>1</v>
      </c>
      <c r="D281" s="1">
        <v>0</v>
      </c>
      <c r="E281" s="1">
        <v>1</v>
      </c>
      <c r="F281" s="1">
        <v>2</v>
      </c>
      <c r="G281" s="3" t="b">
        <v>0</v>
      </c>
      <c r="H281" s="1">
        <v>4</v>
      </c>
      <c r="I281" s="1">
        <v>1</v>
      </c>
      <c r="J281" s="1">
        <v>0.14000000000000001</v>
      </c>
      <c r="K281">
        <f>VLOOKUP($A281,'Temprorary Data'!$A:$G,2,FALSE)</f>
        <v>0.1212</v>
      </c>
      <c r="L281">
        <f>VLOOKUP($A281,'Temprorary Data'!$A:$G,3,FALSE)</f>
        <v>0.5</v>
      </c>
      <c r="M281">
        <f>VLOOKUP($A281,'Temprorary Data'!$A:$G,4,FALSE)</f>
        <v>0.35820000000000002</v>
      </c>
      <c r="N281">
        <f>VLOOKUP($A281,'Temprorary Data'!$A:$G,5,FALSE)</f>
        <v>0</v>
      </c>
      <c r="O281">
        <f>VLOOKUP($A281,'Temprorary Data'!$A:$G,6,FALSE)</f>
        <v>2</v>
      </c>
      <c r="P281">
        <f>VLOOKUP($A281,'Temprorary Data'!$A:$G,7,FALSE)</f>
        <v>2</v>
      </c>
    </row>
    <row r="282" spans="1:16" ht="15.75" thickBot="1">
      <c r="A282" s="1">
        <v>281</v>
      </c>
      <c r="B282" s="2">
        <v>40556</v>
      </c>
      <c r="C282" s="1">
        <v>1</v>
      </c>
      <c r="D282" s="1">
        <v>0</v>
      </c>
      <c r="E282" s="1">
        <v>1</v>
      </c>
      <c r="F282" s="1">
        <v>3</v>
      </c>
      <c r="G282" s="3" t="b">
        <v>0</v>
      </c>
      <c r="H282" s="1">
        <v>4</v>
      </c>
      <c r="I282" s="1">
        <v>1</v>
      </c>
      <c r="J282" s="1">
        <v>0.14000000000000001</v>
      </c>
      <c r="K282">
        <f>VLOOKUP($A282,'Temprorary Data'!$A:$G,2,FALSE)</f>
        <v>0.1212</v>
      </c>
      <c r="L282">
        <f>VLOOKUP($A282,'Temprorary Data'!$A:$G,3,FALSE)</f>
        <v>0.5</v>
      </c>
      <c r="M282">
        <f>VLOOKUP($A282,'Temprorary Data'!$A:$G,4,FALSE)</f>
        <v>0.32840000000000003</v>
      </c>
      <c r="N282">
        <f>VLOOKUP($A282,'Temprorary Data'!$A:$G,5,FALSE)</f>
        <v>0</v>
      </c>
      <c r="O282">
        <f>VLOOKUP($A282,'Temprorary Data'!$A:$G,6,FALSE)</f>
        <v>3</v>
      </c>
      <c r="P282">
        <f>VLOOKUP($A282,'Temprorary Data'!$A:$G,7,FALSE)</f>
        <v>3</v>
      </c>
    </row>
    <row r="283" spans="1:16" ht="15.75" thickBot="1">
      <c r="A283" s="1">
        <v>282</v>
      </c>
      <c r="B283" s="2">
        <v>40556</v>
      </c>
      <c r="C283" s="1">
        <v>1</v>
      </c>
      <c r="D283" s="1">
        <v>0</v>
      </c>
      <c r="E283" s="1">
        <v>1</v>
      </c>
      <c r="F283" s="1">
        <v>4</v>
      </c>
      <c r="G283" s="3" t="b">
        <v>0</v>
      </c>
      <c r="H283" s="1">
        <v>4</v>
      </c>
      <c r="I283" s="1">
        <v>1</v>
      </c>
      <c r="J283" s="1">
        <v>0.14000000000000001</v>
      </c>
      <c r="K283">
        <f>VLOOKUP($A283,'Temprorary Data'!$A:$G,2,FALSE)</f>
        <v>0.1212</v>
      </c>
      <c r="L283">
        <f>VLOOKUP($A283,'Temprorary Data'!$A:$G,3,FALSE)</f>
        <v>0.5</v>
      </c>
      <c r="M283">
        <f>VLOOKUP($A283,'Temprorary Data'!$A:$G,4,FALSE)</f>
        <v>0.25369999999999998</v>
      </c>
      <c r="N283">
        <f>VLOOKUP($A283,'Temprorary Data'!$A:$G,5,FALSE)</f>
        <v>0</v>
      </c>
      <c r="O283">
        <f>VLOOKUP($A283,'Temprorary Data'!$A:$G,6,FALSE)</f>
        <v>4</v>
      </c>
      <c r="P283">
        <f>VLOOKUP($A283,'Temprorary Data'!$A:$G,7,FALSE)</f>
        <v>4</v>
      </c>
    </row>
    <row r="284" spans="1:16" ht="15.75" thickBot="1">
      <c r="A284" s="1">
        <v>283</v>
      </c>
      <c r="B284" s="2">
        <v>40556</v>
      </c>
      <c r="C284" s="1">
        <v>1</v>
      </c>
      <c r="D284" s="1">
        <v>0</v>
      </c>
      <c r="E284" s="1">
        <v>1</v>
      </c>
      <c r="F284" s="1">
        <v>5</v>
      </c>
      <c r="G284" s="3" t="b">
        <v>0</v>
      </c>
      <c r="H284" s="1">
        <v>4</v>
      </c>
      <c r="I284" s="1">
        <v>1</v>
      </c>
      <c r="J284" s="1">
        <v>0.14000000000000001</v>
      </c>
      <c r="K284">
        <f>VLOOKUP($A284,'Temprorary Data'!$A:$G,2,FALSE)</f>
        <v>0.1212</v>
      </c>
      <c r="L284">
        <f>VLOOKUP($A284,'Temprorary Data'!$A:$G,3,FALSE)</f>
        <v>0.5</v>
      </c>
      <c r="M284">
        <f>VLOOKUP($A284,'Temprorary Data'!$A:$G,4,FALSE)</f>
        <v>0.29849999999999999</v>
      </c>
      <c r="N284">
        <f>VLOOKUP($A284,'Temprorary Data'!$A:$G,5,FALSE)</f>
        <v>0</v>
      </c>
      <c r="O284">
        <f>VLOOKUP($A284,'Temprorary Data'!$A:$G,6,FALSE)</f>
        <v>3</v>
      </c>
      <c r="P284">
        <f>VLOOKUP($A284,'Temprorary Data'!$A:$G,7,FALSE)</f>
        <v>3</v>
      </c>
    </row>
    <row r="285" spans="1:16" ht="15.75" thickBot="1">
      <c r="A285" s="1">
        <v>284</v>
      </c>
      <c r="B285" s="2">
        <v>40556</v>
      </c>
      <c r="C285" s="1">
        <v>1</v>
      </c>
      <c r="D285" s="1">
        <v>0</v>
      </c>
      <c r="E285" s="1">
        <v>1</v>
      </c>
      <c r="F285" s="1">
        <v>6</v>
      </c>
      <c r="G285" s="3" t="b">
        <v>0</v>
      </c>
      <c r="H285" s="1">
        <v>4</v>
      </c>
      <c r="I285" s="1">
        <v>1</v>
      </c>
      <c r="J285" s="1">
        <v>0.12</v>
      </c>
      <c r="K285">
        <f>VLOOKUP($A285,'Temprorary Data'!$A:$G,2,FALSE)</f>
        <v>0.1515</v>
      </c>
      <c r="L285">
        <f>VLOOKUP($A285,'Temprorary Data'!$A:$G,3,FALSE)</f>
        <v>0.54</v>
      </c>
      <c r="M285">
        <f>VLOOKUP($A285,'Temprorary Data'!$A:$G,4,FALSE)</f>
        <v>0.1343</v>
      </c>
      <c r="N285">
        <f>VLOOKUP($A285,'Temprorary Data'!$A:$G,5,FALSE)</f>
        <v>0</v>
      </c>
      <c r="O285">
        <f>VLOOKUP($A285,'Temprorary Data'!$A:$G,6,FALSE)</f>
        <v>28</v>
      </c>
      <c r="P285">
        <f>VLOOKUP($A285,'Temprorary Data'!$A:$G,7,FALSE)</f>
        <v>28</v>
      </c>
    </row>
    <row r="286" spans="1:16" ht="15.75" thickBot="1">
      <c r="A286" s="1">
        <v>285</v>
      </c>
      <c r="B286" s="2">
        <v>40556</v>
      </c>
      <c r="C286" s="1">
        <v>1</v>
      </c>
      <c r="D286" s="1">
        <v>0</v>
      </c>
      <c r="E286" s="1">
        <v>1</v>
      </c>
      <c r="F286" s="1">
        <v>7</v>
      </c>
      <c r="G286" s="3" t="b">
        <v>0</v>
      </c>
      <c r="H286" s="1">
        <v>4</v>
      </c>
      <c r="I286" s="1">
        <v>1</v>
      </c>
      <c r="J286" s="1">
        <v>0.12</v>
      </c>
      <c r="K286">
        <f>VLOOKUP($A286,'Temprorary Data'!$A:$G,2,FALSE)</f>
        <v>0.1515</v>
      </c>
      <c r="L286">
        <f>VLOOKUP($A286,'Temprorary Data'!$A:$G,3,FALSE)</f>
        <v>0.54</v>
      </c>
      <c r="M286">
        <f>VLOOKUP($A286,'Temprorary Data'!$A:$G,4,FALSE)</f>
        <v>0.1343</v>
      </c>
      <c r="N286">
        <f>VLOOKUP($A286,'Temprorary Data'!$A:$G,5,FALSE)</f>
        <v>0</v>
      </c>
      <c r="O286">
        <f>VLOOKUP($A286,'Temprorary Data'!$A:$G,6,FALSE)</f>
        <v>72</v>
      </c>
      <c r="P286">
        <f>VLOOKUP($A286,'Temprorary Data'!$A:$G,7,FALSE)</f>
        <v>72</v>
      </c>
    </row>
    <row r="287" spans="1:16" ht="15.75" thickBot="1">
      <c r="A287" s="1">
        <v>286</v>
      </c>
      <c r="B287" s="2">
        <v>40556</v>
      </c>
      <c r="C287" s="1">
        <v>1</v>
      </c>
      <c r="D287" s="1">
        <v>0</v>
      </c>
      <c r="E287" s="1">
        <v>1</v>
      </c>
      <c r="F287" s="1">
        <v>8</v>
      </c>
      <c r="G287" s="3" t="b">
        <v>0</v>
      </c>
      <c r="H287" s="1">
        <v>4</v>
      </c>
      <c r="I287" s="1">
        <v>1</v>
      </c>
      <c r="J287" s="1">
        <v>0.14000000000000001</v>
      </c>
      <c r="K287">
        <f>VLOOKUP($A287,'Temprorary Data'!$A:$G,2,FALSE)</f>
        <v>0.13639999999999999</v>
      </c>
      <c r="L287">
        <f>VLOOKUP($A287,'Temprorary Data'!$A:$G,3,FALSE)</f>
        <v>0.5</v>
      </c>
      <c r="M287">
        <f>VLOOKUP($A287,'Temprorary Data'!$A:$G,4,FALSE)</f>
        <v>0.19400000000000001</v>
      </c>
      <c r="N287">
        <f>VLOOKUP($A287,'Temprorary Data'!$A:$G,5,FALSE)</f>
        <v>5</v>
      </c>
      <c r="O287">
        <f>VLOOKUP($A287,'Temprorary Data'!$A:$G,6,FALSE)</f>
        <v>197</v>
      </c>
      <c r="P287">
        <f>VLOOKUP($A287,'Temprorary Data'!$A:$G,7,FALSE)</f>
        <v>202</v>
      </c>
    </row>
    <row r="288" spans="1:16" ht="15.75" thickBot="1">
      <c r="A288" s="1">
        <v>287</v>
      </c>
      <c r="B288" s="2">
        <v>40556</v>
      </c>
      <c r="C288" s="1">
        <v>1</v>
      </c>
      <c r="D288" s="1">
        <v>0</v>
      </c>
      <c r="E288" s="1">
        <v>1</v>
      </c>
      <c r="F288" s="1">
        <v>9</v>
      </c>
      <c r="G288" s="3" t="b">
        <v>0</v>
      </c>
      <c r="H288" s="1">
        <v>4</v>
      </c>
      <c r="I288" s="1">
        <v>1</v>
      </c>
      <c r="J288" s="1">
        <v>0.14000000000000001</v>
      </c>
      <c r="K288">
        <f>VLOOKUP($A288,'Temprorary Data'!$A:$G,2,FALSE)</f>
        <v>0.1212</v>
      </c>
      <c r="L288">
        <f>VLOOKUP($A288,'Temprorary Data'!$A:$G,3,FALSE)</f>
        <v>0.5</v>
      </c>
      <c r="M288">
        <f>VLOOKUP($A288,'Temprorary Data'!$A:$G,4,FALSE)</f>
        <v>0.32840000000000003</v>
      </c>
      <c r="N288">
        <f>VLOOKUP($A288,'Temprorary Data'!$A:$G,5,FALSE)</f>
        <v>2</v>
      </c>
      <c r="O288">
        <f>VLOOKUP($A288,'Temprorary Data'!$A:$G,6,FALSE)</f>
        <v>137</v>
      </c>
      <c r="P288">
        <f>VLOOKUP($A288,'Temprorary Data'!$A:$G,7,FALSE)</f>
        <v>139</v>
      </c>
    </row>
    <row r="289" spans="1:16" ht="15.75" thickBot="1">
      <c r="A289" s="1">
        <v>288</v>
      </c>
      <c r="B289" s="2">
        <v>40556</v>
      </c>
      <c r="C289" s="1">
        <v>1</v>
      </c>
      <c r="D289" s="1">
        <v>0</v>
      </c>
      <c r="E289" s="1">
        <v>1</v>
      </c>
      <c r="F289" s="1">
        <v>10</v>
      </c>
      <c r="G289" s="3" t="b">
        <v>0</v>
      </c>
      <c r="H289" s="1">
        <v>4</v>
      </c>
      <c r="I289" s="1">
        <v>2</v>
      </c>
      <c r="J289" s="1">
        <v>0.16</v>
      </c>
      <c r="K289">
        <f>VLOOKUP($A289,'Temprorary Data'!$A:$G,2,FALSE)</f>
        <v>0.13639999999999999</v>
      </c>
      <c r="L289">
        <f>VLOOKUP($A289,'Temprorary Data'!$A:$G,3,FALSE)</f>
        <v>0.5</v>
      </c>
      <c r="M289">
        <f>VLOOKUP($A289,'Temprorary Data'!$A:$G,4,FALSE)</f>
        <v>0.35820000000000002</v>
      </c>
      <c r="N289">
        <f>VLOOKUP($A289,'Temprorary Data'!$A:$G,5,FALSE)</f>
        <v>2</v>
      </c>
      <c r="O289">
        <f>VLOOKUP($A289,'Temprorary Data'!$A:$G,6,FALSE)</f>
        <v>36</v>
      </c>
      <c r="P289">
        <f>VLOOKUP($A289,'Temprorary Data'!$A:$G,7,FALSE)</f>
        <v>38</v>
      </c>
    </row>
    <row r="290" spans="1:16" ht="15.75" thickBot="1">
      <c r="A290" s="1">
        <v>289</v>
      </c>
      <c r="B290" s="2">
        <v>40556</v>
      </c>
      <c r="C290" s="1">
        <v>1</v>
      </c>
      <c r="D290" s="1">
        <v>0</v>
      </c>
      <c r="E290" s="1">
        <v>1</v>
      </c>
      <c r="F290" s="1">
        <v>11</v>
      </c>
      <c r="G290" s="3" t="b">
        <v>0</v>
      </c>
      <c r="H290" s="1">
        <v>4</v>
      </c>
      <c r="I290" s="1">
        <v>2</v>
      </c>
      <c r="J290" s="1">
        <v>0.2</v>
      </c>
      <c r="K290">
        <f>VLOOKUP($A290,'Temprorary Data'!$A:$G,2,FALSE)</f>
        <v>0.16669999999999999</v>
      </c>
      <c r="L290">
        <f>VLOOKUP($A290,'Temprorary Data'!$A:$G,3,FALSE)</f>
        <v>0.44</v>
      </c>
      <c r="M290">
        <f>VLOOKUP($A290,'Temprorary Data'!$A:$G,4,FALSE)</f>
        <v>0.44779999999999998</v>
      </c>
      <c r="N290">
        <f>VLOOKUP($A290,'Temprorary Data'!$A:$G,5,FALSE)</f>
        <v>4</v>
      </c>
      <c r="O290">
        <f>VLOOKUP($A290,'Temprorary Data'!$A:$G,6,FALSE)</f>
        <v>33</v>
      </c>
      <c r="P290">
        <f>VLOOKUP($A290,'Temprorary Data'!$A:$G,7,FALSE)</f>
        <v>37</v>
      </c>
    </row>
    <row r="291" spans="1:16" ht="15.75" thickBot="1">
      <c r="A291" s="1">
        <v>290</v>
      </c>
      <c r="B291" s="2">
        <v>40556</v>
      </c>
      <c r="C291" s="1">
        <v>1</v>
      </c>
      <c r="D291" s="1">
        <v>0</v>
      </c>
      <c r="E291" s="1">
        <v>1</v>
      </c>
      <c r="F291" s="1">
        <v>12</v>
      </c>
      <c r="G291" s="3" t="b">
        <v>0</v>
      </c>
      <c r="H291" s="1">
        <v>4</v>
      </c>
      <c r="I291" s="1">
        <v>1</v>
      </c>
      <c r="J291" s="1">
        <v>0.2</v>
      </c>
      <c r="K291">
        <f>VLOOKUP($A291,'Temprorary Data'!$A:$G,2,FALSE)</f>
        <v>0.16669999999999999</v>
      </c>
      <c r="L291">
        <f>VLOOKUP($A291,'Temprorary Data'!$A:$G,3,FALSE)</f>
        <v>0.44</v>
      </c>
      <c r="M291">
        <f>VLOOKUP($A291,'Temprorary Data'!$A:$G,4,FALSE)</f>
        <v>0.41789999999999999</v>
      </c>
      <c r="N291">
        <f>VLOOKUP($A291,'Temprorary Data'!$A:$G,5,FALSE)</f>
        <v>3</v>
      </c>
      <c r="O291">
        <f>VLOOKUP($A291,'Temprorary Data'!$A:$G,6,FALSE)</f>
        <v>49</v>
      </c>
      <c r="P291">
        <f>VLOOKUP($A291,'Temprorary Data'!$A:$G,7,FALSE)</f>
        <v>52</v>
      </c>
    </row>
    <row r="292" spans="1:16" ht="15.75" thickBot="1">
      <c r="A292" s="1">
        <v>291</v>
      </c>
      <c r="B292" s="2">
        <v>40556</v>
      </c>
      <c r="C292" s="1">
        <v>1</v>
      </c>
      <c r="D292" s="1">
        <v>0</v>
      </c>
      <c r="E292" s="1">
        <v>1</v>
      </c>
      <c r="F292" s="1">
        <v>13</v>
      </c>
      <c r="G292" s="3" t="b">
        <v>0</v>
      </c>
      <c r="H292" s="1">
        <v>4</v>
      </c>
      <c r="I292" s="1">
        <v>1</v>
      </c>
      <c r="J292" s="1">
        <v>0.22</v>
      </c>
      <c r="K292">
        <f>VLOOKUP($A292,'Temprorary Data'!$A:$G,2,FALSE)</f>
        <v>0.19700000000000001</v>
      </c>
      <c r="L292">
        <f>VLOOKUP($A292,'Temprorary Data'!$A:$G,3,FALSE)</f>
        <v>0.41</v>
      </c>
      <c r="M292">
        <f>VLOOKUP($A292,'Temprorary Data'!$A:$G,4,FALSE)</f>
        <v>0.44779999999999998</v>
      </c>
      <c r="N292">
        <f>VLOOKUP($A292,'Temprorary Data'!$A:$G,5,FALSE)</f>
        <v>2</v>
      </c>
      <c r="O292">
        <f>VLOOKUP($A292,'Temprorary Data'!$A:$G,6,FALSE)</f>
        <v>81</v>
      </c>
      <c r="P292">
        <f>VLOOKUP($A292,'Temprorary Data'!$A:$G,7,FALSE)</f>
        <v>83</v>
      </c>
    </row>
    <row r="293" spans="1:16" ht="15.75" thickBot="1">
      <c r="A293" s="1">
        <v>292</v>
      </c>
      <c r="B293" s="2">
        <v>40556</v>
      </c>
      <c r="C293" s="1">
        <v>1</v>
      </c>
      <c r="D293" s="1">
        <v>0</v>
      </c>
      <c r="E293" s="1">
        <v>1</v>
      </c>
      <c r="F293" s="1">
        <v>14</v>
      </c>
      <c r="G293" s="3" t="b">
        <v>0</v>
      </c>
      <c r="H293" s="1">
        <v>4</v>
      </c>
      <c r="I293" s="1">
        <v>1</v>
      </c>
      <c r="J293" s="1">
        <v>0.22</v>
      </c>
      <c r="K293">
        <f>VLOOKUP($A293,'Temprorary Data'!$A:$G,2,FALSE)</f>
        <v>0.19700000000000001</v>
      </c>
      <c r="L293">
        <f>VLOOKUP($A293,'Temprorary Data'!$A:$G,3,FALSE)</f>
        <v>0.41</v>
      </c>
      <c r="M293">
        <f>VLOOKUP($A293,'Temprorary Data'!$A:$G,4,FALSE)</f>
        <v>0.3881</v>
      </c>
      <c r="N293">
        <f>VLOOKUP($A293,'Temprorary Data'!$A:$G,5,FALSE)</f>
        <v>3</v>
      </c>
      <c r="O293">
        <f>VLOOKUP($A293,'Temprorary Data'!$A:$G,6,FALSE)</f>
        <v>39</v>
      </c>
      <c r="P293">
        <f>VLOOKUP($A293,'Temprorary Data'!$A:$G,7,FALSE)</f>
        <v>42</v>
      </c>
    </row>
    <row r="294" spans="1:16" ht="15.75" thickBot="1">
      <c r="A294" s="1">
        <v>293</v>
      </c>
      <c r="B294" s="2">
        <v>40556</v>
      </c>
      <c r="C294" s="1">
        <v>1</v>
      </c>
      <c r="D294" s="1">
        <v>0</v>
      </c>
      <c r="E294" s="1">
        <v>1</v>
      </c>
      <c r="F294" s="1">
        <v>15</v>
      </c>
      <c r="G294" s="3" t="b">
        <v>0</v>
      </c>
      <c r="H294" s="1">
        <v>4</v>
      </c>
      <c r="I294" s="1">
        <v>1</v>
      </c>
      <c r="J294" s="1">
        <v>0.24</v>
      </c>
      <c r="K294">
        <f>VLOOKUP($A294,'Temprorary Data'!$A:$G,2,FALSE)</f>
        <v>0.21210000000000001</v>
      </c>
      <c r="L294">
        <f>VLOOKUP($A294,'Temprorary Data'!$A:$G,3,FALSE)</f>
        <v>0.38</v>
      </c>
      <c r="M294">
        <f>VLOOKUP($A294,'Temprorary Data'!$A:$G,4,FALSE)</f>
        <v>0.29849999999999999</v>
      </c>
      <c r="N294">
        <f>VLOOKUP($A294,'Temprorary Data'!$A:$G,5,FALSE)</f>
        <v>5</v>
      </c>
      <c r="O294">
        <f>VLOOKUP($A294,'Temprorary Data'!$A:$G,6,FALSE)</f>
        <v>55</v>
      </c>
      <c r="P294">
        <f>VLOOKUP($A294,'Temprorary Data'!$A:$G,7,FALSE)</f>
        <v>60</v>
      </c>
    </row>
    <row r="295" spans="1:16" ht="15.75" thickBot="1">
      <c r="A295" s="1">
        <v>294</v>
      </c>
      <c r="B295" s="2">
        <v>40556</v>
      </c>
      <c r="C295" s="1">
        <v>1</v>
      </c>
      <c r="D295" s="1">
        <v>0</v>
      </c>
      <c r="E295" s="1">
        <v>1</v>
      </c>
      <c r="F295" s="1">
        <v>16</v>
      </c>
      <c r="G295" s="3" t="b">
        <v>0</v>
      </c>
      <c r="H295" s="1">
        <v>4</v>
      </c>
      <c r="I295" s="1">
        <v>1</v>
      </c>
      <c r="J295" s="1">
        <v>0.24</v>
      </c>
      <c r="K295">
        <f>VLOOKUP($A295,'Temprorary Data'!$A:$G,2,FALSE)</f>
        <v>0.21210000000000001</v>
      </c>
      <c r="L295">
        <f>VLOOKUP($A295,'Temprorary Data'!$A:$G,3,FALSE)</f>
        <v>0.38</v>
      </c>
      <c r="M295">
        <f>VLOOKUP($A295,'Temprorary Data'!$A:$G,4,FALSE)</f>
        <v>0.35820000000000002</v>
      </c>
      <c r="N295">
        <f>VLOOKUP($A295,'Temprorary Data'!$A:$G,5,FALSE)</f>
        <v>2</v>
      </c>
      <c r="O295">
        <f>VLOOKUP($A295,'Temprorary Data'!$A:$G,6,FALSE)</f>
        <v>76</v>
      </c>
      <c r="P295">
        <f>VLOOKUP($A295,'Temprorary Data'!$A:$G,7,FALSE)</f>
        <v>78</v>
      </c>
    </row>
    <row r="296" spans="1:16" ht="15.75" thickBot="1">
      <c r="A296" s="1">
        <v>295</v>
      </c>
      <c r="B296" s="2">
        <v>40556</v>
      </c>
      <c r="C296" s="1">
        <v>1</v>
      </c>
      <c r="D296" s="1">
        <v>0</v>
      </c>
      <c r="E296" s="1">
        <v>1</v>
      </c>
      <c r="F296" s="1">
        <v>17</v>
      </c>
      <c r="G296" s="3" t="b">
        <v>0</v>
      </c>
      <c r="H296" s="1">
        <v>4</v>
      </c>
      <c r="I296" s="1">
        <v>1</v>
      </c>
      <c r="J296" s="1">
        <v>0.2</v>
      </c>
      <c r="K296">
        <f>VLOOKUP($A296,'Temprorary Data'!$A:$G,2,FALSE)</f>
        <v>0.18179999999999999</v>
      </c>
      <c r="L296">
        <f>VLOOKUP($A296,'Temprorary Data'!$A:$G,3,FALSE)</f>
        <v>0.4</v>
      </c>
      <c r="M296">
        <f>VLOOKUP($A296,'Temprorary Data'!$A:$G,4,FALSE)</f>
        <v>0.28360000000000002</v>
      </c>
      <c r="N296">
        <f>VLOOKUP($A296,'Temprorary Data'!$A:$G,5,FALSE)</f>
        <v>4</v>
      </c>
      <c r="O296">
        <f>VLOOKUP($A296,'Temprorary Data'!$A:$G,6,FALSE)</f>
        <v>158</v>
      </c>
      <c r="P296">
        <f>VLOOKUP($A296,'Temprorary Data'!$A:$G,7,FALSE)</f>
        <v>162</v>
      </c>
    </row>
    <row r="297" spans="1:16" ht="15.75" thickBot="1">
      <c r="A297" s="1">
        <v>296</v>
      </c>
      <c r="B297" s="2">
        <v>40556</v>
      </c>
      <c r="C297" s="1">
        <v>1</v>
      </c>
      <c r="D297" s="1">
        <v>0</v>
      </c>
      <c r="E297" s="1">
        <v>1</v>
      </c>
      <c r="F297" s="1">
        <v>18</v>
      </c>
      <c r="G297" s="3" t="b">
        <v>0</v>
      </c>
      <c r="H297" s="1">
        <v>4</v>
      </c>
      <c r="I297" s="1">
        <v>1</v>
      </c>
      <c r="J297" s="1">
        <v>0.2</v>
      </c>
      <c r="K297">
        <f>VLOOKUP($A297,'Temprorary Data'!$A:$G,2,FALSE)</f>
        <v>0.18179999999999999</v>
      </c>
      <c r="L297">
        <f>VLOOKUP($A297,'Temprorary Data'!$A:$G,3,FALSE)</f>
        <v>0.4</v>
      </c>
      <c r="M297">
        <f>VLOOKUP($A297,'Temprorary Data'!$A:$G,4,FALSE)</f>
        <v>0.32840000000000003</v>
      </c>
      <c r="N297">
        <f>VLOOKUP($A297,'Temprorary Data'!$A:$G,5,FALSE)</f>
        <v>3</v>
      </c>
      <c r="O297">
        <f>VLOOKUP($A297,'Temprorary Data'!$A:$G,6,FALSE)</f>
        <v>141</v>
      </c>
      <c r="P297">
        <f>VLOOKUP($A297,'Temprorary Data'!$A:$G,7,FALSE)</f>
        <v>144</v>
      </c>
    </row>
    <row r="298" spans="1:16" ht="15.75" thickBot="1">
      <c r="A298" s="1">
        <v>297</v>
      </c>
      <c r="B298" s="2">
        <v>40556</v>
      </c>
      <c r="C298" s="1">
        <v>1</v>
      </c>
      <c r="D298" s="1">
        <v>0</v>
      </c>
      <c r="E298" s="1">
        <v>1</v>
      </c>
      <c r="F298" s="1">
        <v>19</v>
      </c>
      <c r="G298" s="3" t="b">
        <v>0</v>
      </c>
      <c r="H298" s="1">
        <v>4</v>
      </c>
      <c r="I298" s="1">
        <v>1</v>
      </c>
      <c r="J298" s="1">
        <v>0.16</v>
      </c>
      <c r="K298">
        <f>VLOOKUP($A298,'Temprorary Data'!$A:$G,2,FALSE)</f>
        <v>0.1515</v>
      </c>
      <c r="L298">
        <f>VLOOKUP($A298,'Temprorary Data'!$A:$G,3,FALSE)</f>
        <v>0.47</v>
      </c>
      <c r="M298">
        <f>VLOOKUP($A298,'Temprorary Data'!$A:$G,4,FALSE)</f>
        <v>0.25369999999999998</v>
      </c>
      <c r="N298">
        <f>VLOOKUP($A298,'Temprorary Data'!$A:$G,5,FALSE)</f>
        <v>1</v>
      </c>
      <c r="O298">
        <f>VLOOKUP($A298,'Temprorary Data'!$A:$G,6,FALSE)</f>
        <v>98</v>
      </c>
      <c r="P298">
        <f>VLOOKUP($A298,'Temprorary Data'!$A:$G,7,FALSE)</f>
        <v>99</v>
      </c>
    </row>
    <row r="299" spans="1:16" ht="15.75" thickBot="1">
      <c r="A299" s="1">
        <v>298</v>
      </c>
      <c r="B299" s="2">
        <v>40556</v>
      </c>
      <c r="C299" s="1">
        <v>1</v>
      </c>
      <c r="D299" s="1">
        <v>0</v>
      </c>
      <c r="E299" s="1">
        <v>1</v>
      </c>
      <c r="F299" s="1">
        <v>20</v>
      </c>
      <c r="G299" s="3" t="b">
        <v>0</v>
      </c>
      <c r="H299" s="1">
        <v>4</v>
      </c>
      <c r="I299" s="1">
        <v>1</v>
      </c>
      <c r="J299" s="1">
        <v>0.16</v>
      </c>
      <c r="K299">
        <f>VLOOKUP($A299,'Temprorary Data'!$A:$G,2,FALSE)</f>
        <v>0.1515</v>
      </c>
      <c r="L299">
        <f>VLOOKUP($A299,'Temprorary Data'!$A:$G,3,FALSE)</f>
        <v>0.47</v>
      </c>
      <c r="M299">
        <f>VLOOKUP($A299,'Temprorary Data'!$A:$G,4,FALSE)</f>
        <v>0.22389999999999999</v>
      </c>
      <c r="N299">
        <f>VLOOKUP($A299,'Temprorary Data'!$A:$G,5,FALSE)</f>
        <v>0</v>
      </c>
      <c r="O299">
        <f>VLOOKUP($A299,'Temprorary Data'!$A:$G,6,FALSE)</f>
        <v>64</v>
      </c>
      <c r="P299">
        <f>VLOOKUP($A299,'Temprorary Data'!$A:$G,7,FALSE)</f>
        <v>64</v>
      </c>
    </row>
    <row r="300" spans="1:16" ht="15.75" thickBot="1">
      <c r="A300" s="1">
        <v>299</v>
      </c>
      <c r="B300" s="2">
        <v>40556</v>
      </c>
      <c r="C300" s="1">
        <v>1</v>
      </c>
      <c r="D300" s="1">
        <v>0</v>
      </c>
      <c r="E300" s="1">
        <v>1</v>
      </c>
      <c r="F300" s="1">
        <v>21</v>
      </c>
      <c r="G300" s="3" t="b">
        <v>0</v>
      </c>
      <c r="H300" s="1">
        <v>4</v>
      </c>
      <c r="I300" s="1">
        <v>1</v>
      </c>
      <c r="J300" s="1">
        <v>0.14000000000000001</v>
      </c>
      <c r="K300">
        <f>VLOOKUP($A300,'Temprorary Data'!$A:$G,2,FALSE)</f>
        <v>0.1212</v>
      </c>
      <c r="L300">
        <f>VLOOKUP($A300,'Temprorary Data'!$A:$G,3,FALSE)</f>
        <v>0.46</v>
      </c>
      <c r="M300">
        <f>VLOOKUP($A300,'Temprorary Data'!$A:$G,4,FALSE)</f>
        <v>0.29849999999999999</v>
      </c>
      <c r="N300">
        <f>VLOOKUP($A300,'Temprorary Data'!$A:$G,5,FALSE)</f>
        <v>0</v>
      </c>
      <c r="O300">
        <f>VLOOKUP($A300,'Temprorary Data'!$A:$G,6,FALSE)</f>
        <v>40</v>
      </c>
      <c r="P300">
        <f>VLOOKUP($A300,'Temprorary Data'!$A:$G,7,FALSE)</f>
        <v>40</v>
      </c>
    </row>
    <row r="301" spans="1:16" ht="15.75" thickBot="1">
      <c r="A301" s="1">
        <v>300</v>
      </c>
      <c r="B301" s="2">
        <v>40556</v>
      </c>
      <c r="C301" s="1">
        <v>1</v>
      </c>
      <c r="D301" s="1">
        <v>0</v>
      </c>
      <c r="E301" s="1">
        <v>1</v>
      </c>
      <c r="F301" s="1">
        <v>22</v>
      </c>
      <c r="G301" s="3" t="b">
        <v>0</v>
      </c>
      <c r="H301" s="1">
        <v>4</v>
      </c>
      <c r="I301" s="1">
        <v>1</v>
      </c>
      <c r="J301" s="1">
        <v>0.14000000000000001</v>
      </c>
      <c r="K301">
        <f>VLOOKUP($A301,'Temprorary Data'!$A:$G,2,FALSE)</f>
        <v>0.1212</v>
      </c>
      <c r="L301">
        <f>VLOOKUP($A301,'Temprorary Data'!$A:$G,3,FALSE)</f>
        <v>0.46</v>
      </c>
      <c r="M301">
        <f>VLOOKUP($A301,'Temprorary Data'!$A:$G,4,FALSE)</f>
        <v>0.32840000000000003</v>
      </c>
      <c r="N301">
        <f>VLOOKUP($A301,'Temprorary Data'!$A:$G,5,FALSE)</f>
        <v>0</v>
      </c>
      <c r="O301">
        <f>VLOOKUP($A301,'Temprorary Data'!$A:$G,6,FALSE)</f>
        <v>30</v>
      </c>
      <c r="P301">
        <f>VLOOKUP($A301,'Temprorary Data'!$A:$G,7,FALSE)</f>
        <v>30</v>
      </c>
    </row>
    <row r="302" spans="1:16" ht="15.75" thickBot="1">
      <c r="A302" s="1">
        <v>301</v>
      </c>
      <c r="B302" s="2">
        <v>40556</v>
      </c>
      <c r="C302" s="1">
        <v>1</v>
      </c>
      <c r="D302" s="1">
        <v>0</v>
      </c>
      <c r="E302" s="1">
        <v>1</v>
      </c>
      <c r="F302" s="1">
        <v>23</v>
      </c>
      <c r="G302" s="3" t="b">
        <v>0</v>
      </c>
      <c r="H302" s="1">
        <v>4</v>
      </c>
      <c r="I302" s="1">
        <v>1</v>
      </c>
      <c r="J302" s="1">
        <v>0.12</v>
      </c>
      <c r="K302">
        <f>VLOOKUP($A302,'Temprorary Data'!$A:$G,2,FALSE)</f>
        <v>0.13639999999999999</v>
      </c>
      <c r="L302">
        <f>VLOOKUP($A302,'Temprorary Data'!$A:$G,3,FALSE)</f>
        <v>0.5</v>
      </c>
      <c r="M302">
        <f>VLOOKUP($A302,'Temprorary Data'!$A:$G,4,FALSE)</f>
        <v>0.19400000000000001</v>
      </c>
      <c r="N302">
        <f>VLOOKUP($A302,'Temprorary Data'!$A:$G,5,FALSE)</f>
        <v>1</v>
      </c>
      <c r="O302">
        <f>VLOOKUP($A302,'Temprorary Data'!$A:$G,6,FALSE)</f>
        <v>14</v>
      </c>
      <c r="P302">
        <f>VLOOKUP($A302,'Temprorary Data'!$A:$G,7,FALSE)</f>
        <v>15</v>
      </c>
    </row>
    <row r="303" spans="1:16" ht="15.75" thickBot="1">
      <c r="A303" s="1">
        <v>302</v>
      </c>
      <c r="B303" s="2">
        <v>40557</v>
      </c>
      <c r="C303" s="1">
        <v>1</v>
      </c>
      <c r="D303" s="1">
        <v>0</v>
      </c>
      <c r="E303" s="1">
        <v>1</v>
      </c>
      <c r="F303" s="1">
        <v>0</v>
      </c>
      <c r="G303" s="3" t="b">
        <v>0</v>
      </c>
      <c r="H303" s="1">
        <v>5</v>
      </c>
      <c r="I303" s="1">
        <v>1</v>
      </c>
      <c r="J303" s="1">
        <v>0.12</v>
      </c>
      <c r="K303">
        <f>VLOOKUP($A303,'Temprorary Data'!$A:$G,2,FALSE)</f>
        <v>0.13639999999999999</v>
      </c>
      <c r="L303">
        <f>VLOOKUP($A303,'Temprorary Data'!$A:$G,3,FALSE)</f>
        <v>0.5</v>
      </c>
      <c r="M303">
        <f>VLOOKUP($A303,'Temprorary Data'!$A:$G,4,FALSE)</f>
        <v>0.19400000000000001</v>
      </c>
      <c r="N303">
        <f>VLOOKUP($A303,'Temprorary Data'!$A:$G,5,FALSE)</f>
        <v>0</v>
      </c>
      <c r="O303">
        <f>VLOOKUP($A303,'Temprorary Data'!$A:$G,6,FALSE)</f>
        <v>14</v>
      </c>
      <c r="P303">
        <f>VLOOKUP($A303,'Temprorary Data'!$A:$G,7,FALSE)</f>
        <v>14</v>
      </c>
    </row>
    <row r="304" spans="1:16" ht="15.75" thickBot="1">
      <c r="A304" s="1">
        <v>303</v>
      </c>
      <c r="B304" s="2">
        <v>40557</v>
      </c>
      <c r="C304" s="1">
        <v>1</v>
      </c>
      <c r="D304" s="1">
        <v>0</v>
      </c>
      <c r="E304" s="1">
        <v>1</v>
      </c>
      <c r="F304" s="1">
        <v>1</v>
      </c>
      <c r="G304" s="3" t="b">
        <v>0</v>
      </c>
      <c r="H304" s="1">
        <v>5</v>
      </c>
      <c r="I304" s="1">
        <v>1</v>
      </c>
      <c r="J304" s="1">
        <v>0.1</v>
      </c>
      <c r="K304">
        <f>VLOOKUP($A304,'Temprorary Data'!$A:$G,2,FALSE)</f>
        <v>0.1212</v>
      </c>
      <c r="L304">
        <f>VLOOKUP($A304,'Temprorary Data'!$A:$G,3,FALSE)</f>
        <v>0.54</v>
      </c>
      <c r="M304">
        <f>VLOOKUP($A304,'Temprorary Data'!$A:$G,4,FALSE)</f>
        <v>0.16420000000000001</v>
      </c>
      <c r="N304">
        <f>VLOOKUP($A304,'Temprorary Data'!$A:$G,5,FALSE)</f>
        <v>0</v>
      </c>
      <c r="O304">
        <f>VLOOKUP($A304,'Temprorary Data'!$A:$G,6,FALSE)</f>
        <v>5</v>
      </c>
      <c r="P304">
        <f>VLOOKUP($A304,'Temprorary Data'!$A:$G,7,FALSE)</f>
        <v>5</v>
      </c>
    </row>
    <row r="305" spans="1:16" ht="15.75" thickBot="1">
      <c r="A305" s="1">
        <v>304</v>
      </c>
      <c r="B305" s="2">
        <v>40557</v>
      </c>
      <c r="C305" s="1">
        <v>1</v>
      </c>
      <c r="D305" s="1">
        <v>0</v>
      </c>
      <c r="E305" s="1">
        <v>1</v>
      </c>
      <c r="F305" s="1">
        <v>2</v>
      </c>
      <c r="G305" s="3" t="b">
        <v>0</v>
      </c>
      <c r="H305" s="1">
        <v>5</v>
      </c>
      <c r="I305" s="1">
        <v>1</v>
      </c>
      <c r="J305" s="1">
        <v>0.1</v>
      </c>
      <c r="K305">
        <f>VLOOKUP($A305,'Temprorary Data'!$A:$G,2,FALSE)</f>
        <v>0.1212</v>
      </c>
      <c r="L305">
        <f>VLOOKUP($A305,'Temprorary Data'!$A:$G,3,FALSE)</f>
        <v>0.54</v>
      </c>
      <c r="M305">
        <f>VLOOKUP($A305,'Temprorary Data'!$A:$G,4,FALSE)</f>
        <v>0.1343</v>
      </c>
      <c r="N305">
        <f>VLOOKUP($A305,'Temprorary Data'!$A:$G,5,FALSE)</f>
        <v>0</v>
      </c>
      <c r="O305">
        <f>VLOOKUP($A305,'Temprorary Data'!$A:$G,6,FALSE)</f>
        <v>1</v>
      </c>
      <c r="P305">
        <f>VLOOKUP($A305,'Temprorary Data'!$A:$G,7,FALSE)</f>
        <v>1</v>
      </c>
    </row>
    <row r="306" spans="1:16" ht="15.75" thickBot="1">
      <c r="A306" s="1">
        <v>305</v>
      </c>
      <c r="B306" s="2">
        <v>40557</v>
      </c>
      <c r="C306" s="1">
        <v>1</v>
      </c>
      <c r="D306" s="1">
        <v>0</v>
      </c>
      <c r="E306" s="1">
        <v>1</v>
      </c>
      <c r="F306" s="1">
        <v>3</v>
      </c>
      <c r="G306" s="3" t="b">
        <v>0</v>
      </c>
      <c r="H306" s="1">
        <v>5</v>
      </c>
      <c r="I306" s="1">
        <v>1</v>
      </c>
      <c r="J306" s="1">
        <v>0.1</v>
      </c>
      <c r="K306">
        <f>VLOOKUP($A306,'Temprorary Data'!$A:$G,2,FALSE)</f>
        <v>0.13639999999999999</v>
      </c>
      <c r="L306">
        <f>VLOOKUP($A306,'Temprorary Data'!$A:$G,3,FALSE)</f>
        <v>0.54</v>
      </c>
      <c r="M306">
        <f>VLOOKUP($A306,'Temprorary Data'!$A:$G,4,FALSE)</f>
        <v>0.1045</v>
      </c>
      <c r="N306">
        <f>VLOOKUP($A306,'Temprorary Data'!$A:$G,5,FALSE)</f>
        <v>0</v>
      </c>
      <c r="O306">
        <f>VLOOKUP($A306,'Temprorary Data'!$A:$G,6,FALSE)</f>
        <v>1</v>
      </c>
      <c r="P306">
        <f>VLOOKUP($A306,'Temprorary Data'!$A:$G,7,FALSE)</f>
        <v>1</v>
      </c>
    </row>
    <row r="307" spans="1:16" ht="15.75" thickBot="1">
      <c r="A307" s="1">
        <v>306</v>
      </c>
      <c r="B307" s="2">
        <v>40557</v>
      </c>
      <c r="C307" s="1">
        <v>1</v>
      </c>
      <c r="D307" s="1">
        <v>0</v>
      </c>
      <c r="E307" s="1">
        <v>1</v>
      </c>
      <c r="F307" s="1">
        <v>5</v>
      </c>
      <c r="G307" s="3" t="b">
        <v>0</v>
      </c>
      <c r="H307" s="1">
        <v>5</v>
      </c>
      <c r="I307" s="1">
        <v>1</v>
      </c>
      <c r="J307" s="1">
        <v>0.1</v>
      </c>
      <c r="K307">
        <f>VLOOKUP($A307,'Temprorary Data'!$A:$G,2,FALSE)</f>
        <v>0.13639999999999999</v>
      </c>
      <c r="L307">
        <f>VLOOKUP($A307,'Temprorary Data'!$A:$G,3,FALSE)</f>
        <v>0.54</v>
      </c>
      <c r="M307">
        <f>VLOOKUP($A307,'Temprorary Data'!$A:$G,4,FALSE)</f>
        <v>8.9599999999999999E-2</v>
      </c>
      <c r="N307">
        <f>VLOOKUP($A307,'Temprorary Data'!$A:$G,5,FALSE)</f>
        <v>0</v>
      </c>
      <c r="O307">
        <f>VLOOKUP($A307,'Temprorary Data'!$A:$G,6,FALSE)</f>
        <v>8</v>
      </c>
      <c r="P307">
        <f>VLOOKUP($A307,'Temprorary Data'!$A:$G,7,FALSE)</f>
        <v>8</v>
      </c>
    </row>
    <row r="308" spans="1:16" ht="15.75" thickBot="1">
      <c r="A308" s="1">
        <v>307</v>
      </c>
      <c r="B308" s="2">
        <v>40557</v>
      </c>
      <c r="C308" s="1">
        <v>1</v>
      </c>
      <c r="D308" s="1">
        <v>0</v>
      </c>
      <c r="E308" s="1">
        <v>1</v>
      </c>
      <c r="F308" s="1">
        <v>6</v>
      </c>
      <c r="G308" s="3" t="b">
        <v>0</v>
      </c>
      <c r="H308" s="1">
        <v>5</v>
      </c>
      <c r="I308" s="1">
        <v>1</v>
      </c>
      <c r="J308" s="1">
        <v>0.1</v>
      </c>
      <c r="K308">
        <f>VLOOKUP($A308,'Temprorary Data'!$A:$G,2,FALSE)</f>
        <v>0.18179999999999999</v>
      </c>
      <c r="L308">
        <f>VLOOKUP($A308,'Temprorary Data'!$A:$G,3,FALSE)</f>
        <v>0.54</v>
      </c>
      <c r="M308">
        <f>VLOOKUP($A308,'Temprorary Data'!$A:$G,4,FALSE)</f>
        <v>0</v>
      </c>
      <c r="N308">
        <f>VLOOKUP($A308,'Temprorary Data'!$A:$G,5,FALSE)</f>
        <v>0</v>
      </c>
      <c r="O308">
        <f>VLOOKUP($A308,'Temprorary Data'!$A:$G,6,FALSE)</f>
        <v>17</v>
      </c>
      <c r="P308">
        <f>VLOOKUP($A308,'Temprorary Data'!$A:$G,7,FALSE)</f>
        <v>17</v>
      </c>
    </row>
    <row r="309" spans="1:16" ht="15.75" thickBot="1">
      <c r="A309" s="1">
        <v>308</v>
      </c>
      <c r="B309" s="2">
        <v>40557</v>
      </c>
      <c r="C309" s="1">
        <v>1</v>
      </c>
      <c r="D309" s="1">
        <v>0</v>
      </c>
      <c r="E309" s="1">
        <v>1</v>
      </c>
      <c r="F309" s="1">
        <v>7</v>
      </c>
      <c r="G309" s="3" t="b">
        <v>0</v>
      </c>
      <c r="H309" s="1">
        <v>5</v>
      </c>
      <c r="I309" s="1">
        <v>1</v>
      </c>
      <c r="J309" s="1">
        <v>0.1</v>
      </c>
      <c r="K309">
        <f>VLOOKUP($A309,'Temprorary Data'!$A:$G,2,FALSE)</f>
        <v>0.1212</v>
      </c>
      <c r="L309">
        <f>VLOOKUP($A309,'Temprorary Data'!$A:$G,3,FALSE)</f>
        <v>0.74</v>
      </c>
      <c r="M309">
        <f>VLOOKUP($A309,'Temprorary Data'!$A:$G,4,FALSE)</f>
        <v>0.16420000000000001</v>
      </c>
      <c r="N309">
        <f>VLOOKUP($A309,'Temprorary Data'!$A:$G,5,FALSE)</f>
        <v>0</v>
      </c>
      <c r="O309">
        <f>VLOOKUP($A309,'Temprorary Data'!$A:$G,6,FALSE)</f>
        <v>70</v>
      </c>
      <c r="P309">
        <f>VLOOKUP($A309,'Temprorary Data'!$A:$G,7,FALSE)</f>
        <v>70</v>
      </c>
    </row>
    <row r="310" spans="1:16" ht="15.75" thickBot="1">
      <c r="A310" s="1">
        <v>309</v>
      </c>
      <c r="B310" s="2">
        <v>40557</v>
      </c>
      <c r="C310" s="1">
        <v>1</v>
      </c>
      <c r="D310" s="1">
        <v>0</v>
      </c>
      <c r="E310" s="1">
        <v>1</v>
      </c>
      <c r="F310" s="1">
        <v>8</v>
      </c>
      <c r="G310" s="3" t="b">
        <v>0</v>
      </c>
      <c r="H310" s="1">
        <v>5</v>
      </c>
      <c r="I310" s="1">
        <v>1</v>
      </c>
      <c r="J310" s="1">
        <v>0.12</v>
      </c>
      <c r="K310">
        <f>VLOOKUP($A310,'Temprorary Data'!$A:$G,2,FALSE)</f>
        <v>0.16669999999999999</v>
      </c>
      <c r="L310">
        <f>VLOOKUP($A310,'Temprorary Data'!$A:$G,3,FALSE)</f>
        <v>0.68</v>
      </c>
      <c r="M310">
        <f>VLOOKUP($A310,'Temprorary Data'!$A:$G,4,FALSE)</f>
        <v>0</v>
      </c>
      <c r="N310">
        <f>VLOOKUP($A310,'Temprorary Data'!$A:$G,5,FALSE)</f>
        <v>2</v>
      </c>
      <c r="O310">
        <f>VLOOKUP($A310,'Temprorary Data'!$A:$G,6,FALSE)</f>
        <v>156</v>
      </c>
      <c r="P310">
        <f>VLOOKUP($A310,'Temprorary Data'!$A:$G,7,FALSE)</f>
        <v>158</v>
      </c>
    </row>
    <row r="311" spans="1:16" ht="15.75" thickBot="1">
      <c r="A311" s="1">
        <v>310</v>
      </c>
      <c r="B311" s="2">
        <v>40557</v>
      </c>
      <c r="C311" s="1">
        <v>1</v>
      </c>
      <c r="D311" s="1">
        <v>0</v>
      </c>
      <c r="E311" s="1">
        <v>1</v>
      </c>
      <c r="F311" s="1">
        <v>9</v>
      </c>
      <c r="G311" s="3" t="b">
        <v>0</v>
      </c>
      <c r="H311" s="1">
        <v>5</v>
      </c>
      <c r="I311" s="1">
        <v>1</v>
      </c>
      <c r="J311" s="1">
        <v>0.14000000000000001</v>
      </c>
      <c r="K311">
        <f>VLOOKUP($A311,'Temprorary Data'!$A:$G,2,FALSE)</f>
        <v>0.1515</v>
      </c>
      <c r="L311">
        <f>VLOOKUP($A311,'Temprorary Data'!$A:$G,3,FALSE)</f>
        <v>0.69</v>
      </c>
      <c r="M311">
        <f>VLOOKUP($A311,'Temprorary Data'!$A:$G,4,FALSE)</f>
        <v>0.1343</v>
      </c>
      <c r="N311">
        <f>VLOOKUP($A311,'Temprorary Data'!$A:$G,5,FALSE)</f>
        <v>0</v>
      </c>
      <c r="O311">
        <f>VLOOKUP($A311,'Temprorary Data'!$A:$G,6,FALSE)</f>
        <v>117</v>
      </c>
      <c r="P311">
        <f>VLOOKUP($A311,'Temprorary Data'!$A:$G,7,FALSE)</f>
        <v>117</v>
      </c>
    </row>
    <row r="312" spans="1:16" ht="15.75" thickBot="1">
      <c r="A312" s="1">
        <v>311</v>
      </c>
      <c r="B312" s="2">
        <v>40557</v>
      </c>
      <c r="C312" s="1">
        <v>1</v>
      </c>
      <c r="D312" s="1">
        <v>0</v>
      </c>
      <c r="E312" s="1">
        <v>1</v>
      </c>
      <c r="F312" s="1">
        <v>10</v>
      </c>
      <c r="G312" s="3" t="b">
        <v>0</v>
      </c>
      <c r="H312" s="1">
        <v>5</v>
      </c>
      <c r="I312" s="1">
        <v>1</v>
      </c>
      <c r="J312" s="1">
        <v>0.18</v>
      </c>
      <c r="K312">
        <f>VLOOKUP($A312,'Temprorary Data'!$A:$G,2,FALSE)</f>
        <v>0.18179999999999999</v>
      </c>
      <c r="L312">
        <f>VLOOKUP($A312,'Temprorary Data'!$A:$G,3,FALSE)</f>
        <v>0.55000000000000004</v>
      </c>
      <c r="M312">
        <f>VLOOKUP($A312,'Temprorary Data'!$A:$G,4,FALSE)</f>
        <v>0.19400000000000001</v>
      </c>
      <c r="N312">
        <f>VLOOKUP($A312,'Temprorary Data'!$A:$G,5,FALSE)</f>
        <v>4</v>
      </c>
      <c r="O312">
        <f>VLOOKUP($A312,'Temprorary Data'!$A:$G,6,FALSE)</f>
        <v>40</v>
      </c>
      <c r="P312">
        <f>VLOOKUP($A312,'Temprorary Data'!$A:$G,7,FALSE)</f>
        <v>44</v>
      </c>
    </row>
    <row r="313" spans="1:16" ht="15.75" thickBot="1">
      <c r="A313" s="1">
        <v>312</v>
      </c>
      <c r="B313" s="2">
        <v>40557</v>
      </c>
      <c r="C313" s="1">
        <v>1</v>
      </c>
      <c r="D313" s="1">
        <v>0</v>
      </c>
      <c r="E313" s="1">
        <v>1</v>
      </c>
      <c r="F313" s="1">
        <v>11</v>
      </c>
      <c r="G313" s="3" t="b">
        <v>0</v>
      </c>
      <c r="H313" s="1">
        <v>5</v>
      </c>
      <c r="I313" s="1">
        <v>1</v>
      </c>
      <c r="J313" s="1">
        <v>0.18</v>
      </c>
      <c r="K313">
        <f>VLOOKUP($A313,'Temprorary Data'!$A:$G,2,FALSE)</f>
        <v>0.16669999999999999</v>
      </c>
      <c r="L313">
        <f>VLOOKUP($A313,'Temprorary Data'!$A:$G,3,FALSE)</f>
        <v>0.51</v>
      </c>
      <c r="M313">
        <f>VLOOKUP($A313,'Temprorary Data'!$A:$G,4,FALSE)</f>
        <v>0.28360000000000002</v>
      </c>
      <c r="N313">
        <f>VLOOKUP($A313,'Temprorary Data'!$A:$G,5,FALSE)</f>
        <v>6</v>
      </c>
      <c r="O313">
        <f>VLOOKUP($A313,'Temprorary Data'!$A:$G,6,FALSE)</f>
        <v>47</v>
      </c>
      <c r="P313">
        <f>VLOOKUP($A313,'Temprorary Data'!$A:$G,7,FALSE)</f>
        <v>53</v>
      </c>
    </row>
    <row r="314" spans="1:16" ht="15.75" thickBot="1">
      <c r="A314" s="1">
        <v>313</v>
      </c>
      <c r="B314" s="2">
        <v>40557</v>
      </c>
      <c r="C314" s="1">
        <v>1</v>
      </c>
      <c r="D314" s="1">
        <v>0</v>
      </c>
      <c r="E314" s="1">
        <v>1</v>
      </c>
      <c r="F314" s="1">
        <v>12</v>
      </c>
      <c r="G314" s="3" t="b">
        <v>0</v>
      </c>
      <c r="H314" s="1">
        <v>5</v>
      </c>
      <c r="I314" s="1">
        <v>1</v>
      </c>
      <c r="J314" s="1">
        <v>0.2</v>
      </c>
      <c r="K314">
        <f>VLOOKUP($A314,'Temprorary Data'!$A:$G,2,FALSE)</f>
        <v>0.19700000000000001</v>
      </c>
      <c r="L314">
        <f>VLOOKUP($A314,'Temprorary Data'!$A:$G,3,FALSE)</f>
        <v>0.44</v>
      </c>
      <c r="M314">
        <f>VLOOKUP($A314,'Temprorary Data'!$A:$G,4,FALSE)</f>
        <v>0.25369999999999998</v>
      </c>
      <c r="N314">
        <f>VLOOKUP($A314,'Temprorary Data'!$A:$G,5,FALSE)</f>
        <v>2</v>
      </c>
      <c r="O314">
        <f>VLOOKUP($A314,'Temprorary Data'!$A:$G,6,FALSE)</f>
        <v>59</v>
      </c>
      <c r="P314">
        <f>VLOOKUP($A314,'Temprorary Data'!$A:$G,7,FALSE)</f>
        <v>61</v>
      </c>
    </row>
    <row r="315" spans="1:16" ht="15.75" thickBot="1">
      <c r="A315" s="1">
        <v>314</v>
      </c>
      <c r="B315" s="2">
        <v>40557</v>
      </c>
      <c r="C315" s="1">
        <v>1</v>
      </c>
      <c r="D315" s="1">
        <v>0</v>
      </c>
      <c r="E315" s="1">
        <v>1</v>
      </c>
      <c r="F315" s="1">
        <v>13</v>
      </c>
      <c r="G315" s="3" t="b">
        <v>0</v>
      </c>
      <c r="H315" s="1">
        <v>5</v>
      </c>
      <c r="I315" s="1">
        <v>1</v>
      </c>
      <c r="J315" s="1">
        <v>0.22</v>
      </c>
      <c r="K315">
        <f>VLOOKUP($A315,'Temprorary Data'!$A:$G,2,FALSE)</f>
        <v>0.19700000000000001</v>
      </c>
      <c r="L315">
        <f>VLOOKUP($A315,'Temprorary Data'!$A:$G,3,FALSE)</f>
        <v>0.37</v>
      </c>
      <c r="M315">
        <f>VLOOKUP($A315,'Temprorary Data'!$A:$G,4,FALSE)</f>
        <v>0.3881</v>
      </c>
      <c r="N315">
        <f>VLOOKUP($A315,'Temprorary Data'!$A:$G,5,FALSE)</f>
        <v>4</v>
      </c>
      <c r="O315">
        <f>VLOOKUP($A315,'Temprorary Data'!$A:$G,6,FALSE)</f>
        <v>73</v>
      </c>
      <c r="P315">
        <f>VLOOKUP($A315,'Temprorary Data'!$A:$G,7,FALSE)</f>
        <v>77</v>
      </c>
    </row>
    <row r="316" spans="1:16" ht="15.75" thickBot="1">
      <c r="A316" s="1">
        <v>315</v>
      </c>
      <c r="B316" s="2">
        <v>40557</v>
      </c>
      <c r="C316" s="1">
        <v>1</v>
      </c>
      <c r="D316" s="1">
        <v>0</v>
      </c>
      <c r="E316" s="1">
        <v>1</v>
      </c>
      <c r="F316" s="1">
        <v>14</v>
      </c>
      <c r="G316" s="3" t="b">
        <v>0</v>
      </c>
      <c r="H316" s="1">
        <v>5</v>
      </c>
      <c r="I316" s="1">
        <v>1</v>
      </c>
      <c r="J316" s="1">
        <v>0.22</v>
      </c>
      <c r="K316">
        <f>VLOOKUP($A316,'Temprorary Data'!$A:$G,2,FALSE)</f>
        <v>0.21210000000000001</v>
      </c>
      <c r="L316">
        <f>VLOOKUP($A316,'Temprorary Data'!$A:$G,3,FALSE)</f>
        <v>0.41</v>
      </c>
      <c r="M316">
        <f>VLOOKUP($A316,'Temprorary Data'!$A:$G,4,FALSE)</f>
        <v>0.28360000000000002</v>
      </c>
      <c r="N316">
        <f>VLOOKUP($A316,'Temprorary Data'!$A:$G,5,FALSE)</f>
        <v>5</v>
      </c>
      <c r="O316">
        <f>VLOOKUP($A316,'Temprorary Data'!$A:$G,6,FALSE)</f>
        <v>59</v>
      </c>
      <c r="P316">
        <f>VLOOKUP($A316,'Temprorary Data'!$A:$G,7,FALSE)</f>
        <v>64</v>
      </c>
    </row>
    <row r="317" spans="1:16" ht="15.75" thickBot="1">
      <c r="A317" s="1">
        <v>316</v>
      </c>
      <c r="B317" s="2">
        <v>40557</v>
      </c>
      <c r="C317" s="1">
        <v>1</v>
      </c>
      <c r="D317" s="1">
        <v>0</v>
      </c>
      <c r="E317" s="1">
        <v>1</v>
      </c>
      <c r="F317" s="1">
        <v>15</v>
      </c>
      <c r="G317" s="3" t="b">
        <v>0</v>
      </c>
      <c r="H317" s="1">
        <v>5</v>
      </c>
      <c r="I317" s="1">
        <v>1</v>
      </c>
      <c r="J317" s="1">
        <v>0.24</v>
      </c>
      <c r="K317">
        <f>VLOOKUP($A317,'Temprorary Data'!$A:$G,2,FALSE)</f>
        <v>0.2424</v>
      </c>
      <c r="L317">
        <f>VLOOKUP($A317,'Temprorary Data'!$A:$G,3,FALSE)</f>
        <v>0.38</v>
      </c>
      <c r="M317">
        <f>VLOOKUP($A317,'Temprorary Data'!$A:$G,4,FALSE)</f>
        <v>0.16420000000000001</v>
      </c>
      <c r="N317">
        <f>VLOOKUP($A317,'Temprorary Data'!$A:$G,5,FALSE)</f>
        <v>9</v>
      </c>
      <c r="O317">
        <f>VLOOKUP($A317,'Temprorary Data'!$A:$G,6,FALSE)</f>
        <v>59</v>
      </c>
      <c r="P317">
        <f>VLOOKUP($A317,'Temprorary Data'!$A:$G,7,FALSE)</f>
        <v>68</v>
      </c>
    </row>
    <row r="318" spans="1:16" ht="15.75" thickBot="1">
      <c r="A318" s="1">
        <v>317</v>
      </c>
      <c r="B318" s="2">
        <v>40557</v>
      </c>
      <c r="C318" s="1">
        <v>1</v>
      </c>
      <c r="D318" s="1">
        <v>0</v>
      </c>
      <c r="E318" s="1">
        <v>1</v>
      </c>
      <c r="F318" s="1">
        <v>16</v>
      </c>
      <c r="G318" s="3" t="b">
        <v>0</v>
      </c>
      <c r="H318" s="1">
        <v>5</v>
      </c>
      <c r="I318" s="1">
        <v>1</v>
      </c>
      <c r="J318" s="1">
        <v>0.22</v>
      </c>
      <c r="K318">
        <f>VLOOKUP($A318,'Temprorary Data'!$A:$G,2,FALSE)</f>
        <v>0.2424</v>
      </c>
      <c r="L318">
        <f>VLOOKUP($A318,'Temprorary Data'!$A:$G,3,FALSE)</f>
        <v>0.41</v>
      </c>
      <c r="M318">
        <f>VLOOKUP($A318,'Temprorary Data'!$A:$G,4,FALSE)</f>
        <v>0.1045</v>
      </c>
      <c r="N318">
        <f>VLOOKUP($A318,'Temprorary Data'!$A:$G,5,FALSE)</f>
        <v>3</v>
      </c>
      <c r="O318">
        <f>VLOOKUP($A318,'Temprorary Data'!$A:$G,6,FALSE)</f>
        <v>87</v>
      </c>
      <c r="P318">
        <f>VLOOKUP($A318,'Temprorary Data'!$A:$G,7,FALSE)</f>
        <v>90</v>
      </c>
    </row>
    <row r="319" spans="1:16" ht="15.75" thickBot="1">
      <c r="A319" s="1">
        <v>318</v>
      </c>
      <c r="B319" s="2">
        <v>40557</v>
      </c>
      <c r="C319" s="1">
        <v>1</v>
      </c>
      <c r="D319" s="1">
        <v>0</v>
      </c>
      <c r="E319" s="1">
        <v>1</v>
      </c>
      <c r="F319" s="1">
        <v>17</v>
      </c>
      <c r="G319" s="3" t="b">
        <v>0</v>
      </c>
      <c r="H319" s="1">
        <v>5</v>
      </c>
      <c r="I319" s="1">
        <v>1</v>
      </c>
      <c r="J319" s="1">
        <v>0.22</v>
      </c>
      <c r="K319">
        <f>VLOOKUP($A319,'Temprorary Data'!$A:$G,2,FALSE)</f>
        <v>0.2273</v>
      </c>
      <c r="L319">
        <f>VLOOKUP($A319,'Temprorary Data'!$A:$G,3,FALSE)</f>
        <v>0.41</v>
      </c>
      <c r="M319">
        <f>VLOOKUP($A319,'Temprorary Data'!$A:$G,4,FALSE)</f>
        <v>0.16420000000000001</v>
      </c>
      <c r="N319">
        <f>VLOOKUP($A319,'Temprorary Data'!$A:$G,5,FALSE)</f>
        <v>4</v>
      </c>
      <c r="O319">
        <f>VLOOKUP($A319,'Temprorary Data'!$A:$G,6,FALSE)</f>
        <v>155</v>
      </c>
      <c r="P319">
        <f>VLOOKUP($A319,'Temprorary Data'!$A:$G,7,FALSE)</f>
        <v>159</v>
      </c>
    </row>
    <row r="320" spans="1:16" ht="15.75" thickBot="1">
      <c r="A320" s="1">
        <v>319</v>
      </c>
      <c r="B320" s="2">
        <v>40557</v>
      </c>
      <c r="C320" s="1">
        <v>1</v>
      </c>
      <c r="D320" s="1">
        <v>0</v>
      </c>
      <c r="E320" s="1">
        <v>1</v>
      </c>
      <c r="F320" s="1">
        <v>18</v>
      </c>
      <c r="G320" s="3" t="b">
        <v>0</v>
      </c>
      <c r="H320" s="1">
        <v>5</v>
      </c>
      <c r="I320" s="1">
        <v>1</v>
      </c>
      <c r="J320" s="1">
        <v>0.2</v>
      </c>
      <c r="K320">
        <f>VLOOKUP($A320,'Temprorary Data'!$A:$G,2,FALSE)</f>
        <v>0.2576</v>
      </c>
      <c r="L320">
        <f>VLOOKUP($A320,'Temprorary Data'!$A:$G,3,FALSE)</f>
        <v>0.47</v>
      </c>
      <c r="M320">
        <f>VLOOKUP($A320,'Temprorary Data'!$A:$G,4,FALSE)</f>
        <v>0</v>
      </c>
      <c r="N320">
        <f>VLOOKUP($A320,'Temprorary Data'!$A:$G,5,FALSE)</f>
        <v>5</v>
      </c>
      <c r="O320">
        <f>VLOOKUP($A320,'Temprorary Data'!$A:$G,6,FALSE)</f>
        <v>134</v>
      </c>
      <c r="P320">
        <f>VLOOKUP($A320,'Temprorary Data'!$A:$G,7,FALSE)</f>
        <v>139</v>
      </c>
    </row>
    <row r="321" spans="1:16" ht="15.75" thickBot="1">
      <c r="A321" s="1">
        <v>320</v>
      </c>
      <c r="B321" s="2">
        <v>40557</v>
      </c>
      <c r="C321" s="1">
        <v>1</v>
      </c>
      <c r="D321" s="1">
        <v>0</v>
      </c>
      <c r="E321" s="1">
        <v>1</v>
      </c>
      <c r="F321" s="1">
        <v>19</v>
      </c>
      <c r="G321" s="3" t="b">
        <v>0</v>
      </c>
      <c r="H321" s="1">
        <v>5</v>
      </c>
      <c r="I321" s="1">
        <v>1</v>
      </c>
      <c r="J321" s="1">
        <v>0.16</v>
      </c>
      <c r="K321">
        <f>VLOOKUP($A321,'Temprorary Data'!$A:$G,2,FALSE)</f>
        <v>0.19700000000000001</v>
      </c>
      <c r="L321">
        <f>VLOOKUP($A321,'Temprorary Data'!$A:$G,3,FALSE)</f>
        <v>0.59</v>
      </c>
      <c r="M321">
        <f>VLOOKUP($A321,'Temprorary Data'!$A:$G,4,FALSE)</f>
        <v>8.9599999999999999E-2</v>
      </c>
      <c r="N321">
        <f>VLOOKUP($A321,'Temprorary Data'!$A:$G,5,FALSE)</f>
        <v>3</v>
      </c>
      <c r="O321">
        <f>VLOOKUP($A321,'Temprorary Data'!$A:$G,6,FALSE)</f>
        <v>89</v>
      </c>
      <c r="P321">
        <f>VLOOKUP($A321,'Temprorary Data'!$A:$G,7,FALSE)</f>
        <v>92</v>
      </c>
    </row>
    <row r="322" spans="1:16" ht="15.75" thickBot="1">
      <c r="A322" s="1">
        <v>321</v>
      </c>
      <c r="B322" s="2">
        <v>40557</v>
      </c>
      <c r="C322" s="1">
        <v>1</v>
      </c>
      <c r="D322" s="1">
        <v>0</v>
      </c>
      <c r="E322" s="1">
        <v>1</v>
      </c>
      <c r="F322" s="1">
        <v>20</v>
      </c>
      <c r="G322" s="3" t="b">
        <v>0</v>
      </c>
      <c r="H322" s="1">
        <v>5</v>
      </c>
      <c r="I322" s="1">
        <v>1</v>
      </c>
      <c r="J322" s="1">
        <v>0.18</v>
      </c>
      <c r="K322">
        <f>VLOOKUP($A322,'Temprorary Data'!$A:$G,2,FALSE)</f>
        <v>0.2424</v>
      </c>
      <c r="L322">
        <f>VLOOKUP($A322,'Temprorary Data'!$A:$G,3,FALSE)</f>
        <v>0.59</v>
      </c>
      <c r="M322">
        <f>VLOOKUP($A322,'Temprorary Data'!$A:$G,4,FALSE)</f>
        <v>0</v>
      </c>
      <c r="N322">
        <f>VLOOKUP($A322,'Temprorary Data'!$A:$G,5,FALSE)</f>
        <v>0</v>
      </c>
      <c r="O322">
        <f>VLOOKUP($A322,'Temprorary Data'!$A:$G,6,FALSE)</f>
        <v>68</v>
      </c>
      <c r="P322">
        <f>VLOOKUP($A322,'Temprorary Data'!$A:$G,7,FALSE)</f>
        <v>68</v>
      </c>
    </row>
    <row r="323" spans="1:16" ht="15.75" thickBot="1">
      <c r="A323" s="1">
        <v>322</v>
      </c>
      <c r="B323" s="2">
        <v>40557</v>
      </c>
      <c r="C323" s="1">
        <v>1</v>
      </c>
      <c r="D323" s="1">
        <v>0</v>
      </c>
      <c r="E323" s="1">
        <v>1</v>
      </c>
      <c r="F323" s="1">
        <v>21</v>
      </c>
      <c r="G323" s="3" t="b">
        <v>0</v>
      </c>
      <c r="H323" s="1">
        <v>5</v>
      </c>
      <c r="I323" s="1">
        <v>1</v>
      </c>
      <c r="J323" s="1">
        <v>0.16</v>
      </c>
      <c r="K323">
        <f>VLOOKUP($A323,'Temprorary Data'!$A:$G,2,FALSE)</f>
        <v>0.2273</v>
      </c>
      <c r="L323">
        <f>VLOOKUP($A323,'Temprorary Data'!$A:$G,3,FALSE)</f>
        <v>0.69</v>
      </c>
      <c r="M323">
        <f>VLOOKUP($A323,'Temprorary Data'!$A:$G,4,FALSE)</f>
        <v>0</v>
      </c>
      <c r="N323">
        <f>VLOOKUP($A323,'Temprorary Data'!$A:$G,5,FALSE)</f>
        <v>4</v>
      </c>
      <c r="O323">
        <f>VLOOKUP($A323,'Temprorary Data'!$A:$G,6,FALSE)</f>
        <v>48</v>
      </c>
      <c r="P323">
        <f>VLOOKUP($A323,'Temprorary Data'!$A:$G,7,FALSE)</f>
        <v>52</v>
      </c>
    </row>
    <row r="324" spans="1:16" ht="15.75" thickBot="1">
      <c r="A324" s="1">
        <v>323</v>
      </c>
      <c r="B324" s="2">
        <v>40557</v>
      </c>
      <c r="C324" s="1">
        <v>1</v>
      </c>
      <c r="D324" s="1">
        <v>0</v>
      </c>
      <c r="E324" s="1">
        <v>1</v>
      </c>
      <c r="F324" s="1">
        <v>22</v>
      </c>
      <c r="G324" s="3" t="b">
        <v>0</v>
      </c>
      <c r="H324" s="1">
        <v>5</v>
      </c>
      <c r="I324" s="1">
        <v>2</v>
      </c>
      <c r="J324" s="1">
        <v>0.16</v>
      </c>
      <c r="K324">
        <f>VLOOKUP($A324,'Temprorary Data'!$A:$G,2,FALSE)</f>
        <v>0.2273</v>
      </c>
      <c r="L324">
        <f>VLOOKUP($A324,'Temprorary Data'!$A:$G,3,FALSE)</f>
        <v>0.69</v>
      </c>
      <c r="M324">
        <f>VLOOKUP($A324,'Temprorary Data'!$A:$G,4,FALSE)</f>
        <v>0</v>
      </c>
      <c r="N324">
        <f>VLOOKUP($A324,'Temprorary Data'!$A:$G,5,FALSE)</f>
        <v>2</v>
      </c>
      <c r="O324">
        <f>VLOOKUP($A324,'Temprorary Data'!$A:$G,6,FALSE)</f>
        <v>34</v>
      </c>
      <c r="P324">
        <f>VLOOKUP($A324,'Temprorary Data'!$A:$G,7,FALSE)</f>
        <v>36</v>
      </c>
    </row>
    <row r="325" spans="1:16" ht="15.75" thickBot="1">
      <c r="A325" s="1">
        <v>324</v>
      </c>
      <c r="B325" s="2">
        <v>40557</v>
      </c>
      <c r="C325" s="1">
        <v>1</v>
      </c>
      <c r="D325" s="1">
        <v>0</v>
      </c>
      <c r="E325" s="1">
        <v>1</v>
      </c>
      <c r="F325" s="1">
        <v>23</v>
      </c>
      <c r="G325" s="3" t="b">
        <v>0</v>
      </c>
      <c r="H325" s="1">
        <v>5</v>
      </c>
      <c r="I325" s="1">
        <v>2</v>
      </c>
      <c r="J325" s="1">
        <v>0.18</v>
      </c>
      <c r="K325">
        <f>VLOOKUP($A325,'Temprorary Data'!$A:$G,2,FALSE)</f>
        <v>0.2424</v>
      </c>
      <c r="L325">
        <f>VLOOKUP($A325,'Temprorary Data'!$A:$G,3,FALSE)</f>
        <v>0.55000000000000004</v>
      </c>
      <c r="M325">
        <f>VLOOKUP($A325,'Temprorary Data'!$A:$G,4,FALSE)</f>
        <v>0</v>
      </c>
      <c r="N325">
        <f>VLOOKUP($A325,'Temprorary Data'!$A:$G,5,FALSE)</f>
        <v>1</v>
      </c>
      <c r="O325">
        <f>VLOOKUP($A325,'Temprorary Data'!$A:$G,6,FALSE)</f>
        <v>26</v>
      </c>
      <c r="P325">
        <f>VLOOKUP($A325,'Temprorary Data'!$A:$G,7,FALSE)</f>
        <v>27</v>
      </c>
    </row>
    <row r="326" spans="1:16" ht="15.75" thickBot="1">
      <c r="A326" s="1">
        <v>325</v>
      </c>
      <c r="B326" s="2">
        <v>40558</v>
      </c>
      <c r="C326" s="1">
        <v>1</v>
      </c>
      <c r="D326" s="1">
        <v>0</v>
      </c>
      <c r="E326" s="1">
        <v>1</v>
      </c>
      <c r="F326" s="1">
        <v>0</v>
      </c>
      <c r="G326" s="3" t="b">
        <v>0</v>
      </c>
      <c r="H326" s="1">
        <v>6</v>
      </c>
      <c r="I326" s="1">
        <v>1</v>
      </c>
      <c r="J326" s="1">
        <v>0.18</v>
      </c>
      <c r="K326">
        <f>VLOOKUP($A326,'Temprorary Data'!$A:$G,2,FALSE)</f>
        <v>0.2424</v>
      </c>
      <c r="L326">
        <f>VLOOKUP($A326,'Temprorary Data'!$A:$G,3,FALSE)</f>
        <v>0.55000000000000004</v>
      </c>
      <c r="M326">
        <f>VLOOKUP($A326,'Temprorary Data'!$A:$G,4,FALSE)</f>
        <v>0</v>
      </c>
      <c r="N326">
        <f>VLOOKUP($A326,'Temprorary Data'!$A:$G,5,FALSE)</f>
        <v>3</v>
      </c>
      <c r="O326">
        <f>VLOOKUP($A326,'Temprorary Data'!$A:$G,6,FALSE)</f>
        <v>25</v>
      </c>
      <c r="P326">
        <f>VLOOKUP($A326,'Temprorary Data'!$A:$G,7,FALSE)</f>
        <v>28</v>
      </c>
    </row>
    <row r="327" spans="1:16" ht="15.75" thickBot="1">
      <c r="A327" s="1">
        <v>326</v>
      </c>
      <c r="B327" s="2">
        <v>40558</v>
      </c>
      <c r="C327" s="1">
        <v>1</v>
      </c>
      <c r="D327" s="1">
        <v>0</v>
      </c>
      <c r="E327" s="1">
        <v>1</v>
      </c>
      <c r="F327" s="1">
        <v>1</v>
      </c>
      <c r="G327" s="3" t="b">
        <v>0</v>
      </c>
      <c r="H327" s="1">
        <v>6</v>
      </c>
      <c r="I327" s="1">
        <v>2</v>
      </c>
      <c r="J327" s="1">
        <v>0.16</v>
      </c>
      <c r="K327">
        <f>VLOOKUP($A327,'Temprorary Data'!$A:$G,2,FALSE)</f>
        <v>0.19700000000000001</v>
      </c>
      <c r="L327">
        <f>VLOOKUP($A327,'Temprorary Data'!$A:$G,3,FALSE)</f>
        <v>0.59</v>
      </c>
      <c r="M327">
        <f>VLOOKUP($A327,'Temprorary Data'!$A:$G,4,FALSE)</f>
        <v>8.9599999999999999E-2</v>
      </c>
      <c r="N327">
        <f>VLOOKUP($A327,'Temprorary Data'!$A:$G,5,FALSE)</f>
        <v>2</v>
      </c>
      <c r="O327">
        <f>VLOOKUP($A327,'Temprorary Data'!$A:$G,6,FALSE)</f>
        <v>18</v>
      </c>
      <c r="P327">
        <f>VLOOKUP($A327,'Temprorary Data'!$A:$G,7,FALSE)</f>
        <v>20</v>
      </c>
    </row>
    <row r="328" spans="1:16" ht="15.75" thickBot="1">
      <c r="A328" s="1">
        <v>327</v>
      </c>
      <c r="B328" s="2">
        <v>40558</v>
      </c>
      <c r="C328" s="1">
        <v>1</v>
      </c>
      <c r="D328" s="1">
        <v>0</v>
      </c>
      <c r="E328" s="1">
        <v>1</v>
      </c>
      <c r="F328" s="1">
        <v>2</v>
      </c>
      <c r="G328" s="3" t="b">
        <v>0</v>
      </c>
      <c r="H328" s="1">
        <v>6</v>
      </c>
      <c r="I328" s="1">
        <v>2</v>
      </c>
      <c r="J328" s="1">
        <v>0.16</v>
      </c>
      <c r="K328">
        <f>VLOOKUP($A328,'Temprorary Data'!$A:$G,2,FALSE)</f>
        <v>0.19700000000000001</v>
      </c>
      <c r="L328">
        <f>VLOOKUP($A328,'Temprorary Data'!$A:$G,3,FALSE)</f>
        <v>0.59</v>
      </c>
      <c r="M328">
        <f>VLOOKUP($A328,'Temprorary Data'!$A:$G,4,FALSE)</f>
        <v>8.9599999999999999E-2</v>
      </c>
      <c r="N328">
        <f>VLOOKUP($A328,'Temprorary Data'!$A:$G,5,FALSE)</f>
        <v>0</v>
      </c>
      <c r="O328">
        <f>VLOOKUP($A328,'Temprorary Data'!$A:$G,6,FALSE)</f>
        <v>12</v>
      </c>
      <c r="P328">
        <f>VLOOKUP($A328,'Temprorary Data'!$A:$G,7,FALSE)</f>
        <v>12</v>
      </c>
    </row>
    <row r="329" spans="1:16" ht="15.75" thickBot="1">
      <c r="A329" s="1">
        <v>328</v>
      </c>
      <c r="B329" s="2">
        <v>40558</v>
      </c>
      <c r="C329" s="1">
        <v>1</v>
      </c>
      <c r="D329" s="1">
        <v>0</v>
      </c>
      <c r="E329" s="1">
        <v>1</v>
      </c>
      <c r="F329" s="1">
        <v>3</v>
      </c>
      <c r="G329" s="3" t="b">
        <v>0</v>
      </c>
      <c r="H329" s="1">
        <v>6</v>
      </c>
      <c r="I329" s="1">
        <v>2</v>
      </c>
      <c r="J329" s="1">
        <v>0.16</v>
      </c>
      <c r="K329">
        <f>VLOOKUP($A329,'Temprorary Data'!$A:$G,2,FALSE)</f>
        <v>0.2273</v>
      </c>
      <c r="L329">
        <f>VLOOKUP($A329,'Temprorary Data'!$A:$G,3,FALSE)</f>
        <v>0.59</v>
      </c>
      <c r="M329">
        <f>VLOOKUP($A329,'Temprorary Data'!$A:$G,4,FALSE)</f>
        <v>0</v>
      </c>
      <c r="N329">
        <f>VLOOKUP($A329,'Temprorary Data'!$A:$G,5,FALSE)</f>
        <v>1</v>
      </c>
      <c r="O329">
        <f>VLOOKUP($A329,'Temprorary Data'!$A:$G,6,FALSE)</f>
        <v>7</v>
      </c>
      <c r="P329">
        <f>VLOOKUP($A329,'Temprorary Data'!$A:$G,7,FALSE)</f>
        <v>8</v>
      </c>
    </row>
    <row r="330" spans="1:16" ht="15.75" thickBot="1">
      <c r="A330" s="1">
        <v>329</v>
      </c>
      <c r="B330" s="2">
        <v>40558</v>
      </c>
      <c r="C330" s="1">
        <v>1</v>
      </c>
      <c r="D330" s="1">
        <v>0</v>
      </c>
      <c r="E330" s="1">
        <v>1</v>
      </c>
      <c r="F330" s="1">
        <v>4</v>
      </c>
      <c r="G330" s="3" t="b">
        <v>0</v>
      </c>
      <c r="H330" s="1">
        <v>6</v>
      </c>
      <c r="I330" s="1">
        <v>2</v>
      </c>
      <c r="J330" s="1">
        <v>0.16</v>
      </c>
      <c r="K330">
        <f>VLOOKUP($A330,'Temprorary Data'!$A:$G,2,FALSE)</f>
        <v>0.2273</v>
      </c>
      <c r="L330">
        <f>VLOOKUP($A330,'Temprorary Data'!$A:$G,3,FALSE)</f>
        <v>0.59</v>
      </c>
      <c r="M330">
        <f>VLOOKUP($A330,'Temprorary Data'!$A:$G,4,FALSE)</f>
        <v>0</v>
      </c>
      <c r="N330">
        <f>VLOOKUP($A330,'Temprorary Data'!$A:$G,5,FALSE)</f>
        <v>0</v>
      </c>
      <c r="O330">
        <f>VLOOKUP($A330,'Temprorary Data'!$A:$G,6,FALSE)</f>
        <v>5</v>
      </c>
      <c r="P330">
        <f>VLOOKUP($A330,'Temprorary Data'!$A:$G,7,FALSE)</f>
        <v>5</v>
      </c>
    </row>
    <row r="331" spans="1:16" ht="15.75" thickBot="1">
      <c r="A331" s="1">
        <v>330</v>
      </c>
      <c r="B331" s="2">
        <v>40558</v>
      </c>
      <c r="C331" s="1">
        <v>1</v>
      </c>
      <c r="D331" s="1">
        <v>0</v>
      </c>
      <c r="E331" s="1">
        <v>1</v>
      </c>
      <c r="F331" s="1">
        <v>5</v>
      </c>
      <c r="G331" s="3" t="b">
        <v>0</v>
      </c>
      <c r="H331" s="1">
        <v>6</v>
      </c>
      <c r="I331" s="1">
        <v>1</v>
      </c>
      <c r="J331" s="1">
        <v>0.16</v>
      </c>
      <c r="K331">
        <f>VLOOKUP($A331,'Temprorary Data'!$A:$G,2,FALSE)</f>
        <v>0.2273</v>
      </c>
      <c r="L331">
        <f>VLOOKUP($A331,'Temprorary Data'!$A:$G,3,FALSE)</f>
        <v>0.59</v>
      </c>
      <c r="M331">
        <f>VLOOKUP($A331,'Temprorary Data'!$A:$G,4,FALSE)</f>
        <v>0</v>
      </c>
      <c r="N331">
        <f>VLOOKUP($A331,'Temprorary Data'!$A:$G,5,FALSE)</f>
        <v>0</v>
      </c>
      <c r="O331">
        <f>VLOOKUP($A331,'Temprorary Data'!$A:$G,6,FALSE)</f>
        <v>1</v>
      </c>
      <c r="P331">
        <f>VLOOKUP($A331,'Temprorary Data'!$A:$G,7,FALSE)</f>
        <v>1</v>
      </c>
    </row>
    <row r="332" spans="1:16" ht="15.75" thickBot="1">
      <c r="A332" s="1">
        <v>331</v>
      </c>
      <c r="B332" s="2">
        <v>40558</v>
      </c>
      <c r="C332" s="1">
        <v>1</v>
      </c>
      <c r="D332" s="1">
        <v>0</v>
      </c>
      <c r="E332" s="1">
        <v>1</v>
      </c>
      <c r="F332" s="1">
        <v>6</v>
      </c>
      <c r="G332" s="3" t="b">
        <v>0</v>
      </c>
      <c r="H332" s="1">
        <v>6</v>
      </c>
      <c r="I332" s="1">
        <v>1</v>
      </c>
      <c r="J332" s="1">
        <v>0.14000000000000001</v>
      </c>
      <c r="K332">
        <f>VLOOKUP($A332,'Temprorary Data'!$A:$G,2,FALSE)</f>
        <v>0.16669999999999999</v>
      </c>
      <c r="L332">
        <f>VLOOKUP($A332,'Temprorary Data'!$A:$G,3,FALSE)</f>
        <v>0.63</v>
      </c>
      <c r="M332">
        <f>VLOOKUP($A332,'Temprorary Data'!$A:$G,4,FALSE)</f>
        <v>0.1045</v>
      </c>
      <c r="N332">
        <f>VLOOKUP($A332,'Temprorary Data'!$A:$G,5,FALSE)</f>
        <v>1</v>
      </c>
      <c r="O332">
        <f>VLOOKUP($A332,'Temprorary Data'!$A:$G,6,FALSE)</f>
        <v>2</v>
      </c>
      <c r="P332">
        <f>VLOOKUP($A332,'Temprorary Data'!$A:$G,7,FALSE)</f>
        <v>3</v>
      </c>
    </row>
    <row r="333" spans="1:16" ht="15.75" thickBot="1">
      <c r="A333" s="1">
        <v>332</v>
      </c>
      <c r="B333" s="2">
        <v>40558</v>
      </c>
      <c r="C333" s="1">
        <v>1</v>
      </c>
      <c r="D333" s="1">
        <v>0</v>
      </c>
      <c r="E333" s="1">
        <v>1</v>
      </c>
      <c r="F333" s="1">
        <v>7</v>
      </c>
      <c r="G333" s="3" t="b">
        <v>0</v>
      </c>
      <c r="H333" s="1">
        <v>6</v>
      </c>
      <c r="I333" s="1">
        <v>1</v>
      </c>
      <c r="J333" s="1">
        <v>0.14000000000000001</v>
      </c>
      <c r="K333">
        <f>VLOOKUP($A333,'Temprorary Data'!$A:$G,2,FALSE)</f>
        <v>0.21210000000000001</v>
      </c>
      <c r="L333">
        <f>VLOOKUP($A333,'Temprorary Data'!$A:$G,3,FALSE)</f>
        <v>0.63</v>
      </c>
      <c r="M333">
        <f>VLOOKUP($A333,'Temprorary Data'!$A:$G,4,FALSE)</f>
        <v>0</v>
      </c>
      <c r="N333">
        <f>VLOOKUP($A333,'Temprorary Data'!$A:$G,5,FALSE)</f>
        <v>1</v>
      </c>
      <c r="O333">
        <f>VLOOKUP($A333,'Temprorary Data'!$A:$G,6,FALSE)</f>
        <v>9</v>
      </c>
      <c r="P333">
        <f>VLOOKUP($A333,'Temprorary Data'!$A:$G,7,FALSE)</f>
        <v>10</v>
      </c>
    </row>
    <row r="334" spans="1:16" ht="15.75" thickBot="1">
      <c r="A334" s="1">
        <v>333</v>
      </c>
      <c r="B334" s="2">
        <v>40558</v>
      </c>
      <c r="C334" s="1">
        <v>1</v>
      </c>
      <c r="D334" s="1">
        <v>0</v>
      </c>
      <c r="E334" s="1">
        <v>1</v>
      </c>
      <c r="F334" s="1">
        <v>8</v>
      </c>
      <c r="G334" s="3" t="b">
        <v>0</v>
      </c>
      <c r="H334" s="1">
        <v>6</v>
      </c>
      <c r="I334" s="1">
        <v>1</v>
      </c>
      <c r="J334" s="1">
        <v>0.14000000000000001</v>
      </c>
      <c r="K334">
        <f>VLOOKUP($A334,'Temprorary Data'!$A:$G,2,FALSE)</f>
        <v>0.1515</v>
      </c>
      <c r="L334">
        <f>VLOOKUP($A334,'Temprorary Data'!$A:$G,3,FALSE)</f>
        <v>0.63</v>
      </c>
      <c r="M334">
        <f>VLOOKUP($A334,'Temprorary Data'!$A:$G,4,FALSE)</f>
        <v>0.1343</v>
      </c>
      <c r="N334">
        <f>VLOOKUP($A334,'Temprorary Data'!$A:$G,5,FALSE)</f>
        <v>1</v>
      </c>
      <c r="O334">
        <f>VLOOKUP($A334,'Temprorary Data'!$A:$G,6,FALSE)</f>
        <v>22</v>
      </c>
      <c r="P334">
        <f>VLOOKUP($A334,'Temprorary Data'!$A:$G,7,FALSE)</f>
        <v>23</v>
      </c>
    </row>
    <row r="335" spans="1:16" ht="15.75" thickBot="1">
      <c r="A335" s="1">
        <v>334</v>
      </c>
      <c r="B335" s="2">
        <v>40558</v>
      </c>
      <c r="C335" s="1">
        <v>1</v>
      </c>
      <c r="D335" s="1">
        <v>0</v>
      </c>
      <c r="E335" s="1">
        <v>1</v>
      </c>
      <c r="F335" s="1">
        <v>9</v>
      </c>
      <c r="G335" s="3" t="b">
        <v>0</v>
      </c>
      <c r="H335" s="1">
        <v>6</v>
      </c>
      <c r="I335" s="1">
        <v>1</v>
      </c>
      <c r="J335" s="1">
        <v>0.16</v>
      </c>
      <c r="K335">
        <f>VLOOKUP($A335,'Temprorary Data'!$A:$G,2,FALSE)</f>
        <v>0.18179999999999999</v>
      </c>
      <c r="L335">
        <f>VLOOKUP($A335,'Temprorary Data'!$A:$G,3,FALSE)</f>
        <v>0.64</v>
      </c>
      <c r="M335">
        <f>VLOOKUP($A335,'Temprorary Data'!$A:$G,4,FALSE)</f>
        <v>0.1343</v>
      </c>
      <c r="N335">
        <f>VLOOKUP($A335,'Temprorary Data'!$A:$G,5,FALSE)</f>
        <v>2</v>
      </c>
      <c r="O335">
        <f>VLOOKUP($A335,'Temprorary Data'!$A:$G,6,FALSE)</f>
        <v>31</v>
      </c>
      <c r="P335">
        <f>VLOOKUP($A335,'Temprorary Data'!$A:$G,7,FALSE)</f>
        <v>33</v>
      </c>
    </row>
    <row r="336" spans="1:16" ht="15.75" thickBot="1">
      <c r="A336" s="1">
        <v>335</v>
      </c>
      <c r="B336" s="2">
        <v>40558</v>
      </c>
      <c r="C336" s="1">
        <v>1</v>
      </c>
      <c r="D336" s="1">
        <v>0</v>
      </c>
      <c r="E336" s="1">
        <v>1</v>
      </c>
      <c r="F336" s="1">
        <v>10</v>
      </c>
      <c r="G336" s="3" t="b">
        <v>0</v>
      </c>
      <c r="H336" s="1">
        <v>6</v>
      </c>
      <c r="I336" s="1">
        <v>1</v>
      </c>
      <c r="J336" s="1">
        <v>0.18</v>
      </c>
      <c r="K336">
        <f>VLOOKUP($A336,'Temprorary Data'!$A:$G,2,FALSE)</f>
        <v>0.19700000000000001</v>
      </c>
      <c r="L336">
        <f>VLOOKUP($A336,'Temprorary Data'!$A:$G,3,FALSE)</f>
        <v>0.59</v>
      </c>
      <c r="M336">
        <f>VLOOKUP($A336,'Temprorary Data'!$A:$G,4,FALSE)</f>
        <v>0.16420000000000001</v>
      </c>
      <c r="N336">
        <f>VLOOKUP($A336,'Temprorary Data'!$A:$G,5,FALSE)</f>
        <v>2</v>
      </c>
      <c r="O336">
        <f>VLOOKUP($A336,'Temprorary Data'!$A:$G,6,FALSE)</f>
        <v>57</v>
      </c>
      <c r="P336">
        <f>VLOOKUP($A336,'Temprorary Data'!$A:$G,7,FALSE)</f>
        <v>59</v>
      </c>
    </row>
    <row r="337" spans="1:16" ht="15.75" thickBot="1">
      <c r="A337" s="1">
        <v>336</v>
      </c>
      <c r="B337" s="2">
        <v>40558</v>
      </c>
      <c r="C337" s="1">
        <v>1</v>
      </c>
      <c r="D337" s="1">
        <v>0</v>
      </c>
      <c r="E337" s="1">
        <v>1</v>
      </c>
      <c r="F337" s="1">
        <v>11</v>
      </c>
      <c r="G337" s="3" t="b">
        <v>0</v>
      </c>
      <c r="H337" s="1">
        <v>6</v>
      </c>
      <c r="I337" s="1">
        <v>1</v>
      </c>
      <c r="J337" s="1">
        <v>0.2</v>
      </c>
      <c r="K337">
        <f>VLOOKUP($A337,'Temprorary Data'!$A:$G,2,FALSE)</f>
        <v>0.19700000000000001</v>
      </c>
      <c r="L337">
        <f>VLOOKUP($A337,'Temprorary Data'!$A:$G,3,FALSE)</f>
        <v>0.55000000000000004</v>
      </c>
      <c r="M337">
        <f>VLOOKUP($A337,'Temprorary Data'!$A:$G,4,FALSE)</f>
        <v>0.22389999999999999</v>
      </c>
      <c r="N337">
        <f>VLOOKUP($A337,'Temprorary Data'!$A:$G,5,FALSE)</f>
        <v>18</v>
      </c>
      <c r="O337">
        <f>VLOOKUP($A337,'Temprorary Data'!$A:$G,6,FALSE)</f>
        <v>54</v>
      </c>
      <c r="P337">
        <f>VLOOKUP($A337,'Temprorary Data'!$A:$G,7,FALSE)</f>
        <v>72</v>
      </c>
    </row>
    <row r="338" spans="1:16" ht="15.75" thickBot="1">
      <c r="A338" s="1">
        <v>337</v>
      </c>
      <c r="B338" s="2">
        <v>40558</v>
      </c>
      <c r="C338" s="1">
        <v>1</v>
      </c>
      <c r="D338" s="1">
        <v>0</v>
      </c>
      <c r="E338" s="1">
        <v>1</v>
      </c>
      <c r="F338" s="1">
        <v>12</v>
      </c>
      <c r="G338" s="3" t="b">
        <v>0</v>
      </c>
      <c r="H338" s="1">
        <v>6</v>
      </c>
      <c r="I338" s="1">
        <v>1</v>
      </c>
      <c r="J338" s="1">
        <v>0.24</v>
      </c>
      <c r="K338">
        <f>VLOOKUP($A338,'Temprorary Data'!$A:$G,2,FALSE)</f>
        <v>0.2273</v>
      </c>
      <c r="L338">
        <f>VLOOKUP($A338,'Temprorary Data'!$A:$G,3,FALSE)</f>
        <v>0.48</v>
      </c>
      <c r="M338">
        <f>VLOOKUP($A338,'Temprorary Data'!$A:$G,4,FALSE)</f>
        <v>0.22389999999999999</v>
      </c>
      <c r="N338">
        <f>VLOOKUP($A338,'Temprorary Data'!$A:$G,5,FALSE)</f>
        <v>15</v>
      </c>
      <c r="O338">
        <f>VLOOKUP($A338,'Temprorary Data'!$A:$G,6,FALSE)</f>
        <v>74</v>
      </c>
      <c r="P338">
        <f>VLOOKUP($A338,'Temprorary Data'!$A:$G,7,FALSE)</f>
        <v>89</v>
      </c>
    </row>
    <row r="339" spans="1:16" ht="15.75" thickBot="1">
      <c r="A339" s="1">
        <v>338</v>
      </c>
      <c r="B339" s="2">
        <v>40558</v>
      </c>
      <c r="C339" s="1">
        <v>1</v>
      </c>
      <c r="D339" s="1">
        <v>0</v>
      </c>
      <c r="E339" s="1">
        <v>1</v>
      </c>
      <c r="F339" s="1">
        <v>13</v>
      </c>
      <c r="G339" s="3" t="b">
        <v>0</v>
      </c>
      <c r="H339" s="1">
        <v>6</v>
      </c>
      <c r="I339" s="1">
        <v>1</v>
      </c>
      <c r="J339" s="1">
        <v>0.28000000000000003</v>
      </c>
      <c r="K339">
        <f>VLOOKUP($A339,'Temprorary Data'!$A:$G,2,FALSE)</f>
        <v>0.2576</v>
      </c>
      <c r="L339">
        <f>VLOOKUP($A339,'Temprorary Data'!$A:$G,3,FALSE)</f>
        <v>0.38</v>
      </c>
      <c r="M339">
        <f>VLOOKUP($A339,'Temprorary Data'!$A:$G,4,FALSE)</f>
        <v>0.29849999999999999</v>
      </c>
      <c r="N339">
        <f>VLOOKUP($A339,'Temprorary Data'!$A:$G,5,FALSE)</f>
        <v>21</v>
      </c>
      <c r="O339">
        <f>VLOOKUP($A339,'Temprorary Data'!$A:$G,6,FALSE)</f>
        <v>80</v>
      </c>
      <c r="P339">
        <f>VLOOKUP($A339,'Temprorary Data'!$A:$G,7,FALSE)</f>
        <v>101</v>
      </c>
    </row>
    <row r="340" spans="1:16" ht="15.75" thickBot="1">
      <c r="A340" s="1">
        <v>339</v>
      </c>
      <c r="B340" s="2">
        <v>40558</v>
      </c>
      <c r="C340" s="1">
        <v>1</v>
      </c>
      <c r="D340" s="1">
        <v>0</v>
      </c>
      <c r="E340" s="1">
        <v>1</v>
      </c>
      <c r="F340" s="1">
        <v>14</v>
      </c>
      <c r="G340" s="3" t="b">
        <v>0</v>
      </c>
      <c r="H340" s="1">
        <v>6</v>
      </c>
      <c r="I340" s="1">
        <v>1</v>
      </c>
      <c r="J340" s="1">
        <v>0.3</v>
      </c>
      <c r="K340">
        <f>VLOOKUP($A340,'Temprorary Data'!$A:$G,2,FALSE)</f>
        <v>0.28789999999999999</v>
      </c>
      <c r="L340">
        <f>VLOOKUP($A340,'Temprorary Data'!$A:$G,3,FALSE)</f>
        <v>0.39</v>
      </c>
      <c r="M340">
        <f>VLOOKUP($A340,'Temprorary Data'!$A:$G,4,FALSE)</f>
        <v>0.28360000000000002</v>
      </c>
      <c r="N340">
        <f>VLOOKUP($A340,'Temprorary Data'!$A:$G,5,FALSE)</f>
        <v>26</v>
      </c>
      <c r="O340">
        <f>VLOOKUP($A340,'Temprorary Data'!$A:$G,6,FALSE)</f>
        <v>92</v>
      </c>
      <c r="P340">
        <f>VLOOKUP($A340,'Temprorary Data'!$A:$G,7,FALSE)</f>
        <v>118</v>
      </c>
    </row>
    <row r="341" spans="1:16" ht="15.75" thickBot="1">
      <c r="A341" s="1">
        <v>340</v>
      </c>
      <c r="B341" s="2">
        <v>40558</v>
      </c>
      <c r="C341" s="1">
        <v>1</v>
      </c>
      <c r="D341" s="1">
        <v>0</v>
      </c>
      <c r="E341" s="1">
        <v>1</v>
      </c>
      <c r="F341" s="1">
        <v>15</v>
      </c>
      <c r="G341" s="3" t="b">
        <v>0</v>
      </c>
      <c r="H341" s="1">
        <v>6</v>
      </c>
      <c r="I341" s="1">
        <v>2</v>
      </c>
      <c r="J341" s="1">
        <v>0.32</v>
      </c>
      <c r="K341">
        <f>VLOOKUP($A341,'Temprorary Data'!$A:$G,2,FALSE)</f>
        <v>0.31819999999999998</v>
      </c>
      <c r="L341">
        <f>VLOOKUP($A341,'Temprorary Data'!$A:$G,3,FALSE)</f>
        <v>0.36</v>
      </c>
      <c r="M341">
        <f>VLOOKUP($A341,'Temprorary Data'!$A:$G,4,FALSE)</f>
        <v>0.19400000000000001</v>
      </c>
      <c r="N341">
        <f>VLOOKUP($A341,'Temprorary Data'!$A:$G,5,FALSE)</f>
        <v>21</v>
      </c>
      <c r="O341">
        <f>VLOOKUP($A341,'Temprorary Data'!$A:$G,6,FALSE)</f>
        <v>108</v>
      </c>
      <c r="P341">
        <f>VLOOKUP($A341,'Temprorary Data'!$A:$G,7,FALSE)</f>
        <v>129</v>
      </c>
    </row>
    <row r="342" spans="1:16" ht="15.75" thickBot="1">
      <c r="A342" s="1">
        <v>341</v>
      </c>
      <c r="B342" s="2">
        <v>40558</v>
      </c>
      <c r="C342" s="1">
        <v>1</v>
      </c>
      <c r="D342" s="1">
        <v>0</v>
      </c>
      <c r="E342" s="1">
        <v>1</v>
      </c>
      <c r="F342" s="1">
        <v>16</v>
      </c>
      <c r="G342" s="3" t="b">
        <v>0</v>
      </c>
      <c r="H342" s="1">
        <v>6</v>
      </c>
      <c r="I342" s="1">
        <v>2</v>
      </c>
      <c r="J342" s="1">
        <v>0.34</v>
      </c>
      <c r="K342">
        <f>VLOOKUP($A342,'Temprorary Data'!$A:$G,2,FALSE)</f>
        <v>0.33329999999999999</v>
      </c>
      <c r="L342">
        <f>VLOOKUP($A342,'Temprorary Data'!$A:$G,3,FALSE)</f>
        <v>0.34</v>
      </c>
      <c r="M342">
        <f>VLOOKUP($A342,'Temprorary Data'!$A:$G,4,FALSE)</f>
        <v>0.19400000000000001</v>
      </c>
      <c r="N342">
        <f>VLOOKUP($A342,'Temprorary Data'!$A:$G,5,FALSE)</f>
        <v>33</v>
      </c>
      <c r="O342">
        <f>VLOOKUP($A342,'Temprorary Data'!$A:$G,6,FALSE)</f>
        <v>95</v>
      </c>
      <c r="P342">
        <f>VLOOKUP($A342,'Temprorary Data'!$A:$G,7,FALSE)</f>
        <v>128</v>
      </c>
    </row>
    <row r="343" spans="1:16" ht="15.75" thickBot="1">
      <c r="A343" s="1">
        <v>342</v>
      </c>
      <c r="B343" s="2">
        <v>40558</v>
      </c>
      <c r="C343" s="1">
        <v>1</v>
      </c>
      <c r="D343" s="1">
        <v>0</v>
      </c>
      <c r="E343" s="1">
        <v>1</v>
      </c>
      <c r="F343" s="1">
        <v>17</v>
      </c>
      <c r="G343" s="3" t="b">
        <v>0</v>
      </c>
      <c r="H343" s="1">
        <v>6</v>
      </c>
      <c r="I343" s="1">
        <v>2</v>
      </c>
      <c r="J343" s="1">
        <v>0.32</v>
      </c>
      <c r="K343">
        <f>VLOOKUP($A343,'Temprorary Data'!$A:$G,2,FALSE)</f>
        <v>0.30299999999999999</v>
      </c>
      <c r="L343">
        <f>VLOOKUP($A343,'Temprorary Data'!$A:$G,3,FALSE)</f>
        <v>0.36</v>
      </c>
      <c r="M343">
        <f>VLOOKUP($A343,'Temprorary Data'!$A:$G,4,FALSE)</f>
        <v>0.28360000000000002</v>
      </c>
      <c r="N343">
        <f>VLOOKUP($A343,'Temprorary Data'!$A:$G,5,FALSE)</f>
        <v>29</v>
      </c>
      <c r="O343">
        <f>VLOOKUP($A343,'Temprorary Data'!$A:$G,6,FALSE)</f>
        <v>54</v>
      </c>
      <c r="P343">
        <f>VLOOKUP($A343,'Temprorary Data'!$A:$G,7,FALSE)</f>
        <v>83</v>
      </c>
    </row>
    <row r="344" spans="1:16" ht="15.75" thickBot="1">
      <c r="A344" s="1">
        <v>343</v>
      </c>
      <c r="B344" s="2">
        <v>40558</v>
      </c>
      <c r="C344" s="1">
        <v>1</v>
      </c>
      <c r="D344" s="1">
        <v>0</v>
      </c>
      <c r="E344" s="1">
        <v>1</v>
      </c>
      <c r="F344" s="1">
        <v>18</v>
      </c>
      <c r="G344" s="3" t="b">
        <v>0</v>
      </c>
      <c r="H344" s="1">
        <v>6</v>
      </c>
      <c r="I344" s="1">
        <v>2</v>
      </c>
      <c r="J344" s="1">
        <v>0.3</v>
      </c>
      <c r="K344">
        <f>VLOOKUP($A344,'Temprorary Data'!$A:$G,2,FALSE)</f>
        <v>0.28789999999999999</v>
      </c>
      <c r="L344">
        <f>VLOOKUP($A344,'Temprorary Data'!$A:$G,3,FALSE)</f>
        <v>0.45</v>
      </c>
      <c r="M344">
        <f>VLOOKUP($A344,'Temprorary Data'!$A:$G,4,FALSE)</f>
        <v>0.25369999999999998</v>
      </c>
      <c r="N344">
        <f>VLOOKUP($A344,'Temprorary Data'!$A:$G,5,FALSE)</f>
        <v>15</v>
      </c>
      <c r="O344">
        <f>VLOOKUP($A344,'Temprorary Data'!$A:$G,6,FALSE)</f>
        <v>69</v>
      </c>
      <c r="P344">
        <f>VLOOKUP($A344,'Temprorary Data'!$A:$G,7,FALSE)</f>
        <v>84</v>
      </c>
    </row>
    <row r="345" spans="1:16" ht="15.75" thickBot="1">
      <c r="A345" s="1">
        <v>344</v>
      </c>
      <c r="B345" s="2">
        <v>40558</v>
      </c>
      <c r="C345" s="1">
        <v>1</v>
      </c>
      <c r="D345" s="1">
        <v>0</v>
      </c>
      <c r="E345" s="1">
        <v>1</v>
      </c>
      <c r="F345" s="1">
        <v>19</v>
      </c>
      <c r="G345" s="3" t="b">
        <v>0</v>
      </c>
      <c r="H345" s="1">
        <v>6</v>
      </c>
      <c r="I345" s="1">
        <v>2</v>
      </c>
      <c r="J345" s="1">
        <v>0.32</v>
      </c>
      <c r="K345">
        <f>VLOOKUP($A345,'Temprorary Data'!$A:$G,2,FALSE)</f>
        <v>0.30299999999999999</v>
      </c>
      <c r="L345">
        <f>VLOOKUP($A345,'Temprorary Data'!$A:$G,3,FALSE)</f>
        <v>0.39</v>
      </c>
      <c r="M345">
        <f>VLOOKUP($A345,'Temprorary Data'!$A:$G,4,FALSE)</f>
        <v>0.25369999999999998</v>
      </c>
      <c r="N345">
        <f>VLOOKUP($A345,'Temprorary Data'!$A:$G,5,FALSE)</f>
        <v>14</v>
      </c>
      <c r="O345">
        <f>VLOOKUP($A345,'Temprorary Data'!$A:$G,6,FALSE)</f>
        <v>60</v>
      </c>
      <c r="P345">
        <f>VLOOKUP($A345,'Temprorary Data'!$A:$G,7,FALSE)</f>
        <v>74</v>
      </c>
    </row>
    <row r="346" spans="1:16" ht="15.75" thickBot="1">
      <c r="A346" s="1">
        <v>345</v>
      </c>
      <c r="B346" s="2">
        <v>40558</v>
      </c>
      <c r="C346" s="1">
        <v>1</v>
      </c>
      <c r="D346" s="1">
        <v>0</v>
      </c>
      <c r="E346" s="1">
        <v>1</v>
      </c>
      <c r="F346" s="1">
        <v>20</v>
      </c>
      <c r="G346" s="3" t="b">
        <v>0</v>
      </c>
      <c r="H346" s="1">
        <v>6</v>
      </c>
      <c r="I346" s="1">
        <v>2</v>
      </c>
      <c r="J346" s="1">
        <v>0.32</v>
      </c>
      <c r="K346">
        <f>VLOOKUP($A346,'Temprorary Data'!$A:$G,2,FALSE)</f>
        <v>0.30299999999999999</v>
      </c>
      <c r="L346">
        <f>VLOOKUP($A346,'Temprorary Data'!$A:$G,3,FALSE)</f>
        <v>0.39</v>
      </c>
      <c r="M346">
        <f>VLOOKUP($A346,'Temprorary Data'!$A:$G,4,FALSE)</f>
        <v>0.25369999999999998</v>
      </c>
      <c r="N346">
        <f>VLOOKUP($A346,'Temprorary Data'!$A:$G,5,FALSE)</f>
        <v>6</v>
      </c>
      <c r="O346">
        <f>VLOOKUP($A346,'Temprorary Data'!$A:$G,6,FALSE)</f>
        <v>35</v>
      </c>
      <c r="P346">
        <f>VLOOKUP($A346,'Temprorary Data'!$A:$G,7,FALSE)</f>
        <v>41</v>
      </c>
    </row>
    <row r="347" spans="1:16" ht="15.75" thickBot="1">
      <c r="A347" s="1">
        <v>346</v>
      </c>
      <c r="B347" s="2">
        <v>40558</v>
      </c>
      <c r="C347" s="1">
        <v>1</v>
      </c>
      <c r="D347" s="1">
        <v>0</v>
      </c>
      <c r="E347" s="1">
        <v>1</v>
      </c>
      <c r="F347" s="1">
        <v>21</v>
      </c>
      <c r="G347" s="3" t="b">
        <v>0</v>
      </c>
      <c r="H347" s="1">
        <v>6</v>
      </c>
      <c r="I347" s="1">
        <v>2</v>
      </c>
      <c r="J347" s="1">
        <v>0.32</v>
      </c>
      <c r="K347">
        <f>VLOOKUP($A347,'Temprorary Data'!$A:$G,2,FALSE)</f>
        <v>0.30299999999999999</v>
      </c>
      <c r="L347">
        <f>VLOOKUP($A347,'Temprorary Data'!$A:$G,3,FALSE)</f>
        <v>0.39</v>
      </c>
      <c r="M347">
        <f>VLOOKUP($A347,'Temprorary Data'!$A:$G,4,FALSE)</f>
        <v>0.22389999999999999</v>
      </c>
      <c r="N347">
        <f>VLOOKUP($A347,'Temprorary Data'!$A:$G,5,FALSE)</f>
        <v>6</v>
      </c>
      <c r="O347">
        <f>VLOOKUP($A347,'Temprorary Data'!$A:$G,6,FALSE)</f>
        <v>51</v>
      </c>
      <c r="P347">
        <f>VLOOKUP($A347,'Temprorary Data'!$A:$G,7,FALSE)</f>
        <v>57</v>
      </c>
    </row>
    <row r="348" spans="1:16" ht="15.75" thickBot="1">
      <c r="A348" s="1">
        <v>347</v>
      </c>
      <c r="B348" s="2">
        <v>40558</v>
      </c>
      <c r="C348" s="1">
        <v>1</v>
      </c>
      <c r="D348" s="1">
        <v>0</v>
      </c>
      <c r="E348" s="1">
        <v>1</v>
      </c>
      <c r="F348" s="1">
        <v>22</v>
      </c>
      <c r="G348" s="3" t="b">
        <v>0</v>
      </c>
      <c r="H348" s="1">
        <v>6</v>
      </c>
      <c r="I348" s="1">
        <v>2</v>
      </c>
      <c r="J348" s="1">
        <v>0.3</v>
      </c>
      <c r="K348">
        <f>VLOOKUP($A348,'Temprorary Data'!$A:$G,2,FALSE)</f>
        <v>0.31819999999999998</v>
      </c>
      <c r="L348">
        <f>VLOOKUP($A348,'Temprorary Data'!$A:$G,3,FALSE)</f>
        <v>0.42</v>
      </c>
      <c r="M348">
        <f>VLOOKUP($A348,'Temprorary Data'!$A:$G,4,FALSE)</f>
        <v>0.1045</v>
      </c>
      <c r="N348">
        <f>VLOOKUP($A348,'Temprorary Data'!$A:$G,5,FALSE)</f>
        <v>0</v>
      </c>
      <c r="O348">
        <f>VLOOKUP($A348,'Temprorary Data'!$A:$G,6,FALSE)</f>
        <v>26</v>
      </c>
      <c r="P348">
        <f>VLOOKUP($A348,'Temprorary Data'!$A:$G,7,FALSE)</f>
        <v>26</v>
      </c>
    </row>
    <row r="349" spans="1:16" ht="15.75" thickBot="1">
      <c r="A349" s="1">
        <v>348</v>
      </c>
      <c r="B349" s="2">
        <v>40558</v>
      </c>
      <c r="C349" s="1">
        <v>1</v>
      </c>
      <c r="D349" s="1">
        <v>0</v>
      </c>
      <c r="E349" s="1">
        <v>1</v>
      </c>
      <c r="F349" s="1">
        <v>23</v>
      </c>
      <c r="G349" s="3" t="b">
        <v>0</v>
      </c>
      <c r="H349" s="1">
        <v>6</v>
      </c>
      <c r="I349" s="1">
        <v>1</v>
      </c>
      <c r="J349" s="1">
        <v>0.3</v>
      </c>
      <c r="K349">
        <f>VLOOKUP($A349,'Temprorary Data'!$A:$G,2,FALSE)</f>
        <v>0.28789999999999999</v>
      </c>
      <c r="L349">
        <f>VLOOKUP($A349,'Temprorary Data'!$A:$G,3,FALSE)</f>
        <v>0.45</v>
      </c>
      <c r="M349">
        <f>VLOOKUP($A349,'Temprorary Data'!$A:$G,4,FALSE)</f>
        <v>0.28360000000000002</v>
      </c>
      <c r="N349">
        <f>VLOOKUP($A349,'Temprorary Data'!$A:$G,5,FALSE)</f>
        <v>5</v>
      </c>
      <c r="O349">
        <f>VLOOKUP($A349,'Temprorary Data'!$A:$G,6,FALSE)</f>
        <v>39</v>
      </c>
      <c r="P349">
        <f>VLOOKUP($A349,'Temprorary Data'!$A:$G,7,FALSE)</f>
        <v>44</v>
      </c>
    </row>
    <row r="350" spans="1:16" ht="15.75" thickBot="1">
      <c r="A350" s="1">
        <v>349</v>
      </c>
      <c r="B350" s="2">
        <v>40559</v>
      </c>
      <c r="C350" s="1">
        <v>1</v>
      </c>
      <c r="D350" s="1">
        <v>0</v>
      </c>
      <c r="E350" s="1">
        <v>1</v>
      </c>
      <c r="F350" s="1">
        <v>0</v>
      </c>
      <c r="G350" s="3" t="b">
        <v>0</v>
      </c>
      <c r="H350" s="1">
        <v>0</v>
      </c>
      <c r="I350" s="1">
        <v>1</v>
      </c>
      <c r="J350" s="1">
        <v>0.26</v>
      </c>
      <c r="K350">
        <f>VLOOKUP($A350,'Temprorary Data'!$A:$G,2,FALSE)</f>
        <v>0.30299999999999999</v>
      </c>
      <c r="L350">
        <f>VLOOKUP($A350,'Temprorary Data'!$A:$G,3,FALSE)</f>
        <v>0.56000000000000005</v>
      </c>
      <c r="M350">
        <f>VLOOKUP($A350,'Temprorary Data'!$A:$G,4,FALSE)</f>
        <v>0</v>
      </c>
      <c r="N350">
        <f>VLOOKUP($A350,'Temprorary Data'!$A:$G,5,FALSE)</f>
        <v>6</v>
      </c>
      <c r="O350">
        <f>VLOOKUP($A350,'Temprorary Data'!$A:$G,6,FALSE)</f>
        <v>33</v>
      </c>
      <c r="P350">
        <f>VLOOKUP($A350,'Temprorary Data'!$A:$G,7,FALSE)</f>
        <v>39</v>
      </c>
    </row>
    <row r="351" spans="1:16" ht="15.75" thickBot="1">
      <c r="A351" s="1">
        <v>350</v>
      </c>
      <c r="B351" s="2">
        <v>40559</v>
      </c>
      <c r="C351" s="1">
        <v>1</v>
      </c>
      <c r="D351" s="1">
        <v>0</v>
      </c>
      <c r="E351" s="1">
        <v>1</v>
      </c>
      <c r="F351" s="1">
        <v>1</v>
      </c>
      <c r="G351" s="3" t="b">
        <v>0</v>
      </c>
      <c r="H351" s="1">
        <v>0</v>
      </c>
      <c r="I351" s="1">
        <v>1</v>
      </c>
      <c r="J351" s="1">
        <v>0.26</v>
      </c>
      <c r="K351">
        <f>VLOOKUP($A351,'Temprorary Data'!$A:$G,2,FALSE)</f>
        <v>0.2727</v>
      </c>
      <c r="L351">
        <f>VLOOKUP($A351,'Temprorary Data'!$A:$G,3,FALSE)</f>
        <v>0.56000000000000005</v>
      </c>
      <c r="M351">
        <f>VLOOKUP($A351,'Temprorary Data'!$A:$G,4,FALSE)</f>
        <v>0.1343</v>
      </c>
      <c r="N351">
        <f>VLOOKUP($A351,'Temprorary Data'!$A:$G,5,FALSE)</f>
        <v>4</v>
      </c>
      <c r="O351">
        <f>VLOOKUP($A351,'Temprorary Data'!$A:$G,6,FALSE)</f>
        <v>19</v>
      </c>
      <c r="P351">
        <f>VLOOKUP($A351,'Temprorary Data'!$A:$G,7,FALSE)</f>
        <v>23</v>
      </c>
    </row>
    <row r="352" spans="1:16" ht="15.75" thickBot="1">
      <c r="A352" s="1">
        <v>351</v>
      </c>
      <c r="B352" s="2">
        <v>40559</v>
      </c>
      <c r="C352" s="1">
        <v>1</v>
      </c>
      <c r="D352" s="1">
        <v>0</v>
      </c>
      <c r="E352" s="1">
        <v>1</v>
      </c>
      <c r="F352" s="1">
        <v>2</v>
      </c>
      <c r="G352" s="3" t="b">
        <v>0</v>
      </c>
      <c r="H352" s="1">
        <v>0</v>
      </c>
      <c r="I352" s="1">
        <v>1</v>
      </c>
      <c r="J352" s="1">
        <v>0.26</v>
      </c>
      <c r="K352">
        <f>VLOOKUP($A352,'Temprorary Data'!$A:$G,2,FALSE)</f>
        <v>0.28789999999999999</v>
      </c>
      <c r="L352">
        <f>VLOOKUP($A352,'Temprorary Data'!$A:$G,3,FALSE)</f>
        <v>0.56000000000000005</v>
      </c>
      <c r="M352">
        <f>VLOOKUP($A352,'Temprorary Data'!$A:$G,4,FALSE)</f>
        <v>8.9599999999999999E-2</v>
      </c>
      <c r="N352">
        <f>VLOOKUP($A352,'Temprorary Data'!$A:$G,5,FALSE)</f>
        <v>3</v>
      </c>
      <c r="O352">
        <f>VLOOKUP($A352,'Temprorary Data'!$A:$G,6,FALSE)</f>
        <v>13</v>
      </c>
      <c r="P352">
        <f>VLOOKUP($A352,'Temprorary Data'!$A:$G,7,FALSE)</f>
        <v>16</v>
      </c>
    </row>
    <row r="353" spans="1:16" ht="15.75" thickBot="1">
      <c r="A353" s="1">
        <v>352</v>
      </c>
      <c r="B353" s="2">
        <v>40559</v>
      </c>
      <c r="C353" s="1">
        <v>1</v>
      </c>
      <c r="D353" s="1">
        <v>0</v>
      </c>
      <c r="E353" s="1">
        <v>1</v>
      </c>
      <c r="F353" s="1">
        <v>3</v>
      </c>
      <c r="G353" s="3" t="b">
        <v>0</v>
      </c>
      <c r="H353" s="1">
        <v>0</v>
      </c>
      <c r="I353" s="1">
        <v>1</v>
      </c>
      <c r="J353" s="1">
        <v>0.22</v>
      </c>
      <c r="K353">
        <f>VLOOKUP($A353,'Temprorary Data'!$A:$G,2,FALSE)</f>
        <v>0.2727</v>
      </c>
      <c r="L353">
        <f>VLOOKUP($A353,'Temprorary Data'!$A:$G,3,FALSE)</f>
        <v>0.69</v>
      </c>
      <c r="M353">
        <f>VLOOKUP($A353,'Temprorary Data'!$A:$G,4,FALSE)</f>
        <v>0</v>
      </c>
      <c r="N353">
        <f>VLOOKUP($A353,'Temprorary Data'!$A:$G,5,FALSE)</f>
        <v>9</v>
      </c>
      <c r="O353">
        <f>VLOOKUP($A353,'Temprorary Data'!$A:$G,6,FALSE)</f>
        <v>6</v>
      </c>
      <c r="P353">
        <f>VLOOKUP($A353,'Temprorary Data'!$A:$G,7,FALSE)</f>
        <v>15</v>
      </c>
    </row>
    <row r="354" spans="1:16" ht="15.75" thickBot="1">
      <c r="A354" s="1">
        <v>353</v>
      </c>
      <c r="B354" s="2">
        <v>40559</v>
      </c>
      <c r="C354" s="1">
        <v>1</v>
      </c>
      <c r="D354" s="1">
        <v>0</v>
      </c>
      <c r="E354" s="1">
        <v>1</v>
      </c>
      <c r="F354" s="1">
        <v>4</v>
      </c>
      <c r="G354" s="3" t="b">
        <v>0</v>
      </c>
      <c r="H354" s="1">
        <v>0</v>
      </c>
      <c r="I354" s="1">
        <v>1</v>
      </c>
      <c r="J354" s="1">
        <v>0.26</v>
      </c>
      <c r="K354">
        <f>VLOOKUP($A354,'Temprorary Data'!$A:$G,2,FALSE)</f>
        <v>0.2576</v>
      </c>
      <c r="L354">
        <f>VLOOKUP($A354,'Temprorary Data'!$A:$G,3,FALSE)</f>
        <v>0.56000000000000005</v>
      </c>
      <c r="M354">
        <f>VLOOKUP($A354,'Temprorary Data'!$A:$G,4,FALSE)</f>
        <v>0.16420000000000001</v>
      </c>
      <c r="N354">
        <f>VLOOKUP($A354,'Temprorary Data'!$A:$G,5,FALSE)</f>
        <v>0</v>
      </c>
      <c r="O354">
        <f>VLOOKUP($A354,'Temprorary Data'!$A:$G,6,FALSE)</f>
        <v>1</v>
      </c>
      <c r="P354">
        <f>VLOOKUP($A354,'Temprorary Data'!$A:$G,7,FALSE)</f>
        <v>1</v>
      </c>
    </row>
    <row r="355" spans="1:16" ht="15.75" thickBot="1">
      <c r="A355" s="1">
        <v>354</v>
      </c>
      <c r="B355" s="2">
        <v>40559</v>
      </c>
      <c r="C355" s="1">
        <v>1</v>
      </c>
      <c r="D355" s="1">
        <v>0</v>
      </c>
      <c r="E355" s="1">
        <v>1</v>
      </c>
      <c r="F355" s="1">
        <v>5</v>
      </c>
      <c r="G355" s="3" t="b">
        <v>0</v>
      </c>
      <c r="H355" s="1">
        <v>0</v>
      </c>
      <c r="I355" s="1">
        <v>2</v>
      </c>
      <c r="J355" s="1">
        <v>0.26</v>
      </c>
      <c r="K355">
        <f>VLOOKUP($A355,'Temprorary Data'!$A:$G,2,FALSE)</f>
        <v>0.2576</v>
      </c>
      <c r="L355">
        <f>VLOOKUP($A355,'Temprorary Data'!$A:$G,3,FALSE)</f>
        <v>0.56000000000000005</v>
      </c>
      <c r="M355">
        <f>VLOOKUP($A355,'Temprorary Data'!$A:$G,4,FALSE)</f>
        <v>0.16420000000000001</v>
      </c>
      <c r="N355">
        <f>VLOOKUP($A355,'Temprorary Data'!$A:$G,5,FALSE)</f>
        <v>1</v>
      </c>
      <c r="O355">
        <f>VLOOKUP($A355,'Temprorary Data'!$A:$G,6,FALSE)</f>
        <v>1</v>
      </c>
      <c r="P355">
        <f>VLOOKUP($A355,'Temprorary Data'!$A:$G,7,FALSE)</f>
        <v>2</v>
      </c>
    </row>
    <row r="356" spans="1:16" ht="15.75" thickBot="1">
      <c r="A356" s="1">
        <v>355</v>
      </c>
      <c r="B356" s="2">
        <v>40559</v>
      </c>
      <c r="C356" s="1">
        <v>1</v>
      </c>
      <c r="D356" s="1">
        <v>0</v>
      </c>
      <c r="E356" s="1">
        <v>1</v>
      </c>
      <c r="F356" s="1">
        <v>6</v>
      </c>
      <c r="G356" s="3" t="b">
        <v>0</v>
      </c>
      <c r="H356" s="1">
        <v>0</v>
      </c>
      <c r="I356" s="1">
        <v>2</v>
      </c>
      <c r="J356" s="1">
        <v>0.26</v>
      </c>
      <c r="K356">
        <f>VLOOKUP($A356,'Temprorary Data'!$A:$G,2,FALSE)</f>
        <v>0.2576</v>
      </c>
      <c r="L356">
        <f>VLOOKUP($A356,'Temprorary Data'!$A:$G,3,FALSE)</f>
        <v>0.56000000000000005</v>
      </c>
      <c r="M356">
        <f>VLOOKUP($A356,'Temprorary Data'!$A:$G,4,FALSE)</f>
        <v>0.16420000000000001</v>
      </c>
      <c r="N356">
        <f>VLOOKUP($A356,'Temprorary Data'!$A:$G,5,FALSE)</f>
        <v>0</v>
      </c>
      <c r="O356">
        <f>VLOOKUP($A356,'Temprorary Data'!$A:$G,6,FALSE)</f>
        <v>1</v>
      </c>
      <c r="P356">
        <f>VLOOKUP($A356,'Temprorary Data'!$A:$G,7,FALSE)</f>
        <v>1</v>
      </c>
    </row>
    <row r="357" spans="1:16" ht="15.75" thickBot="1">
      <c r="A357" s="1">
        <v>356</v>
      </c>
      <c r="B357" s="2">
        <v>40559</v>
      </c>
      <c r="C357" s="1">
        <v>1</v>
      </c>
      <c r="D357" s="1">
        <v>0</v>
      </c>
      <c r="E357" s="1">
        <v>1</v>
      </c>
      <c r="F357" s="1">
        <v>7</v>
      </c>
      <c r="G357" s="3" t="b">
        <v>0</v>
      </c>
      <c r="H357" s="1">
        <v>0</v>
      </c>
      <c r="I357" s="1">
        <v>2</v>
      </c>
      <c r="J357" s="1">
        <v>0.24</v>
      </c>
      <c r="K357">
        <f>VLOOKUP($A357,'Temprorary Data'!$A:$G,2,FALSE)</f>
        <v>0.21210000000000001</v>
      </c>
      <c r="L357">
        <f>VLOOKUP($A357,'Temprorary Data'!$A:$G,3,FALSE)</f>
        <v>0.56000000000000005</v>
      </c>
      <c r="M357">
        <f>VLOOKUP($A357,'Temprorary Data'!$A:$G,4,FALSE)</f>
        <v>0.29849999999999999</v>
      </c>
      <c r="N357">
        <f>VLOOKUP($A357,'Temprorary Data'!$A:$G,5,FALSE)</f>
        <v>0</v>
      </c>
      <c r="O357">
        <f>VLOOKUP($A357,'Temprorary Data'!$A:$G,6,FALSE)</f>
        <v>3</v>
      </c>
      <c r="P357">
        <f>VLOOKUP($A357,'Temprorary Data'!$A:$G,7,FALSE)</f>
        <v>3</v>
      </c>
    </row>
    <row r="358" spans="1:16" ht="15.75" thickBot="1">
      <c r="A358" s="1">
        <v>357</v>
      </c>
      <c r="B358" s="2">
        <v>40559</v>
      </c>
      <c r="C358" s="1">
        <v>1</v>
      </c>
      <c r="D358" s="1">
        <v>0</v>
      </c>
      <c r="E358" s="1">
        <v>1</v>
      </c>
      <c r="F358" s="1">
        <v>8</v>
      </c>
      <c r="G358" s="3" t="b">
        <v>0</v>
      </c>
      <c r="H358" s="1">
        <v>0</v>
      </c>
      <c r="I358" s="1">
        <v>1</v>
      </c>
      <c r="J358" s="1">
        <v>0.22</v>
      </c>
      <c r="K358">
        <f>VLOOKUP($A358,'Temprorary Data'!$A:$G,2,FALSE)</f>
        <v>0.21210000000000001</v>
      </c>
      <c r="L358">
        <f>VLOOKUP($A358,'Temprorary Data'!$A:$G,3,FALSE)</f>
        <v>0.55000000000000004</v>
      </c>
      <c r="M358">
        <f>VLOOKUP($A358,'Temprorary Data'!$A:$G,4,FALSE)</f>
        <v>0.28360000000000002</v>
      </c>
      <c r="N358">
        <f>VLOOKUP($A358,'Temprorary Data'!$A:$G,5,FALSE)</f>
        <v>0</v>
      </c>
      <c r="O358">
        <f>VLOOKUP($A358,'Temprorary Data'!$A:$G,6,FALSE)</f>
        <v>18</v>
      </c>
      <c r="P358">
        <f>VLOOKUP($A358,'Temprorary Data'!$A:$G,7,FALSE)</f>
        <v>18</v>
      </c>
    </row>
    <row r="359" spans="1:16" ht="15.75" thickBot="1">
      <c r="A359" s="1">
        <v>358</v>
      </c>
      <c r="B359" s="2">
        <v>40559</v>
      </c>
      <c r="C359" s="1">
        <v>1</v>
      </c>
      <c r="D359" s="1">
        <v>0</v>
      </c>
      <c r="E359" s="1">
        <v>1</v>
      </c>
      <c r="F359" s="1">
        <v>9</v>
      </c>
      <c r="G359" s="3" t="b">
        <v>0</v>
      </c>
      <c r="H359" s="1">
        <v>0</v>
      </c>
      <c r="I359" s="1">
        <v>1</v>
      </c>
      <c r="J359" s="1">
        <v>0.22</v>
      </c>
      <c r="K359">
        <f>VLOOKUP($A359,'Temprorary Data'!$A:$G,2,FALSE)</f>
        <v>0.21210000000000001</v>
      </c>
      <c r="L359">
        <f>VLOOKUP($A359,'Temprorary Data'!$A:$G,3,FALSE)</f>
        <v>0.51</v>
      </c>
      <c r="M359">
        <f>VLOOKUP($A359,'Temprorary Data'!$A:$G,4,FALSE)</f>
        <v>0.25369999999999998</v>
      </c>
      <c r="N359">
        <f>VLOOKUP($A359,'Temprorary Data'!$A:$G,5,FALSE)</f>
        <v>3</v>
      </c>
      <c r="O359">
        <f>VLOOKUP($A359,'Temprorary Data'!$A:$G,6,FALSE)</f>
        <v>29</v>
      </c>
      <c r="P359">
        <f>VLOOKUP($A359,'Temprorary Data'!$A:$G,7,FALSE)</f>
        <v>32</v>
      </c>
    </row>
    <row r="360" spans="1:16" ht="15.75" thickBot="1">
      <c r="A360" s="1">
        <v>359</v>
      </c>
      <c r="B360" s="2">
        <v>40559</v>
      </c>
      <c r="C360" s="1">
        <v>1</v>
      </c>
      <c r="D360" s="1">
        <v>0</v>
      </c>
      <c r="E360" s="1">
        <v>1</v>
      </c>
      <c r="F360" s="1">
        <v>10</v>
      </c>
      <c r="G360" s="3" t="b">
        <v>0</v>
      </c>
      <c r="H360" s="1">
        <v>0</v>
      </c>
      <c r="I360" s="1">
        <v>1</v>
      </c>
      <c r="J360" s="1">
        <v>0.22</v>
      </c>
      <c r="K360">
        <f>VLOOKUP($A360,'Temprorary Data'!$A:$G,2,FALSE)</f>
        <v>0.21210000000000001</v>
      </c>
      <c r="L360">
        <f>VLOOKUP($A360,'Temprorary Data'!$A:$G,3,FALSE)</f>
        <v>0.51</v>
      </c>
      <c r="M360">
        <f>VLOOKUP($A360,'Temprorary Data'!$A:$G,4,FALSE)</f>
        <v>0.28360000000000002</v>
      </c>
      <c r="N360">
        <f>VLOOKUP($A360,'Temprorary Data'!$A:$G,5,FALSE)</f>
        <v>8</v>
      </c>
      <c r="O360">
        <f>VLOOKUP($A360,'Temprorary Data'!$A:$G,6,FALSE)</f>
        <v>71</v>
      </c>
      <c r="P360">
        <f>VLOOKUP($A360,'Temprorary Data'!$A:$G,7,FALSE)</f>
        <v>79</v>
      </c>
    </row>
    <row r="361" spans="1:16" ht="15.75" thickBot="1">
      <c r="A361" s="1">
        <v>360</v>
      </c>
      <c r="B361" s="2">
        <v>40559</v>
      </c>
      <c r="C361" s="1">
        <v>1</v>
      </c>
      <c r="D361" s="1">
        <v>0</v>
      </c>
      <c r="E361" s="1">
        <v>1</v>
      </c>
      <c r="F361" s="1">
        <v>11</v>
      </c>
      <c r="G361" s="3" t="b">
        <v>0</v>
      </c>
      <c r="H361" s="1">
        <v>0</v>
      </c>
      <c r="I361" s="1">
        <v>1</v>
      </c>
      <c r="J361" s="1">
        <v>0.24</v>
      </c>
      <c r="K361">
        <f>VLOOKUP($A361,'Temprorary Data'!$A:$G,2,FALSE)</f>
        <v>0.2273</v>
      </c>
      <c r="L361">
        <f>VLOOKUP($A361,'Temprorary Data'!$A:$G,3,FALSE)</f>
        <v>0.44</v>
      </c>
      <c r="M361">
        <f>VLOOKUP($A361,'Temprorary Data'!$A:$G,4,FALSE)</f>
        <v>0.25369999999999998</v>
      </c>
      <c r="N361">
        <f>VLOOKUP($A361,'Temprorary Data'!$A:$G,5,FALSE)</f>
        <v>23</v>
      </c>
      <c r="O361">
        <f>VLOOKUP($A361,'Temprorary Data'!$A:$G,6,FALSE)</f>
        <v>70</v>
      </c>
      <c r="P361">
        <f>VLOOKUP($A361,'Temprorary Data'!$A:$G,7,FALSE)</f>
        <v>93</v>
      </c>
    </row>
    <row r="362" spans="1:16" ht="15.75" thickBot="1">
      <c r="A362" s="1">
        <v>361</v>
      </c>
      <c r="B362" s="2">
        <v>40559</v>
      </c>
      <c r="C362" s="1">
        <v>1</v>
      </c>
      <c r="D362" s="1">
        <v>0</v>
      </c>
      <c r="E362" s="1">
        <v>1</v>
      </c>
      <c r="F362" s="1">
        <v>12</v>
      </c>
      <c r="G362" s="3" t="b">
        <v>0</v>
      </c>
      <c r="H362" s="1">
        <v>0</v>
      </c>
      <c r="I362" s="1">
        <v>1</v>
      </c>
      <c r="J362" s="1">
        <v>0.24</v>
      </c>
      <c r="K362">
        <f>VLOOKUP($A362,'Temprorary Data'!$A:$G,2,FALSE)</f>
        <v>0.21210000000000001</v>
      </c>
      <c r="L362">
        <f>VLOOKUP($A362,'Temprorary Data'!$A:$G,3,FALSE)</f>
        <v>0.41</v>
      </c>
      <c r="M362">
        <f>VLOOKUP($A362,'Temprorary Data'!$A:$G,4,FALSE)</f>
        <v>0.28360000000000002</v>
      </c>
      <c r="N362">
        <f>VLOOKUP($A362,'Temprorary Data'!$A:$G,5,FALSE)</f>
        <v>29</v>
      </c>
      <c r="O362">
        <f>VLOOKUP($A362,'Temprorary Data'!$A:$G,6,FALSE)</f>
        <v>75</v>
      </c>
      <c r="P362">
        <f>VLOOKUP($A362,'Temprorary Data'!$A:$G,7,FALSE)</f>
        <v>104</v>
      </c>
    </row>
    <row r="363" spans="1:16" ht="15.75" thickBot="1">
      <c r="A363" s="1">
        <v>362</v>
      </c>
      <c r="B363" s="2">
        <v>40559</v>
      </c>
      <c r="C363" s="1">
        <v>1</v>
      </c>
      <c r="D363" s="1">
        <v>0</v>
      </c>
      <c r="E363" s="1">
        <v>1</v>
      </c>
      <c r="F363" s="1">
        <v>13</v>
      </c>
      <c r="G363" s="3" t="b">
        <v>0</v>
      </c>
      <c r="H363" s="1">
        <v>0</v>
      </c>
      <c r="I363" s="1">
        <v>1</v>
      </c>
      <c r="J363" s="1">
        <v>0.26</v>
      </c>
      <c r="K363">
        <f>VLOOKUP($A363,'Temprorary Data'!$A:$G,2,FALSE)</f>
        <v>0.2273</v>
      </c>
      <c r="L363">
        <f>VLOOKUP($A363,'Temprorary Data'!$A:$G,3,FALSE)</f>
        <v>0.35</v>
      </c>
      <c r="M363">
        <f>VLOOKUP($A363,'Temprorary Data'!$A:$G,4,FALSE)</f>
        <v>0.29849999999999999</v>
      </c>
      <c r="N363">
        <f>VLOOKUP($A363,'Temprorary Data'!$A:$G,5,FALSE)</f>
        <v>23</v>
      </c>
      <c r="O363">
        <f>VLOOKUP($A363,'Temprorary Data'!$A:$G,6,FALSE)</f>
        <v>95</v>
      </c>
      <c r="P363">
        <f>VLOOKUP($A363,'Temprorary Data'!$A:$G,7,FALSE)</f>
        <v>118</v>
      </c>
    </row>
    <row r="364" spans="1:16" ht="15.75" thickBot="1">
      <c r="A364" s="1">
        <v>363</v>
      </c>
      <c r="B364" s="2">
        <v>40559</v>
      </c>
      <c r="C364" s="1">
        <v>1</v>
      </c>
      <c r="D364" s="1">
        <v>0</v>
      </c>
      <c r="E364" s="1">
        <v>1</v>
      </c>
      <c r="F364" s="1">
        <v>14</v>
      </c>
      <c r="G364" s="3" t="b">
        <v>0</v>
      </c>
      <c r="H364" s="1">
        <v>0</v>
      </c>
      <c r="I364" s="1">
        <v>1</v>
      </c>
      <c r="J364" s="1">
        <v>0.28000000000000003</v>
      </c>
      <c r="K364">
        <f>VLOOKUP($A364,'Temprorary Data'!$A:$G,2,FALSE)</f>
        <v>0.2727</v>
      </c>
      <c r="L364">
        <f>VLOOKUP($A364,'Temprorary Data'!$A:$G,3,FALSE)</f>
        <v>0.36</v>
      </c>
      <c r="M364">
        <f>VLOOKUP($A364,'Temprorary Data'!$A:$G,4,FALSE)</f>
        <v>0.25369999999999998</v>
      </c>
      <c r="N364">
        <f>VLOOKUP($A364,'Temprorary Data'!$A:$G,5,FALSE)</f>
        <v>22</v>
      </c>
      <c r="O364">
        <f>VLOOKUP($A364,'Temprorary Data'!$A:$G,6,FALSE)</f>
        <v>69</v>
      </c>
      <c r="P364">
        <f>VLOOKUP($A364,'Temprorary Data'!$A:$G,7,FALSE)</f>
        <v>91</v>
      </c>
    </row>
    <row r="365" spans="1:16" ht="15.75" thickBot="1">
      <c r="A365" s="1">
        <v>364</v>
      </c>
      <c r="B365" s="2">
        <v>40559</v>
      </c>
      <c r="C365" s="1">
        <v>1</v>
      </c>
      <c r="D365" s="1">
        <v>0</v>
      </c>
      <c r="E365" s="1">
        <v>1</v>
      </c>
      <c r="F365" s="1">
        <v>15</v>
      </c>
      <c r="G365" s="3" t="b">
        <v>0</v>
      </c>
      <c r="H365" s="1">
        <v>0</v>
      </c>
      <c r="I365" s="1">
        <v>1</v>
      </c>
      <c r="J365" s="1">
        <v>0.26</v>
      </c>
      <c r="K365">
        <f>VLOOKUP($A365,'Temprorary Data'!$A:$G,2,FALSE)</f>
        <v>0.2424</v>
      </c>
      <c r="L365">
        <f>VLOOKUP($A365,'Temprorary Data'!$A:$G,3,FALSE)</f>
        <v>0.38</v>
      </c>
      <c r="M365">
        <f>VLOOKUP($A365,'Temprorary Data'!$A:$G,4,FALSE)</f>
        <v>0.25369999999999998</v>
      </c>
      <c r="N365">
        <f>VLOOKUP($A365,'Temprorary Data'!$A:$G,5,FALSE)</f>
        <v>35</v>
      </c>
      <c r="O365">
        <f>VLOOKUP($A365,'Temprorary Data'!$A:$G,6,FALSE)</f>
        <v>78</v>
      </c>
      <c r="P365">
        <f>VLOOKUP($A365,'Temprorary Data'!$A:$G,7,FALSE)</f>
        <v>113</v>
      </c>
    </row>
    <row r="366" spans="1:16" ht="15.75" thickBot="1">
      <c r="A366" s="1">
        <v>365</v>
      </c>
      <c r="B366" s="2">
        <v>40559</v>
      </c>
      <c r="C366" s="1">
        <v>1</v>
      </c>
      <c r="D366" s="1">
        <v>0</v>
      </c>
      <c r="E366" s="1">
        <v>1</v>
      </c>
      <c r="F366" s="1">
        <v>16</v>
      </c>
      <c r="G366" s="3" t="b">
        <v>0</v>
      </c>
      <c r="H366" s="1">
        <v>0</v>
      </c>
      <c r="I366" s="1">
        <v>1</v>
      </c>
      <c r="J366" s="1">
        <v>0.24</v>
      </c>
      <c r="K366">
        <f>VLOOKUP($A366,'Temprorary Data'!$A:$G,2,FALSE)</f>
        <v>0.2273</v>
      </c>
      <c r="L366">
        <f>VLOOKUP($A366,'Temprorary Data'!$A:$G,3,FALSE)</f>
        <v>0.38</v>
      </c>
      <c r="M366">
        <f>VLOOKUP($A366,'Temprorary Data'!$A:$G,4,FALSE)</f>
        <v>0.22389999999999999</v>
      </c>
      <c r="N366">
        <f>VLOOKUP($A366,'Temprorary Data'!$A:$G,5,FALSE)</f>
        <v>22</v>
      </c>
      <c r="O366">
        <f>VLOOKUP($A366,'Temprorary Data'!$A:$G,6,FALSE)</f>
        <v>77</v>
      </c>
      <c r="P366">
        <f>VLOOKUP($A366,'Temprorary Data'!$A:$G,7,FALSE)</f>
        <v>99</v>
      </c>
    </row>
    <row r="367" spans="1:16" ht="15.75" thickBot="1">
      <c r="A367" s="1">
        <v>366</v>
      </c>
      <c r="B367" s="2">
        <v>40559</v>
      </c>
      <c r="C367" s="1">
        <v>1</v>
      </c>
      <c r="D367" s="1">
        <v>0</v>
      </c>
      <c r="E367" s="1">
        <v>1</v>
      </c>
      <c r="F367" s="1">
        <v>17</v>
      </c>
      <c r="G367" s="3" t="b">
        <v>0</v>
      </c>
      <c r="H367" s="1">
        <v>0</v>
      </c>
      <c r="I367" s="1">
        <v>1</v>
      </c>
      <c r="J367" s="1">
        <v>0.22</v>
      </c>
      <c r="K367">
        <f>VLOOKUP($A367,'Temprorary Data'!$A:$G,2,FALSE)</f>
        <v>0.21210000000000001</v>
      </c>
      <c r="L367">
        <f>VLOOKUP($A367,'Temprorary Data'!$A:$G,3,FALSE)</f>
        <v>0.37</v>
      </c>
      <c r="M367">
        <f>VLOOKUP($A367,'Temprorary Data'!$A:$G,4,FALSE)</f>
        <v>0.25369999999999998</v>
      </c>
      <c r="N367">
        <f>VLOOKUP($A367,'Temprorary Data'!$A:$G,5,FALSE)</f>
        <v>23</v>
      </c>
      <c r="O367">
        <f>VLOOKUP($A367,'Temprorary Data'!$A:$G,6,FALSE)</f>
        <v>82</v>
      </c>
      <c r="P367">
        <f>VLOOKUP($A367,'Temprorary Data'!$A:$G,7,FALSE)</f>
        <v>105</v>
      </c>
    </row>
    <row r="368" spans="1:16" ht="15.75" thickBot="1">
      <c r="A368" s="1">
        <v>367</v>
      </c>
      <c r="B368" s="2">
        <v>40559</v>
      </c>
      <c r="C368" s="1">
        <v>1</v>
      </c>
      <c r="D368" s="1">
        <v>0</v>
      </c>
      <c r="E368" s="1">
        <v>1</v>
      </c>
      <c r="F368" s="1">
        <v>18</v>
      </c>
      <c r="G368" s="3" t="b">
        <v>0</v>
      </c>
      <c r="H368" s="1">
        <v>0</v>
      </c>
      <c r="I368" s="1">
        <v>1</v>
      </c>
      <c r="J368" s="1">
        <v>0.2</v>
      </c>
      <c r="K368">
        <f>VLOOKUP($A368,'Temprorary Data'!$A:$G,2,FALSE)</f>
        <v>0.21210000000000001</v>
      </c>
      <c r="L368">
        <f>VLOOKUP($A368,'Temprorary Data'!$A:$G,3,FALSE)</f>
        <v>0.4</v>
      </c>
      <c r="M368">
        <f>VLOOKUP($A368,'Temprorary Data'!$A:$G,4,FALSE)</f>
        <v>0.16420000000000001</v>
      </c>
      <c r="N368">
        <f>VLOOKUP($A368,'Temprorary Data'!$A:$G,5,FALSE)</f>
        <v>11</v>
      </c>
      <c r="O368">
        <f>VLOOKUP($A368,'Temprorary Data'!$A:$G,6,FALSE)</f>
        <v>56</v>
      </c>
      <c r="P368">
        <f>VLOOKUP($A368,'Temprorary Data'!$A:$G,7,FALSE)</f>
        <v>67</v>
      </c>
    </row>
    <row r="369" spans="1:16" ht="15.75" thickBot="1">
      <c r="A369" s="1">
        <v>368</v>
      </c>
      <c r="B369" s="2">
        <v>40559</v>
      </c>
      <c r="C369" s="1">
        <v>1</v>
      </c>
      <c r="D369" s="1">
        <v>0</v>
      </c>
      <c r="E369" s="1">
        <v>1</v>
      </c>
      <c r="F369" s="1">
        <v>19</v>
      </c>
      <c r="G369" s="3" t="b">
        <v>0</v>
      </c>
      <c r="H369" s="1">
        <v>0</v>
      </c>
      <c r="I369" s="1">
        <v>1</v>
      </c>
      <c r="J369" s="1">
        <v>0.18</v>
      </c>
      <c r="K369">
        <f>VLOOKUP($A369,'Temprorary Data'!$A:$G,2,FALSE)</f>
        <v>0.19700000000000001</v>
      </c>
      <c r="L369">
        <f>VLOOKUP($A369,'Temprorary Data'!$A:$G,3,FALSE)</f>
        <v>0.47</v>
      </c>
      <c r="M369">
        <f>VLOOKUP($A369,'Temprorary Data'!$A:$G,4,FALSE)</f>
        <v>0.1343</v>
      </c>
      <c r="N369">
        <f>VLOOKUP($A369,'Temprorary Data'!$A:$G,5,FALSE)</f>
        <v>14</v>
      </c>
      <c r="O369">
        <f>VLOOKUP($A369,'Temprorary Data'!$A:$G,6,FALSE)</f>
        <v>47</v>
      </c>
      <c r="P369">
        <f>VLOOKUP($A369,'Temprorary Data'!$A:$G,7,FALSE)</f>
        <v>61</v>
      </c>
    </row>
    <row r="370" spans="1:16" ht="15.75" thickBot="1">
      <c r="A370" s="1">
        <v>369</v>
      </c>
      <c r="B370" s="2">
        <v>40559</v>
      </c>
      <c r="C370" s="1">
        <v>1</v>
      </c>
      <c r="D370" s="1">
        <v>0</v>
      </c>
      <c r="E370" s="1">
        <v>1</v>
      </c>
      <c r="F370" s="1">
        <v>20</v>
      </c>
      <c r="G370" s="3" t="b">
        <v>0</v>
      </c>
      <c r="H370" s="1">
        <v>0</v>
      </c>
      <c r="I370" s="1">
        <v>1</v>
      </c>
      <c r="J370" s="1">
        <v>0.18</v>
      </c>
      <c r="K370">
        <f>VLOOKUP($A370,'Temprorary Data'!$A:$G,2,FALSE)</f>
        <v>0.19700000000000001</v>
      </c>
      <c r="L370">
        <f>VLOOKUP($A370,'Temprorary Data'!$A:$G,3,FALSE)</f>
        <v>0.47</v>
      </c>
      <c r="M370">
        <f>VLOOKUP($A370,'Temprorary Data'!$A:$G,4,FALSE)</f>
        <v>0.16420000000000001</v>
      </c>
      <c r="N370">
        <f>VLOOKUP($A370,'Temprorary Data'!$A:$G,5,FALSE)</f>
        <v>7</v>
      </c>
      <c r="O370">
        <f>VLOOKUP($A370,'Temprorary Data'!$A:$G,6,FALSE)</f>
        <v>50</v>
      </c>
      <c r="P370">
        <f>VLOOKUP($A370,'Temprorary Data'!$A:$G,7,FALSE)</f>
        <v>57</v>
      </c>
    </row>
    <row r="371" spans="1:16" ht="15.75" thickBot="1">
      <c r="A371" s="1">
        <v>370</v>
      </c>
      <c r="B371" s="2">
        <v>40559</v>
      </c>
      <c r="C371" s="1">
        <v>1</v>
      </c>
      <c r="D371" s="1">
        <v>0</v>
      </c>
      <c r="E371" s="1">
        <v>1</v>
      </c>
      <c r="F371" s="1">
        <v>21</v>
      </c>
      <c r="G371" s="3" t="b">
        <v>0</v>
      </c>
      <c r="H371" s="1">
        <v>0</v>
      </c>
      <c r="I371" s="1">
        <v>1</v>
      </c>
      <c r="J371" s="1">
        <v>0.18</v>
      </c>
      <c r="K371">
        <f>VLOOKUP($A371,'Temprorary Data'!$A:$G,2,FALSE)</f>
        <v>0.19700000000000001</v>
      </c>
      <c r="L371">
        <f>VLOOKUP($A371,'Temprorary Data'!$A:$G,3,FALSE)</f>
        <v>0.51</v>
      </c>
      <c r="M371">
        <f>VLOOKUP($A371,'Temprorary Data'!$A:$G,4,FALSE)</f>
        <v>0.16420000000000001</v>
      </c>
      <c r="N371">
        <f>VLOOKUP($A371,'Temprorary Data'!$A:$G,5,FALSE)</f>
        <v>6</v>
      </c>
      <c r="O371">
        <f>VLOOKUP($A371,'Temprorary Data'!$A:$G,6,FALSE)</f>
        <v>22</v>
      </c>
      <c r="P371">
        <f>VLOOKUP($A371,'Temprorary Data'!$A:$G,7,FALSE)</f>
        <v>28</v>
      </c>
    </row>
    <row r="372" spans="1:16" ht="15.75" thickBot="1">
      <c r="A372" s="1">
        <v>371</v>
      </c>
      <c r="B372" s="2">
        <v>40559</v>
      </c>
      <c r="C372" s="1">
        <v>1</v>
      </c>
      <c r="D372" s="1">
        <v>0</v>
      </c>
      <c r="E372" s="1">
        <v>1</v>
      </c>
      <c r="F372" s="1">
        <v>22</v>
      </c>
      <c r="G372" s="3" t="b">
        <v>0</v>
      </c>
      <c r="H372" s="1">
        <v>0</v>
      </c>
      <c r="I372" s="1">
        <v>2</v>
      </c>
      <c r="J372" s="1">
        <v>0.2</v>
      </c>
      <c r="K372">
        <f>VLOOKUP($A372,'Temprorary Data'!$A:$G,2,FALSE)</f>
        <v>0.21210000000000001</v>
      </c>
      <c r="L372">
        <f>VLOOKUP($A372,'Temprorary Data'!$A:$G,3,FALSE)</f>
        <v>0.49</v>
      </c>
      <c r="M372">
        <f>VLOOKUP($A372,'Temprorary Data'!$A:$G,4,FALSE)</f>
        <v>0.1343</v>
      </c>
      <c r="N372">
        <f>VLOOKUP($A372,'Temprorary Data'!$A:$G,5,FALSE)</f>
        <v>2</v>
      </c>
      <c r="O372">
        <f>VLOOKUP($A372,'Temprorary Data'!$A:$G,6,FALSE)</f>
        <v>19</v>
      </c>
      <c r="P372">
        <f>VLOOKUP($A372,'Temprorary Data'!$A:$G,7,FALSE)</f>
        <v>21</v>
      </c>
    </row>
    <row r="373" spans="1:16" ht="15.75" thickBot="1">
      <c r="A373" s="1">
        <v>372</v>
      </c>
      <c r="B373" s="2">
        <v>40559</v>
      </c>
      <c r="C373" s="1">
        <v>1</v>
      </c>
      <c r="D373" s="1">
        <v>0</v>
      </c>
      <c r="E373" s="1">
        <v>1</v>
      </c>
      <c r="F373" s="1">
        <v>23</v>
      </c>
      <c r="G373" s="3" t="b">
        <v>0</v>
      </c>
      <c r="H373" s="1">
        <v>0</v>
      </c>
      <c r="I373" s="1">
        <v>2</v>
      </c>
      <c r="J373" s="1">
        <v>0.2</v>
      </c>
      <c r="K373">
        <f>VLOOKUP($A373,'Temprorary Data'!$A:$G,2,FALSE)</f>
        <v>0.2273</v>
      </c>
      <c r="L373">
        <f>VLOOKUP($A373,'Temprorary Data'!$A:$G,3,FALSE)</f>
        <v>0.4</v>
      </c>
      <c r="M373">
        <f>VLOOKUP($A373,'Temprorary Data'!$A:$G,4,FALSE)</f>
        <v>0.1045</v>
      </c>
      <c r="N373">
        <f>VLOOKUP($A373,'Temprorary Data'!$A:$G,5,FALSE)</f>
        <v>0</v>
      </c>
      <c r="O373">
        <f>VLOOKUP($A373,'Temprorary Data'!$A:$G,6,FALSE)</f>
        <v>18</v>
      </c>
      <c r="P373">
        <f>VLOOKUP($A373,'Temprorary Data'!$A:$G,7,FALSE)</f>
        <v>18</v>
      </c>
    </row>
    <row r="374" spans="1:16" ht="15.75" thickBot="1">
      <c r="A374" s="1">
        <v>373</v>
      </c>
      <c r="B374" s="2">
        <v>40560</v>
      </c>
      <c r="C374" s="1">
        <v>1</v>
      </c>
      <c r="D374" s="1">
        <v>0</v>
      </c>
      <c r="E374" s="1">
        <v>1</v>
      </c>
      <c r="F374" s="1">
        <v>0</v>
      </c>
      <c r="G374" s="3" t="b">
        <v>1</v>
      </c>
      <c r="H374" s="1">
        <v>1</v>
      </c>
      <c r="I374" s="1">
        <v>2</v>
      </c>
      <c r="J374" s="1">
        <v>0.2</v>
      </c>
      <c r="K374">
        <f>VLOOKUP($A374,'Temprorary Data'!$A:$G,2,FALSE)</f>
        <v>0.19700000000000001</v>
      </c>
      <c r="L374">
        <f>VLOOKUP($A374,'Temprorary Data'!$A:$G,3,FALSE)</f>
        <v>0.47</v>
      </c>
      <c r="M374">
        <f>VLOOKUP($A374,'Temprorary Data'!$A:$G,4,FALSE)</f>
        <v>0.22389999999999999</v>
      </c>
      <c r="N374">
        <f>VLOOKUP($A374,'Temprorary Data'!$A:$G,5,FALSE)</f>
        <v>1</v>
      </c>
      <c r="O374">
        <f>VLOOKUP($A374,'Temprorary Data'!$A:$G,6,FALSE)</f>
        <v>16</v>
      </c>
      <c r="P374">
        <f>VLOOKUP($A374,'Temprorary Data'!$A:$G,7,FALSE)</f>
        <v>17</v>
      </c>
    </row>
    <row r="375" spans="1:16" ht="15.75" thickBot="1">
      <c r="A375" s="1">
        <v>374</v>
      </c>
      <c r="B375" s="2">
        <v>40560</v>
      </c>
      <c r="C375" s="1">
        <v>1</v>
      </c>
      <c r="D375" s="1">
        <v>0</v>
      </c>
      <c r="E375" s="1">
        <v>1</v>
      </c>
      <c r="F375" s="1">
        <v>1</v>
      </c>
      <c r="G375" s="3" t="b">
        <v>1</v>
      </c>
      <c r="H375" s="1">
        <v>1</v>
      </c>
      <c r="I375" s="1">
        <v>2</v>
      </c>
      <c r="J375" s="1">
        <v>0.2</v>
      </c>
      <c r="K375">
        <f>VLOOKUP($A375,'Temprorary Data'!$A:$G,2,FALSE)</f>
        <v>0.19700000000000001</v>
      </c>
      <c r="L375">
        <f>VLOOKUP($A375,'Temprorary Data'!$A:$G,3,FALSE)</f>
        <v>0.44</v>
      </c>
      <c r="M375">
        <f>VLOOKUP($A375,'Temprorary Data'!$A:$G,4,FALSE)</f>
        <v>0.19400000000000001</v>
      </c>
      <c r="N375">
        <f>VLOOKUP($A375,'Temprorary Data'!$A:$G,5,FALSE)</f>
        <v>1</v>
      </c>
      <c r="O375">
        <f>VLOOKUP($A375,'Temprorary Data'!$A:$G,6,FALSE)</f>
        <v>15</v>
      </c>
      <c r="P375">
        <f>VLOOKUP($A375,'Temprorary Data'!$A:$G,7,FALSE)</f>
        <v>16</v>
      </c>
    </row>
    <row r="376" spans="1:16" ht="15.75" thickBot="1">
      <c r="A376" s="1">
        <v>375</v>
      </c>
      <c r="B376" s="2">
        <v>40560</v>
      </c>
      <c r="C376" s="1">
        <v>1</v>
      </c>
      <c r="D376" s="1">
        <v>0</v>
      </c>
      <c r="E376" s="1">
        <v>1</v>
      </c>
      <c r="F376" s="1">
        <v>2</v>
      </c>
      <c r="G376" s="3" t="b">
        <v>1</v>
      </c>
      <c r="H376" s="1">
        <v>1</v>
      </c>
      <c r="I376" s="1">
        <v>2</v>
      </c>
      <c r="J376" s="1">
        <v>0.18</v>
      </c>
      <c r="K376">
        <f>VLOOKUP($A376,'Temprorary Data'!$A:$G,2,FALSE)</f>
        <v>0.16669999999999999</v>
      </c>
      <c r="L376">
        <f>VLOOKUP($A376,'Temprorary Data'!$A:$G,3,FALSE)</f>
        <v>0.43</v>
      </c>
      <c r="M376">
        <f>VLOOKUP($A376,'Temprorary Data'!$A:$G,4,FALSE)</f>
        <v>0.25369999999999998</v>
      </c>
      <c r="N376">
        <f>VLOOKUP($A376,'Temprorary Data'!$A:$G,5,FALSE)</f>
        <v>0</v>
      </c>
      <c r="O376">
        <f>VLOOKUP($A376,'Temprorary Data'!$A:$G,6,FALSE)</f>
        <v>8</v>
      </c>
      <c r="P376">
        <f>VLOOKUP($A376,'Temprorary Data'!$A:$G,7,FALSE)</f>
        <v>8</v>
      </c>
    </row>
    <row r="377" spans="1:16" ht="15.75" thickBot="1">
      <c r="A377" s="1">
        <v>376</v>
      </c>
      <c r="B377" s="2">
        <v>40560</v>
      </c>
      <c r="C377" s="1">
        <v>1</v>
      </c>
      <c r="D377" s="1">
        <v>0</v>
      </c>
      <c r="E377" s="1">
        <v>1</v>
      </c>
      <c r="F377" s="1">
        <v>3</v>
      </c>
      <c r="G377" s="3" t="b">
        <v>1</v>
      </c>
      <c r="H377" s="1">
        <v>1</v>
      </c>
      <c r="I377" s="1">
        <v>2</v>
      </c>
      <c r="J377" s="1">
        <v>0.18</v>
      </c>
      <c r="K377">
        <f>VLOOKUP($A377,'Temprorary Data'!$A:$G,2,FALSE)</f>
        <v>0.18179999999999999</v>
      </c>
      <c r="L377">
        <f>VLOOKUP($A377,'Temprorary Data'!$A:$G,3,FALSE)</f>
        <v>0.43</v>
      </c>
      <c r="M377">
        <f>VLOOKUP($A377,'Temprorary Data'!$A:$G,4,FALSE)</f>
        <v>0.19400000000000001</v>
      </c>
      <c r="N377">
        <f>VLOOKUP($A377,'Temprorary Data'!$A:$G,5,FALSE)</f>
        <v>0</v>
      </c>
      <c r="O377">
        <f>VLOOKUP($A377,'Temprorary Data'!$A:$G,6,FALSE)</f>
        <v>2</v>
      </c>
      <c r="P377">
        <f>VLOOKUP($A377,'Temprorary Data'!$A:$G,7,FALSE)</f>
        <v>2</v>
      </c>
    </row>
    <row r="378" spans="1:16" ht="15.75" thickBot="1">
      <c r="A378" s="1">
        <v>377</v>
      </c>
      <c r="B378" s="2">
        <v>40560</v>
      </c>
      <c r="C378" s="1">
        <v>1</v>
      </c>
      <c r="D378" s="1">
        <v>0</v>
      </c>
      <c r="E378" s="1">
        <v>1</v>
      </c>
      <c r="F378" s="1">
        <v>4</v>
      </c>
      <c r="G378" s="3" t="b">
        <v>1</v>
      </c>
      <c r="H378" s="1">
        <v>1</v>
      </c>
      <c r="I378" s="1">
        <v>2</v>
      </c>
      <c r="J378" s="1">
        <v>0.18</v>
      </c>
      <c r="K378">
        <f>VLOOKUP($A378,'Temprorary Data'!$A:$G,2,FALSE)</f>
        <v>0.19700000000000001</v>
      </c>
      <c r="L378">
        <f>VLOOKUP($A378,'Temprorary Data'!$A:$G,3,FALSE)</f>
        <v>0.43</v>
      </c>
      <c r="M378">
        <f>VLOOKUP($A378,'Temprorary Data'!$A:$G,4,FALSE)</f>
        <v>0.1343</v>
      </c>
      <c r="N378">
        <f>VLOOKUP($A378,'Temprorary Data'!$A:$G,5,FALSE)</f>
        <v>1</v>
      </c>
      <c r="O378">
        <f>VLOOKUP($A378,'Temprorary Data'!$A:$G,6,FALSE)</f>
        <v>2</v>
      </c>
      <c r="P378">
        <f>VLOOKUP($A378,'Temprorary Data'!$A:$G,7,FALSE)</f>
        <v>3</v>
      </c>
    </row>
    <row r="379" spans="1:16" ht="15.75" thickBot="1">
      <c r="A379" s="1">
        <v>378</v>
      </c>
      <c r="B379" s="2">
        <v>40560</v>
      </c>
      <c r="C379" s="1">
        <v>1</v>
      </c>
      <c r="D379" s="1">
        <v>0</v>
      </c>
      <c r="E379" s="1">
        <v>1</v>
      </c>
      <c r="F379" s="1">
        <v>5</v>
      </c>
      <c r="G379" s="3" t="b">
        <v>1</v>
      </c>
      <c r="H379" s="1">
        <v>1</v>
      </c>
      <c r="I379" s="1">
        <v>2</v>
      </c>
      <c r="J379" s="1">
        <v>0.18</v>
      </c>
      <c r="K379">
        <f>VLOOKUP($A379,'Temprorary Data'!$A:$G,2,FALSE)</f>
        <v>0.19700000000000001</v>
      </c>
      <c r="L379">
        <f>VLOOKUP($A379,'Temprorary Data'!$A:$G,3,FALSE)</f>
        <v>0.43</v>
      </c>
      <c r="M379">
        <f>VLOOKUP($A379,'Temprorary Data'!$A:$G,4,FALSE)</f>
        <v>0.16420000000000001</v>
      </c>
      <c r="N379">
        <f>VLOOKUP($A379,'Temprorary Data'!$A:$G,5,FALSE)</f>
        <v>0</v>
      </c>
      <c r="O379">
        <f>VLOOKUP($A379,'Temprorary Data'!$A:$G,6,FALSE)</f>
        <v>1</v>
      </c>
      <c r="P379">
        <f>VLOOKUP($A379,'Temprorary Data'!$A:$G,7,FALSE)</f>
        <v>1</v>
      </c>
    </row>
    <row r="380" spans="1:16" ht="15.75" thickBot="1">
      <c r="A380" s="1">
        <v>379</v>
      </c>
      <c r="B380" s="2">
        <v>40560</v>
      </c>
      <c r="C380" s="1">
        <v>1</v>
      </c>
      <c r="D380" s="1">
        <v>0</v>
      </c>
      <c r="E380" s="1">
        <v>1</v>
      </c>
      <c r="F380" s="1">
        <v>6</v>
      </c>
      <c r="G380" s="3" t="b">
        <v>1</v>
      </c>
      <c r="H380" s="1">
        <v>1</v>
      </c>
      <c r="I380" s="1">
        <v>2</v>
      </c>
      <c r="J380" s="1">
        <v>0.18</v>
      </c>
      <c r="K380">
        <f>VLOOKUP($A380,'Temprorary Data'!$A:$G,2,FALSE)</f>
        <v>0.18179999999999999</v>
      </c>
      <c r="L380">
        <f>VLOOKUP($A380,'Temprorary Data'!$A:$G,3,FALSE)</f>
        <v>0.43</v>
      </c>
      <c r="M380">
        <f>VLOOKUP($A380,'Temprorary Data'!$A:$G,4,FALSE)</f>
        <v>0.19400000000000001</v>
      </c>
      <c r="N380">
        <f>VLOOKUP($A380,'Temprorary Data'!$A:$G,5,FALSE)</f>
        <v>0</v>
      </c>
      <c r="O380">
        <f>VLOOKUP($A380,'Temprorary Data'!$A:$G,6,FALSE)</f>
        <v>5</v>
      </c>
      <c r="P380">
        <f>VLOOKUP($A380,'Temprorary Data'!$A:$G,7,FALSE)</f>
        <v>5</v>
      </c>
    </row>
    <row r="381" spans="1:16" ht="15.75" thickBot="1">
      <c r="A381" s="1">
        <v>380</v>
      </c>
      <c r="B381" s="2">
        <v>40560</v>
      </c>
      <c r="C381" s="1">
        <v>1</v>
      </c>
      <c r="D381" s="1">
        <v>0</v>
      </c>
      <c r="E381" s="1">
        <v>1</v>
      </c>
      <c r="F381" s="1">
        <v>7</v>
      </c>
      <c r="G381" s="3" t="b">
        <v>1</v>
      </c>
      <c r="H381" s="1">
        <v>1</v>
      </c>
      <c r="I381" s="1">
        <v>2</v>
      </c>
      <c r="J381" s="1">
        <v>0.16</v>
      </c>
      <c r="K381">
        <f>VLOOKUP($A381,'Temprorary Data'!$A:$G,2,FALSE)</f>
        <v>0.18179999999999999</v>
      </c>
      <c r="L381">
        <f>VLOOKUP($A381,'Temprorary Data'!$A:$G,3,FALSE)</f>
        <v>0.5</v>
      </c>
      <c r="M381">
        <f>VLOOKUP($A381,'Temprorary Data'!$A:$G,4,FALSE)</f>
        <v>0.1343</v>
      </c>
      <c r="N381">
        <f>VLOOKUP($A381,'Temprorary Data'!$A:$G,5,FALSE)</f>
        <v>4</v>
      </c>
      <c r="O381">
        <f>VLOOKUP($A381,'Temprorary Data'!$A:$G,6,FALSE)</f>
        <v>9</v>
      </c>
      <c r="P381">
        <f>VLOOKUP($A381,'Temprorary Data'!$A:$G,7,FALSE)</f>
        <v>13</v>
      </c>
    </row>
    <row r="382" spans="1:16" ht="15.75" thickBot="1">
      <c r="A382" s="1">
        <v>381</v>
      </c>
      <c r="B382" s="2">
        <v>40560</v>
      </c>
      <c r="C382" s="1">
        <v>1</v>
      </c>
      <c r="D382" s="1">
        <v>0</v>
      </c>
      <c r="E382" s="1">
        <v>1</v>
      </c>
      <c r="F382" s="1">
        <v>8</v>
      </c>
      <c r="G382" s="3" t="b">
        <v>1</v>
      </c>
      <c r="H382" s="1">
        <v>1</v>
      </c>
      <c r="I382" s="1">
        <v>2</v>
      </c>
      <c r="J382" s="1">
        <v>0.16</v>
      </c>
      <c r="K382">
        <f>VLOOKUP($A382,'Temprorary Data'!$A:$G,2,FALSE)</f>
        <v>0.1515</v>
      </c>
      <c r="L382">
        <f>VLOOKUP($A382,'Temprorary Data'!$A:$G,3,FALSE)</f>
        <v>0.47</v>
      </c>
      <c r="M382">
        <f>VLOOKUP($A382,'Temprorary Data'!$A:$G,4,FALSE)</f>
        <v>0.22389999999999999</v>
      </c>
      <c r="N382">
        <f>VLOOKUP($A382,'Temprorary Data'!$A:$G,5,FALSE)</f>
        <v>3</v>
      </c>
      <c r="O382">
        <f>VLOOKUP($A382,'Temprorary Data'!$A:$G,6,FALSE)</f>
        <v>30</v>
      </c>
      <c r="P382">
        <f>VLOOKUP($A382,'Temprorary Data'!$A:$G,7,FALSE)</f>
        <v>33</v>
      </c>
    </row>
    <row r="383" spans="1:16" ht="15.75" thickBot="1">
      <c r="A383" s="1">
        <v>382</v>
      </c>
      <c r="B383" s="2">
        <v>40560</v>
      </c>
      <c r="C383" s="1">
        <v>1</v>
      </c>
      <c r="D383" s="1">
        <v>0</v>
      </c>
      <c r="E383" s="1">
        <v>1</v>
      </c>
      <c r="F383" s="1">
        <v>9</v>
      </c>
      <c r="G383" s="3" t="b">
        <v>1</v>
      </c>
      <c r="H383" s="1">
        <v>1</v>
      </c>
      <c r="I383" s="1">
        <v>2</v>
      </c>
      <c r="J383" s="1">
        <v>0.16</v>
      </c>
      <c r="K383">
        <f>VLOOKUP($A383,'Temprorary Data'!$A:$G,2,FALSE)</f>
        <v>0.1515</v>
      </c>
      <c r="L383">
        <f>VLOOKUP($A383,'Temprorary Data'!$A:$G,3,FALSE)</f>
        <v>0.47</v>
      </c>
      <c r="M383">
        <f>VLOOKUP($A383,'Temprorary Data'!$A:$G,4,FALSE)</f>
        <v>0.22389999999999999</v>
      </c>
      <c r="N383">
        <f>VLOOKUP($A383,'Temprorary Data'!$A:$G,5,FALSE)</f>
        <v>8</v>
      </c>
      <c r="O383">
        <f>VLOOKUP($A383,'Temprorary Data'!$A:$G,6,FALSE)</f>
        <v>39</v>
      </c>
      <c r="P383">
        <f>VLOOKUP($A383,'Temprorary Data'!$A:$G,7,FALSE)</f>
        <v>47</v>
      </c>
    </row>
    <row r="384" spans="1:16" ht="15.75" thickBot="1">
      <c r="A384" s="1">
        <v>383</v>
      </c>
      <c r="B384" s="2">
        <v>40560</v>
      </c>
      <c r="C384" s="1">
        <v>1</v>
      </c>
      <c r="D384" s="1">
        <v>0</v>
      </c>
      <c r="E384" s="1">
        <v>1</v>
      </c>
      <c r="F384" s="1">
        <v>10</v>
      </c>
      <c r="G384" s="3" t="b">
        <v>1</v>
      </c>
      <c r="H384" s="1">
        <v>1</v>
      </c>
      <c r="I384" s="1">
        <v>2</v>
      </c>
      <c r="J384" s="1">
        <v>0.16</v>
      </c>
      <c r="K384">
        <f>VLOOKUP($A384,'Temprorary Data'!$A:$G,2,FALSE)</f>
        <v>0.1515</v>
      </c>
      <c r="L384">
        <f>VLOOKUP($A384,'Temprorary Data'!$A:$G,3,FALSE)</f>
        <v>0.5</v>
      </c>
      <c r="M384">
        <f>VLOOKUP($A384,'Temprorary Data'!$A:$G,4,FALSE)</f>
        <v>0.25369999999999998</v>
      </c>
      <c r="N384">
        <f>VLOOKUP($A384,'Temprorary Data'!$A:$G,5,FALSE)</f>
        <v>7</v>
      </c>
      <c r="O384">
        <f>VLOOKUP($A384,'Temprorary Data'!$A:$G,6,FALSE)</f>
        <v>50</v>
      </c>
      <c r="P384">
        <f>VLOOKUP($A384,'Temprorary Data'!$A:$G,7,FALSE)</f>
        <v>57</v>
      </c>
    </row>
    <row r="385" spans="1:16" ht="15.75" thickBot="1">
      <c r="A385" s="1">
        <v>384</v>
      </c>
      <c r="B385" s="2">
        <v>40560</v>
      </c>
      <c r="C385" s="1">
        <v>1</v>
      </c>
      <c r="D385" s="1">
        <v>0</v>
      </c>
      <c r="E385" s="1">
        <v>1</v>
      </c>
      <c r="F385" s="1">
        <v>11</v>
      </c>
      <c r="G385" s="3" t="b">
        <v>1</v>
      </c>
      <c r="H385" s="1">
        <v>1</v>
      </c>
      <c r="I385" s="1">
        <v>2</v>
      </c>
      <c r="J385" s="1">
        <v>0.16</v>
      </c>
      <c r="K385">
        <f>VLOOKUP($A385,'Temprorary Data'!$A:$G,2,FALSE)</f>
        <v>0.1515</v>
      </c>
      <c r="L385">
        <f>VLOOKUP($A385,'Temprorary Data'!$A:$G,3,FALSE)</f>
        <v>0.55000000000000004</v>
      </c>
      <c r="M385">
        <f>VLOOKUP($A385,'Temprorary Data'!$A:$G,4,FALSE)</f>
        <v>0.19400000000000001</v>
      </c>
      <c r="N385">
        <f>VLOOKUP($A385,'Temprorary Data'!$A:$G,5,FALSE)</f>
        <v>9</v>
      </c>
      <c r="O385">
        <f>VLOOKUP($A385,'Temprorary Data'!$A:$G,6,FALSE)</f>
        <v>55</v>
      </c>
      <c r="P385">
        <f>VLOOKUP($A385,'Temprorary Data'!$A:$G,7,FALSE)</f>
        <v>64</v>
      </c>
    </row>
    <row r="386" spans="1:16" ht="15.75" thickBot="1">
      <c r="A386" s="1">
        <v>385</v>
      </c>
      <c r="B386" s="2">
        <v>40560</v>
      </c>
      <c r="C386" s="1">
        <v>1</v>
      </c>
      <c r="D386" s="1">
        <v>0</v>
      </c>
      <c r="E386" s="1">
        <v>1</v>
      </c>
      <c r="F386" s="1">
        <v>12</v>
      </c>
      <c r="G386" s="3" t="b">
        <v>1</v>
      </c>
      <c r="H386" s="1">
        <v>1</v>
      </c>
      <c r="I386" s="1">
        <v>2</v>
      </c>
      <c r="J386" s="1">
        <v>0.18</v>
      </c>
      <c r="K386">
        <f>VLOOKUP($A386,'Temprorary Data'!$A:$G,2,FALSE)</f>
        <v>0.19700000000000001</v>
      </c>
      <c r="L386">
        <f>VLOOKUP($A386,'Temprorary Data'!$A:$G,3,FALSE)</f>
        <v>0.47</v>
      </c>
      <c r="M386">
        <f>VLOOKUP($A386,'Temprorary Data'!$A:$G,4,FALSE)</f>
        <v>0.1343</v>
      </c>
      <c r="N386">
        <f>VLOOKUP($A386,'Temprorary Data'!$A:$G,5,FALSE)</f>
        <v>10</v>
      </c>
      <c r="O386">
        <f>VLOOKUP($A386,'Temprorary Data'!$A:$G,6,FALSE)</f>
        <v>70</v>
      </c>
      <c r="P386">
        <f>VLOOKUP($A386,'Temprorary Data'!$A:$G,7,FALSE)</f>
        <v>80</v>
      </c>
    </row>
    <row r="387" spans="1:16" ht="15.75" thickBot="1">
      <c r="A387" s="1">
        <v>386</v>
      </c>
      <c r="B387" s="2">
        <v>40560</v>
      </c>
      <c r="C387" s="1">
        <v>1</v>
      </c>
      <c r="D387" s="1">
        <v>0</v>
      </c>
      <c r="E387" s="1">
        <v>1</v>
      </c>
      <c r="F387" s="1">
        <v>13</v>
      </c>
      <c r="G387" s="3" t="b">
        <v>1</v>
      </c>
      <c r="H387" s="1">
        <v>1</v>
      </c>
      <c r="I387" s="1">
        <v>2</v>
      </c>
      <c r="J387" s="1">
        <v>0.18</v>
      </c>
      <c r="K387">
        <f>VLOOKUP($A387,'Temprorary Data'!$A:$G,2,FALSE)</f>
        <v>0.19700000000000001</v>
      </c>
      <c r="L387">
        <f>VLOOKUP($A387,'Temprorary Data'!$A:$G,3,FALSE)</f>
        <v>0.47</v>
      </c>
      <c r="M387">
        <f>VLOOKUP($A387,'Temprorary Data'!$A:$G,4,FALSE)</f>
        <v>0.1343</v>
      </c>
      <c r="N387">
        <f>VLOOKUP($A387,'Temprorary Data'!$A:$G,5,FALSE)</f>
        <v>13</v>
      </c>
      <c r="O387">
        <f>VLOOKUP($A387,'Temprorary Data'!$A:$G,6,FALSE)</f>
        <v>80</v>
      </c>
      <c r="P387">
        <f>VLOOKUP($A387,'Temprorary Data'!$A:$G,7,FALSE)</f>
        <v>93</v>
      </c>
    </row>
    <row r="388" spans="1:16" ht="15.75" thickBot="1">
      <c r="A388" s="1">
        <v>387</v>
      </c>
      <c r="B388" s="2">
        <v>40560</v>
      </c>
      <c r="C388" s="1">
        <v>1</v>
      </c>
      <c r="D388" s="1">
        <v>0</v>
      </c>
      <c r="E388" s="1">
        <v>1</v>
      </c>
      <c r="F388" s="1">
        <v>14</v>
      </c>
      <c r="G388" s="3" t="b">
        <v>1</v>
      </c>
      <c r="H388" s="1">
        <v>1</v>
      </c>
      <c r="I388" s="1">
        <v>2</v>
      </c>
      <c r="J388" s="1">
        <v>0.18</v>
      </c>
      <c r="K388">
        <f>VLOOKUP($A388,'Temprorary Data'!$A:$G,2,FALSE)</f>
        <v>0.21210000000000001</v>
      </c>
      <c r="L388">
        <f>VLOOKUP($A388,'Temprorary Data'!$A:$G,3,FALSE)</f>
        <v>0.43</v>
      </c>
      <c r="M388">
        <f>VLOOKUP($A388,'Temprorary Data'!$A:$G,4,FALSE)</f>
        <v>0.1045</v>
      </c>
      <c r="N388">
        <f>VLOOKUP($A388,'Temprorary Data'!$A:$G,5,FALSE)</f>
        <v>12</v>
      </c>
      <c r="O388">
        <f>VLOOKUP($A388,'Temprorary Data'!$A:$G,6,FALSE)</f>
        <v>74</v>
      </c>
      <c r="P388">
        <f>VLOOKUP($A388,'Temprorary Data'!$A:$G,7,FALSE)</f>
        <v>86</v>
      </c>
    </row>
    <row r="389" spans="1:16" ht="15.75" thickBot="1">
      <c r="A389" s="1">
        <v>388</v>
      </c>
      <c r="B389" s="2">
        <v>40560</v>
      </c>
      <c r="C389" s="1">
        <v>1</v>
      </c>
      <c r="D389" s="1">
        <v>0</v>
      </c>
      <c r="E389" s="1">
        <v>1</v>
      </c>
      <c r="F389" s="1">
        <v>15</v>
      </c>
      <c r="G389" s="3" t="b">
        <v>1</v>
      </c>
      <c r="H389" s="1">
        <v>1</v>
      </c>
      <c r="I389" s="1">
        <v>2</v>
      </c>
      <c r="J389" s="1">
        <v>0.2</v>
      </c>
      <c r="K389">
        <f>VLOOKUP($A389,'Temprorary Data'!$A:$G,2,FALSE)</f>
        <v>0.21210000000000001</v>
      </c>
      <c r="L389">
        <f>VLOOKUP($A389,'Temprorary Data'!$A:$G,3,FALSE)</f>
        <v>0.47</v>
      </c>
      <c r="M389">
        <f>VLOOKUP($A389,'Temprorary Data'!$A:$G,4,FALSE)</f>
        <v>0.16420000000000001</v>
      </c>
      <c r="N389">
        <f>VLOOKUP($A389,'Temprorary Data'!$A:$G,5,FALSE)</f>
        <v>21</v>
      </c>
      <c r="O389">
        <f>VLOOKUP($A389,'Temprorary Data'!$A:$G,6,FALSE)</f>
        <v>72</v>
      </c>
      <c r="P389">
        <f>VLOOKUP($A389,'Temprorary Data'!$A:$G,7,FALSE)</f>
        <v>93</v>
      </c>
    </row>
    <row r="390" spans="1:16" ht="15.75" thickBot="1">
      <c r="A390" s="1">
        <v>389</v>
      </c>
      <c r="B390" s="2">
        <v>40560</v>
      </c>
      <c r="C390" s="1">
        <v>1</v>
      </c>
      <c r="D390" s="1">
        <v>0</v>
      </c>
      <c r="E390" s="1">
        <v>1</v>
      </c>
      <c r="F390" s="1">
        <v>16</v>
      </c>
      <c r="G390" s="3" t="b">
        <v>1</v>
      </c>
      <c r="H390" s="1">
        <v>1</v>
      </c>
      <c r="I390" s="1">
        <v>2</v>
      </c>
      <c r="J390" s="1">
        <v>0.2</v>
      </c>
      <c r="K390">
        <f>VLOOKUP($A390,'Temprorary Data'!$A:$G,2,FALSE)</f>
        <v>0.21210000000000001</v>
      </c>
      <c r="L390">
        <f>VLOOKUP($A390,'Temprorary Data'!$A:$G,3,FALSE)</f>
        <v>0.47</v>
      </c>
      <c r="M390">
        <f>VLOOKUP($A390,'Temprorary Data'!$A:$G,4,FALSE)</f>
        <v>0.16420000000000001</v>
      </c>
      <c r="N390">
        <f>VLOOKUP($A390,'Temprorary Data'!$A:$G,5,FALSE)</f>
        <v>6</v>
      </c>
      <c r="O390">
        <f>VLOOKUP($A390,'Temprorary Data'!$A:$G,6,FALSE)</f>
        <v>76</v>
      </c>
      <c r="P390">
        <f>VLOOKUP($A390,'Temprorary Data'!$A:$G,7,FALSE)</f>
        <v>82</v>
      </c>
    </row>
    <row r="391" spans="1:16" ht="15.75" thickBot="1">
      <c r="A391" s="1">
        <v>390</v>
      </c>
      <c r="B391" s="2">
        <v>40560</v>
      </c>
      <c r="C391" s="1">
        <v>1</v>
      </c>
      <c r="D391" s="1">
        <v>0</v>
      </c>
      <c r="E391" s="1">
        <v>1</v>
      </c>
      <c r="F391" s="1">
        <v>17</v>
      </c>
      <c r="G391" s="3" t="b">
        <v>1</v>
      </c>
      <c r="H391" s="1">
        <v>1</v>
      </c>
      <c r="I391" s="1">
        <v>1</v>
      </c>
      <c r="J391" s="1">
        <v>0.2</v>
      </c>
      <c r="K391">
        <f>VLOOKUP($A391,'Temprorary Data'!$A:$G,2,FALSE)</f>
        <v>0.19700000000000001</v>
      </c>
      <c r="L391">
        <f>VLOOKUP($A391,'Temprorary Data'!$A:$G,3,FALSE)</f>
        <v>0.51</v>
      </c>
      <c r="M391">
        <f>VLOOKUP($A391,'Temprorary Data'!$A:$G,4,FALSE)</f>
        <v>0.19400000000000001</v>
      </c>
      <c r="N391">
        <f>VLOOKUP($A391,'Temprorary Data'!$A:$G,5,FALSE)</f>
        <v>4</v>
      </c>
      <c r="O391">
        <f>VLOOKUP($A391,'Temprorary Data'!$A:$G,6,FALSE)</f>
        <v>67</v>
      </c>
      <c r="P391">
        <f>VLOOKUP($A391,'Temprorary Data'!$A:$G,7,FALSE)</f>
        <v>71</v>
      </c>
    </row>
    <row r="392" spans="1:16" ht="15.75" thickBot="1">
      <c r="A392" s="1">
        <v>391</v>
      </c>
      <c r="B392" s="2">
        <v>40560</v>
      </c>
      <c r="C392" s="1">
        <v>1</v>
      </c>
      <c r="D392" s="1">
        <v>0</v>
      </c>
      <c r="E392" s="1">
        <v>1</v>
      </c>
      <c r="F392" s="1">
        <v>18</v>
      </c>
      <c r="G392" s="3" t="b">
        <v>1</v>
      </c>
      <c r="H392" s="1">
        <v>1</v>
      </c>
      <c r="I392" s="1">
        <v>2</v>
      </c>
      <c r="J392" s="1">
        <v>0.18</v>
      </c>
      <c r="K392">
        <f>VLOOKUP($A392,'Temprorary Data'!$A:$G,2,FALSE)</f>
        <v>0.16669999999999999</v>
      </c>
      <c r="L392">
        <f>VLOOKUP($A392,'Temprorary Data'!$A:$G,3,FALSE)</f>
        <v>0.55000000000000004</v>
      </c>
      <c r="M392">
        <f>VLOOKUP($A392,'Temprorary Data'!$A:$G,4,FALSE)</f>
        <v>0.25369999999999998</v>
      </c>
      <c r="N392">
        <f>VLOOKUP($A392,'Temprorary Data'!$A:$G,5,FALSE)</f>
        <v>7</v>
      </c>
      <c r="O392">
        <f>VLOOKUP($A392,'Temprorary Data'!$A:$G,6,FALSE)</f>
        <v>85</v>
      </c>
      <c r="P392">
        <f>VLOOKUP($A392,'Temprorary Data'!$A:$G,7,FALSE)</f>
        <v>92</v>
      </c>
    </row>
    <row r="393" spans="1:16" ht="15.75" thickBot="1">
      <c r="A393" s="1">
        <v>392</v>
      </c>
      <c r="B393" s="2">
        <v>40560</v>
      </c>
      <c r="C393" s="1">
        <v>1</v>
      </c>
      <c r="D393" s="1">
        <v>0</v>
      </c>
      <c r="E393" s="1">
        <v>1</v>
      </c>
      <c r="F393" s="1">
        <v>19</v>
      </c>
      <c r="G393" s="3" t="b">
        <v>1</v>
      </c>
      <c r="H393" s="1">
        <v>1</v>
      </c>
      <c r="I393" s="1">
        <v>3</v>
      </c>
      <c r="J393" s="1">
        <v>0.18</v>
      </c>
      <c r="K393">
        <f>VLOOKUP($A393,'Temprorary Data'!$A:$G,2,FALSE)</f>
        <v>0.18179999999999999</v>
      </c>
      <c r="L393">
        <f>VLOOKUP($A393,'Temprorary Data'!$A:$G,3,FALSE)</f>
        <v>0.59</v>
      </c>
      <c r="M393">
        <f>VLOOKUP($A393,'Temprorary Data'!$A:$G,4,FALSE)</f>
        <v>0.19400000000000001</v>
      </c>
      <c r="N393">
        <f>VLOOKUP($A393,'Temprorary Data'!$A:$G,5,FALSE)</f>
        <v>2</v>
      </c>
      <c r="O393">
        <f>VLOOKUP($A393,'Temprorary Data'!$A:$G,6,FALSE)</f>
        <v>58</v>
      </c>
      <c r="P393">
        <f>VLOOKUP($A393,'Temprorary Data'!$A:$G,7,FALSE)</f>
        <v>60</v>
      </c>
    </row>
    <row r="394" spans="1:16" ht="15.75" thickBot="1">
      <c r="A394" s="1">
        <v>393</v>
      </c>
      <c r="B394" s="2">
        <v>40560</v>
      </c>
      <c r="C394" s="1">
        <v>1</v>
      </c>
      <c r="D394" s="1">
        <v>0</v>
      </c>
      <c r="E394" s="1">
        <v>1</v>
      </c>
      <c r="F394" s="1">
        <v>20</v>
      </c>
      <c r="G394" s="3" t="b">
        <v>1</v>
      </c>
      <c r="H394" s="1">
        <v>1</v>
      </c>
      <c r="I394" s="1">
        <v>3</v>
      </c>
      <c r="J394" s="1">
        <v>0.16</v>
      </c>
      <c r="K394">
        <f>VLOOKUP($A394,'Temprorary Data'!$A:$G,2,FALSE)</f>
        <v>0.1515</v>
      </c>
      <c r="L394">
        <f>VLOOKUP($A394,'Temprorary Data'!$A:$G,3,FALSE)</f>
        <v>0.8</v>
      </c>
      <c r="M394">
        <f>VLOOKUP($A394,'Temprorary Data'!$A:$G,4,FALSE)</f>
        <v>0.19400000000000001</v>
      </c>
      <c r="N394">
        <f>VLOOKUP($A394,'Temprorary Data'!$A:$G,5,FALSE)</f>
        <v>4</v>
      </c>
      <c r="O394">
        <f>VLOOKUP($A394,'Temprorary Data'!$A:$G,6,FALSE)</f>
        <v>29</v>
      </c>
      <c r="P394">
        <f>VLOOKUP($A394,'Temprorary Data'!$A:$G,7,FALSE)</f>
        <v>33</v>
      </c>
    </row>
    <row r="395" spans="1:16" ht="15.75" thickBot="1">
      <c r="A395" s="1">
        <v>394</v>
      </c>
      <c r="B395" s="2">
        <v>40560</v>
      </c>
      <c r="C395" s="1">
        <v>1</v>
      </c>
      <c r="D395" s="1">
        <v>0</v>
      </c>
      <c r="E395" s="1">
        <v>1</v>
      </c>
      <c r="F395" s="1">
        <v>21</v>
      </c>
      <c r="G395" s="3" t="b">
        <v>1</v>
      </c>
      <c r="H395" s="1">
        <v>1</v>
      </c>
      <c r="I395" s="1">
        <v>3</v>
      </c>
      <c r="J395" s="1">
        <v>0.16</v>
      </c>
      <c r="K395">
        <f>VLOOKUP($A395,'Temprorary Data'!$A:$G,2,FALSE)</f>
        <v>0.1515</v>
      </c>
      <c r="L395">
        <f>VLOOKUP($A395,'Temprorary Data'!$A:$G,3,FALSE)</f>
        <v>0.8</v>
      </c>
      <c r="M395">
        <f>VLOOKUP($A395,'Temprorary Data'!$A:$G,4,FALSE)</f>
        <v>0.19400000000000001</v>
      </c>
      <c r="N395">
        <f>VLOOKUP($A395,'Temprorary Data'!$A:$G,5,FALSE)</f>
        <v>3</v>
      </c>
      <c r="O395">
        <f>VLOOKUP($A395,'Temprorary Data'!$A:$G,6,FALSE)</f>
        <v>24</v>
      </c>
      <c r="P395">
        <f>VLOOKUP($A395,'Temprorary Data'!$A:$G,7,FALSE)</f>
        <v>27</v>
      </c>
    </row>
    <row r="396" spans="1:16" ht="15.75" thickBot="1">
      <c r="A396" s="1">
        <v>395</v>
      </c>
      <c r="B396" s="2">
        <v>40560</v>
      </c>
      <c r="C396" s="1">
        <v>1</v>
      </c>
      <c r="D396" s="1">
        <v>0</v>
      </c>
      <c r="E396" s="1">
        <v>1</v>
      </c>
      <c r="F396" s="1">
        <v>22</v>
      </c>
      <c r="G396" s="3" t="b">
        <v>1</v>
      </c>
      <c r="H396" s="1">
        <v>1</v>
      </c>
      <c r="I396" s="1">
        <v>3</v>
      </c>
      <c r="J396" s="1">
        <v>0.14000000000000001</v>
      </c>
      <c r="K396">
        <f>VLOOKUP($A396,'Temprorary Data'!$A:$G,2,FALSE)</f>
        <v>0.1212</v>
      </c>
      <c r="L396">
        <f>VLOOKUP($A396,'Temprorary Data'!$A:$G,3,FALSE)</f>
        <v>0.93</v>
      </c>
      <c r="M396">
        <f>VLOOKUP($A396,'Temprorary Data'!$A:$G,4,FALSE)</f>
        <v>0.25369999999999998</v>
      </c>
      <c r="N396">
        <f>VLOOKUP($A396,'Temprorary Data'!$A:$G,5,FALSE)</f>
        <v>0</v>
      </c>
      <c r="O396">
        <f>VLOOKUP($A396,'Temprorary Data'!$A:$G,6,FALSE)</f>
        <v>13</v>
      </c>
      <c r="P396">
        <f>VLOOKUP($A396,'Temprorary Data'!$A:$G,7,FALSE)</f>
        <v>13</v>
      </c>
    </row>
    <row r="397" spans="1:16" ht="15.75" thickBot="1">
      <c r="A397" s="1">
        <v>396</v>
      </c>
      <c r="B397" s="2">
        <v>40560</v>
      </c>
      <c r="C397" s="1">
        <v>1</v>
      </c>
      <c r="D397" s="1">
        <v>0</v>
      </c>
      <c r="E397" s="1">
        <v>1</v>
      </c>
      <c r="F397" s="1">
        <v>23</v>
      </c>
      <c r="G397" s="3" t="b">
        <v>1</v>
      </c>
      <c r="H397" s="1">
        <v>1</v>
      </c>
      <c r="I397" s="1">
        <v>3</v>
      </c>
      <c r="J397" s="1">
        <v>0.16</v>
      </c>
      <c r="K397">
        <f>VLOOKUP($A397,'Temprorary Data'!$A:$G,2,FALSE)</f>
        <v>0.13639999999999999</v>
      </c>
      <c r="L397">
        <f>VLOOKUP($A397,'Temprorary Data'!$A:$G,3,FALSE)</f>
        <v>0.86</v>
      </c>
      <c r="M397">
        <f>VLOOKUP($A397,'Temprorary Data'!$A:$G,4,FALSE)</f>
        <v>0.28360000000000002</v>
      </c>
      <c r="N397">
        <f>VLOOKUP($A397,'Temprorary Data'!$A:$G,5,FALSE)</f>
        <v>1</v>
      </c>
      <c r="O397">
        <f>VLOOKUP($A397,'Temprorary Data'!$A:$G,6,FALSE)</f>
        <v>3</v>
      </c>
      <c r="P397">
        <f>VLOOKUP($A397,'Temprorary Data'!$A:$G,7,FALSE)</f>
        <v>4</v>
      </c>
    </row>
    <row r="398" spans="1:16" ht="15.75" thickBot="1">
      <c r="A398" s="1">
        <v>397</v>
      </c>
      <c r="B398" s="2">
        <v>40561</v>
      </c>
      <c r="C398" s="1">
        <v>1</v>
      </c>
      <c r="D398" s="1">
        <v>0</v>
      </c>
      <c r="E398" s="1">
        <v>1</v>
      </c>
      <c r="F398" s="1">
        <v>12</v>
      </c>
      <c r="G398" s="3" t="b">
        <v>0</v>
      </c>
      <c r="H398" s="1">
        <v>2</v>
      </c>
      <c r="I398" s="1">
        <v>2</v>
      </c>
      <c r="J398" s="1">
        <v>0.2</v>
      </c>
      <c r="K398">
        <f>VLOOKUP($A398,'Temprorary Data'!$A:$G,2,FALSE)</f>
        <v>0.18179999999999999</v>
      </c>
      <c r="L398">
        <f>VLOOKUP($A398,'Temprorary Data'!$A:$G,3,FALSE)</f>
        <v>0.86</v>
      </c>
      <c r="M398">
        <f>VLOOKUP($A398,'Temprorary Data'!$A:$G,4,FALSE)</f>
        <v>0.32840000000000003</v>
      </c>
      <c r="N398">
        <f>VLOOKUP($A398,'Temprorary Data'!$A:$G,5,FALSE)</f>
        <v>0</v>
      </c>
      <c r="O398">
        <f>VLOOKUP($A398,'Temprorary Data'!$A:$G,6,FALSE)</f>
        <v>3</v>
      </c>
      <c r="P398">
        <f>VLOOKUP($A398,'Temprorary Data'!$A:$G,7,FALSE)</f>
        <v>3</v>
      </c>
    </row>
    <row r="399" spans="1:16" ht="15.75" thickBot="1">
      <c r="A399" s="1">
        <v>398</v>
      </c>
      <c r="B399" s="2">
        <v>40561</v>
      </c>
      <c r="C399" s="1">
        <v>1</v>
      </c>
      <c r="D399" s="1">
        <v>0</v>
      </c>
      <c r="E399" s="1">
        <v>1</v>
      </c>
      <c r="F399" s="1">
        <v>13</v>
      </c>
      <c r="G399" s="3" t="b">
        <v>0</v>
      </c>
      <c r="H399" s="1">
        <v>2</v>
      </c>
      <c r="I399" s="1">
        <v>2</v>
      </c>
      <c r="J399" s="1">
        <v>0.2</v>
      </c>
      <c r="K399">
        <f>VLOOKUP($A399,'Temprorary Data'!$A:$G,2,FALSE)</f>
        <v>0.19700000000000001</v>
      </c>
      <c r="L399">
        <f>VLOOKUP($A399,'Temprorary Data'!$A:$G,3,FALSE)</f>
        <v>0.86</v>
      </c>
      <c r="M399">
        <f>VLOOKUP($A399,'Temprorary Data'!$A:$G,4,FALSE)</f>
        <v>0.22389999999999999</v>
      </c>
      <c r="N399">
        <f>VLOOKUP($A399,'Temprorary Data'!$A:$G,5,FALSE)</f>
        <v>0</v>
      </c>
      <c r="O399">
        <f>VLOOKUP($A399,'Temprorary Data'!$A:$G,6,FALSE)</f>
        <v>22</v>
      </c>
      <c r="P399">
        <f>VLOOKUP($A399,'Temprorary Data'!$A:$G,7,FALSE)</f>
        <v>22</v>
      </c>
    </row>
    <row r="400" spans="1:16" ht="15.75" thickBot="1">
      <c r="A400" s="1">
        <v>399</v>
      </c>
      <c r="B400" s="2">
        <v>40561</v>
      </c>
      <c r="C400" s="1">
        <v>1</v>
      </c>
      <c r="D400" s="1">
        <v>0</v>
      </c>
      <c r="E400" s="1">
        <v>1</v>
      </c>
      <c r="F400" s="1">
        <v>14</v>
      </c>
      <c r="G400" s="3" t="b">
        <v>0</v>
      </c>
      <c r="H400" s="1">
        <v>2</v>
      </c>
      <c r="I400" s="1">
        <v>2</v>
      </c>
      <c r="J400" s="1">
        <v>0.22</v>
      </c>
      <c r="K400">
        <f>VLOOKUP($A400,'Temprorary Data'!$A:$G,2,FALSE)</f>
        <v>0.2273</v>
      </c>
      <c r="L400">
        <f>VLOOKUP($A400,'Temprorary Data'!$A:$G,3,FALSE)</f>
        <v>0.8</v>
      </c>
      <c r="M400">
        <f>VLOOKUP($A400,'Temprorary Data'!$A:$G,4,FALSE)</f>
        <v>0.16420000000000001</v>
      </c>
      <c r="N400">
        <f>VLOOKUP($A400,'Temprorary Data'!$A:$G,5,FALSE)</f>
        <v>2</v>
      </c>
      <c r="O400">
        <f>VLOOKUP($A400,'Temprorary Data'!$A:$G,6,FALSE)</f>
        <v>26</v>
      </c>
      <c r="P400">
        <f>VLOOKUP($A400,'Temprorary Data'!$A:$G,7,FALSE)</f>
        <v>28</v>
      </c>
    </row>
    <row r="401" spans="1:16" ht="15.75" thickBot="1">
      <c r="A401" s="1">
        <v>400</v>
      </c>
      <c r="B401" s="2">
        <v>40561</v>
      </c>
      <c r="C401" s="1">
        <v>1</v>
      </c>
      <c r="D401" s="1">
        <v>0</v>
      </c>
      <c r="E401" s="1">
        <v>1</v>
      </c>
      <c r="F401" s="1">
        <v>15</v>
      </c>
      <c r="G401" s="3" t="b">
        <v>0</v>
      </c>
      <c r="H401" s="1">
        <v>2</v>
      </c>
      <c r="I401" s="1">
        <v>2</v>
      </c>
      <c r="J401" s="1">
        <v>0.22</v>
      </c>
      <c r="K401">
        <f>VLOOKUP($A401,'Temprorary Data'!$A:$G,2,FALSE)</f>
        <v>0.2273</v>
      </c>
      <c r="L401">
        <f>VLOOKUP($A401,'Temprorary Data'!$A:$G,3,FALSE)</f>
        <v>0.87</v>
      </c>
      <c r="M401">
        <f>VLOOKUP($A401,'Temprorary Data'!$A:$G,4,FALSE)</f>
        <v>0.16420000000000001</v>
      </c>
      <c r="N401">
        <f>VLOOKUP($A401,'Temprorary Data'!$A:$G,5,FALSE)</f>
        <v>3</v>
      </c>
      <c r="O401">
        <f>VLOOKUP($A401,'Temprorary Data'!$A:$G,6,FALSE)</f>
        <v>32</v>
      </c>
      <c r="P401">
        <f>VLOOKUP($A401,'Temprorary Data'!$A:$G,7,FALSE)</f>
        <v>35</v>
      </c>
    </row>
    <row r="402" spans="1:16" ht="15.75" thickBot="1">
      <c r="A402" s="1">
        <v>401</v>
      </c>
      <c r="B402" s="2">
        <v>40561</v>
      </c>
      <c r="C402" s="1">
        <v>1</v>
      </c>
      <c r="D402" s="1">
        <v>0</v>
      </c>
      <c r="E402" s="1">
        <v>1</v>
      </c>
      <c r="F402" s="1">
        <v>16</v>
      </c>
      <c r="G402" s="3" t="b">
        <v>0</v>
      </c>
      <c r="H402" s="1">
        <v>2</v>
      </c>
      <c r="I402" s="1">
        <v>2</v>
      </c>
      <c r="J402" s="1">
        <v>0.22</v>
      </c>
      <c r="K402">
        <f>VLOOKUP($A402,'Temprorary Data'!$A:$G,2,FALSE)</f>
        <v>0.2273</v>
      </c>
      <c r="L402">
        <f>VLOOKUP($A402,'Temprorary Data'!$A:$G,3,FALSE)</f>
        <v>0.87</v>
      </c>
      <c r="M402">
        <f>VLOOKUP($A402,'Temprorary Data'!$A:$G,4,FALSE)</f>
        <v>0.19400000000000001</v>
      </c>
      <c r="N402">
        <f>VLOOKUP($A402,'Temprorary Data'!$A:$G,5,FALSE)</f>
        <v>0</v>
      </c>
      <c r="O402">
        <f>VLOOKUP($A402,'Temprorary Data'!$A:$G,6,FALSE)</f>
        <v>61</v>
      </c>
      <c r="P402">
        <f>VLOOKUP($A402,'Temprorary Data'!$A:$G,7,FALSE)</f>
        <v>61</v>
      </c>
    </row>
    <row r="403" spans="1:16" ht="15.75" thickBot="1">
      <c r="A403" s="1">
        <v>402</v>
      </c>
      <c r="B403" s="2">
        <v>40561</v>
      </c>
      <c r="C403" s="1">
        <v>1</v>
      </c>
      <c r="D403" s="1">
        <v>0</v>
      </c>
      <c r="E403" s="1">
        <v>1</v>
      </c>
      <c r="F403" s="1">
        <v>17</v>
      </c>
      <c r="G403" s="3" t="b">
        <v>0</v>
      </c>
      <c r="H403" s="1">
        <v>2</v>
      </c>
      <c r="I403" s="1">
        <v>2</v>
      </c>
      <c r="J403" s="1">
        <v>0.22</v>
      </c>
      <c r="K403">
        <f>VLOOKUP($A403,'Temprorary Data'!$A:$G,2,FALSE)</f>
        <v>0.2273</v>
      </c>
      <c r="L403">
        <f>VLOOKUP($A403,'Temprorary Data'!$A:$G,3,FALSE)</f>
        <v>0.82</v>
      </c>
      <c r="M403">
        <f>VLOOKUP($A403,'Temprorary Data'!$A:$G,4,FALSE)</f>
        <v>0.19400000000000001</v>
      </c>
      <c r="N403">
        <f>VLOOKUP($A403,'Temprorary Data'!$A:$G,5,FALSE)</f>
        <v>1</v>
      </c>
      <c r="O403">
        <f>VLOOKUP($A403,'Temprorary Data'!$A:$G,6,FALSE)</f>
        <v>124</v>
      </c>
      <c r="P403">
        <f>VLOOKUP($A403,'Temprorary Data'!$A:$G,7,FALSE)</f>
        <v>125</v>
      </c>
    </row>
    <row r="404" spans="1:16" ht="15.75" thickBot="1">
      <c r="A404" s="1">
        <v>403</v>
      </c>
      <c r="B404" s="2">
        <v>40561</v>
      </c>
      <c r="C404" s="1">
        <v>1</v>
      </c>
      <c r="D404" s="1">
        <v>0</v>
      </c>
      <c r="E404" s="1">
        <v>1</v>
      </c>
      <c r="F404" s="1">
        <v>18</v>
      </c>
      <c r="G404" s="3" t="b">
        <v>0</v>
      </c>
      <c r="H404" s="1">
        <v>2</v>
      </c>
      <c r="I404" s="1">
        <v>2</v>
      </c>
      <c r="J404" s="1">
        <v>0.22</v>
      </c>
      <c r="K404">
        <f>VLOOKUP($A404,'Temprorary Data'!$A:$G,2,FALSE)</f>
        <v>0.2273</v>
      </c>
      <c r="L404">
        <f>VLOOKUP($A404,'Temprorary Data'!$A:$G,3,FALSE)</f>
        <v>0.8</v>
      </c>
      <c r="M404">
        <f>VLOOKUP($A404,'Temprorary Data'!$A:$G,4,FALSE)</f>
        <v>0.16420000000000001</v>
      </c>
      <c r="N404">
        <f>VLOOKUP($A404,'Temprorary Data'!$A:$G,5,FALSE)</f>
        <v>1</v>
      </c>
      <c r="O404">
        <f>VLOOKUP($A404,'Temprorary Data'!$A:$G,6,FALSE)</f>
        <v>132</v>
      </c>
      <c r="P404">
        <f>VLOOKUP($A404,'Temprorary Data'!$A:$G,7,FALSE)</f>
        <v>133</v>
      </c>
    </row>
    <row r="405" spans="1:16" ht="15.75" thickBot="1">
      <c r="A405" s="1">
        <v>404</v>
      </c>
      <c r="B405" s="2">
        <v>40561</v>
      </c>
      <c r="C405" s="1">
        <v>1</v>
      </c>
      <c r="D405" s="1">
        <v>0</v>
      </c>
      <c r="E405" s="1">
        <v>1</v>
      </c>
      <c r="F405" s="1">
        <v>19</v>
      </c>
      <c r="G405" s="3" t="b">
        <v>0</v>
      </c>
      <c r="H405" s="1">
        <v>2</v>
      </c>
      <c r="I405" s="1">
        <v>2</v>
      </c>
      <c r="J405" s="1">
        <v>0.22</v>
      </c>
      <c r="K405">
        <f>VLOOKUP($A405,'Temprorary Data'!$A:$G,2,FALSE)</f>
        <v>0.2273</v>
      </c>
      <c r="L405">
        <f>VLOOKUP($A405,'Temprorary Data'!$A:$G,3,FALSE)</f>
        <v>0.8</v>
      </c>
      <c r="M405">
        <f>VLOOKUP($A405,'Temprorary Data'!$A:$G,4,FALSE)</f>
        <v>0.1343</v>
      </c>
      <c r="N405">
        <f>VLOOKUP($A405,'Temprorary Data'!$A:$G,5,FALSE)</f>
        <v>1</v>
      </c>
      <c r="O405">
        <f>VLOOKUP($A405,'Temprorary Data'!$A:$G,6,FALSE)</f>
        <v>98</v>
      </c>
      <c r="P405">
        <f>VLOOKUP($A405,'Temprorary Data'!$A:$G,7,FALSE)</f>
        <v>99</v>
      </c>
    </row>
    <row r="406" spans="1:16" ht="15.75" thickBot="1">
      <c r="A406" s="1">
        <v>405</v>
      </c>
      <c r="B406" s="2">
        <v>40561</v>
      </c>
      <c r="C406" s="1">
        <v>1</v>
      </c>
      <c r="D406" s="1">
        <v>0</v>
      </c>
      <c r="E406" s="1">
        <v>1</v>
      </c>
      <c r="F406" s="1">
        <v>20</v>
      </c>
      <c r="G406" s="3" t="b">
        <v>0</v>
      </c>
      <c r="H406" s="1">
        <v>2</v>
      </c>
      <c r="I406" s="1">
        <v>2</v>
      </c>
      <c r="J406" s="1">
        <v>0.22</v>
      </c>
      <c r="K406">
        <f>VLOOKUP($A406,'Temprorary Data'!$A:$G,2,FALSE)</f>
        <v>0.2727</v>
      </c>
      <c r="L406">
        <f>VLOOKUP($A406,'Temprorary Data'!$A:$G,3,FALSE)</f>
        <v>0.87</v>
      </c>
      <c r="M406">
        <f>VLOOKUP($A406,'Temprorary Data'!$A:$G,4,FALSE)</f>
        <v>0</v>
      </c>
      <c r="N406">
        <f>VLOOKUP($A406,'Temprorary Data'!$A:$G,5,FALSE)</f>
        <v>0</v>
      </c>
      <c r="O406">
        <f>VLOOKUP($A406,'Temprorary Data'!$A:$G,6,FALSE)</f>
        <v>83</v>
      </c>
      <c r="P406">
        <f>VLOOKUP($A406,'Temprorary Data'!$A:$G,7,FALSE)</f>
        <v>83</v>
      </c>
    </row>
    <row r="407" spans="1:16" ht="15.75" thickBot="1">
      <c r="A407" s="1">
        <v>406</v>
      </c>
      <c r="B407" s="2">
        <v>40561</v>
      </c>
      <c r="C407" s="1">
        <v>1</v>
      </c>
      <c r="D407" s="1">
        <v>0</v>
      </c>
      <c r="E407" s="1">
        <v>1</v>
      </c>
      <c r="F407" s="1">
        <v>21</v>
      </c>
      <c r="G407" s="3" t="b">
        <v>0</v>
      </c>
      <c r="H407" s="1">
        <v>2</v>
      </c>
      <c r="I407" s="1">
        <v>2</v>
      </c>
      <c r="J407" s="1">
        <v>0.22</v>
      </c>
      <c r="K407">
        <f>VLOOKUP($A407,'Temprorary Data'!$A:$G,2,FALSE)</f>
        <v>0.2424</v>
      </c>
      <c r="L407">
        <f>VLOOKUP($A407,'Temprorary Data'!$A:$G,3,FALSE)</f>
        <v>0.93</v>
      </c>
      <c r="M407">
        <f>VLOOKUP($A407,'Temprorary Data'!$A:$G,4,FALSE)</f>
        <v>0.1045</v>
      </c>
      <c r="N407">
        <f>VLOOKUP($A407,'Temprorary Data'!$A:$G,5,FALSE)</f>
        <v>0</v>
      </c>
      <c r="O407">
        <f>VLOOKUP($A407,'Temprorary Data'!$A:$G,6,FALSE)</f>
        <v>41</v>
      </c>
      <c r="P407">
        <f>VLOOKUP($A407,'Temprorary Data'!$A:$G,7,FALSE)</f>
        <v>41</v>
      </c>
    </row>
    <row r="408" spans="1:16" ht="15.75" thickBot="1">
      <c r="A408" s="1">
        <v>407</v>
      </c>
      <c r="B408" s="2">
        <v>40561</v>
      </c>
      <c r="C408" s="1">
        <v>1</v>
      </c>
      <c r="D408" s="1">
        <v>0</v>
      </c>
      <c r="E408" s="1">
        <v>1</v>
      </c>
      <c r="F408" s="1">
        <v>22</v>
      </c>
      <c r="G408" s="3" t="b">
        <v>0</v>
      </c>
      <c r="H408" s="1">
        <v>2</v>
      </c>
      <c r="I408" s="1">
        <v>2</v>
      </c>
      <c r="J408" s="1">
        <v>0.22</v>
      </c>
      <c r="K408">
        <f>VLOOKUP($A408,'Temprorary Data'!$A:$G,2,FALSE)</f>
        <v>0.2576</v>
      </c>
      <c r="L408">
        <f>VLOOKUP($A408,'Temprorary Data'!$A:$G,3,FALSE)</f>
        <v>0.93</v>
      </c>
      <c r="M408">
        <f>VLOOKUP($A408,'Temprorary Data'!$A:$G,4,FALSE)</f>
        <v>8.9599999999999999E-2</v>
      </c>
      <c r="N408">
        <f>VLOOKUP($A408,'Temprorary Data'!$A:$G,5,FALSE)</f>
        <v>0</v>
      </c>
      <c r="O408">
        <f>VLOOKUP($A408,'Temprorary Data'!$A:$G,6,FALSE)</f>
        <v>33</v>
      </c>
      <c r="P408">
        <f>VLOOKUP($A408,'Temprorary Data'!$A:$G,7,FALSE)</f>
        <v>33</v>
      </c>
    </row>
    <row r="409" spans="1:16" ht="15.75" thickBot="1">
      <c r="A409" s="1">
        <v>408</v>
      </c>
      <c r="B409" s="2">
        <v>40561</v>
      </c>
      <c r="C409" s="1">
        <v>1</v>
      </c>
      <c r="D409" s="1">
        <v>0</v>
      </c>
      <c r="E409" s="1">
        <v>1</v>
      </c>
      <c r="F409" s="1">
        <v>23</v>
      </c>
      <c r="G409" s="3" t="b">
        <v>0</v>
      </c>
      <c r="H409" s="1">
        <v>2</v>
      </c>
      <c r="I409" s="1">
        <v>2</v>
      </c>
      <c r="J409" s="1">
        <v>0.22</v>
      </c>
      <c r="K409">
        <f>VLOOKUP($A409,'Temprorary Data'!$A:$G,2,FALSE)</f>
        <v>0.2727</v>
      </c>
      <c r="L409">
        <f>VLOOKUP($A409,'Temprorary Data'!$A:$G,3,FALSE)</f>
        <v>0.93</v>
      </c>
      <c r="M409">
        <f>VLOOKUP($A409,'Temprorary Data'!$A:$G,4,FALSE)</f>
        <v>0</v>
      </c>
      <c r="N409">
        <f>VLOOKUP($A409,'Temprorary Data'!$A:$G,5,FALSE)</f>
        <v>1</v>
      </c>
      <c r="O409">
        <f>VLOOKUP($A409,'Temprorary Data'!$A:$G,6,FALSE)</f>
        <v>19</v>
      </c>
      <c r="P409">
        <f>VLOOKUP($A409,'Temprorary Data'!$A:$G,7,FALSE)</f>
        <v>20</v>
      </c>
    </row>
    <row r="410" spans="1:16" ht="15.75" thickBot="1">
      <c r="A410" s="1">
        <v>409</v>
      </c>
      <c r="B410" s="2">
        <v>40562</v>
      </c>
      <c r="C410" s="1">
        <v>1</v>
      </c>
      <c r="D410" s="1">
        <v>0</v>
      </c>
      <c r="E410" s="1">
        <v>1</v>
      </c>
      <c r="F410" s="1">
        <v>0</v>
      </c>
      <c r="G410" s="3" t="b">
        <v>0</v>
      </c>
      <c r="H410" s="1">
        <v>3</v>
      </c>
      <c r="I410" s="1">
        <v>2</v>
      </c>
      <c r="J410" s="1">
        <v>0.22</v>
      </c>
      <c r="K410">
        <f>VLOOKUP($A410,'Temprorary Data'!$A:$G,2,FALSE)</f>
        <v>0.2727</v>
      </c>
      <c r="L410">
        <f>VLOOKUP($A410,'Temprorary Data'!$A:$G,3,FALSE)</f>
        <v>0.93</v>
      </c>
      <c r="M410">
        <f>VLOOKUP($A410,'Temprorary Data'!$A:$G,4,FALSE)</f>
        <v>0</v>
      </c>
      <c r="N410">
        <f>VLOOKUP($A410,'Temprorary Data'!$A:$G,5,FALSE)</f>
        <v>0</v>
      </c>
      <c r="O410">
        <f>VLOOKUP($A410,'Temprorary Data'!$A:$G,6,FALSE)</f>
        <v>3</v>
      </c>
      <c r="P410">
        <f>VLOOKUP($A410,'Temprorary Data'!$A:$G,7,FALSE)</f>
        <v>3</v>
      </c>
    </row>
    <row r="411" spans="1:16" ht="15.75" thickBot="1">
      <c r="A411" s="1">
        <v>410</v>
      </c>
      <c r="B411" s="2">
        <v>40562</v>
      </c>
      <c r="C411" s="1">
        <v>1</v>
      </c>
      <c r="D411" s="1">
        <v>0</v>
      </c>
      <c r="E411" s="1">
        <v>1</v>
      </c>
      <c r="F411" s="1">
        <v>1</v>
      </c>
      <c r="G411" s="3" t="b">
        <v>0</v>
      </c>
      <c r="H411" s="1">
        <v>3</v>
      </c>
      <c r="I411" s="1">
        <v>3</v>
      </c>
      <c r="J411" s="1">
        <v>0.22</v>
      </c>
      <c r="K411">
        <f>VLOOKUP($A411,'Temprorary Data'!$A:$G,2,FALSE)</f>
        <v>0.2273</v>
      </c>
      <c r="L411">
        <f>VLOOKUP($A411,'Temprorary Data'!$A:$G,3,FALSE)</f>
        <v>0.93</v>
      </c>
      <c r="M411">
        <f>VLOOKUP($A411,'Temprorary Data'!$A:$G,4,FALSE)</f>
        <v>0.1343</v>
      </c>
      <c r="N411">
        <f>VLOOKUP($A411,'Temprorary Data'!$A:$G,5,FALSE)</f>
        <v>1</v>
      </c>
      <c r="O411">
        <f>VLOOKUP($A411,'Temprorary Data'!$A:$G,6,FALSE)</f>
        <v>6</v>
      </c>
      <c r="P411">
        <f>VLOOKUP($A411,'Temprorary Data'!$A:$G,7,FALSE)</f>
        <v>7</v>
      </c>
    </row>
    <row r="412" spans="1:16" ht="15.75" thickBot="1">
      <c r="A412" s="1">
        <v>411</v>
      </c>
      <c r="B412" s="2">
        <v>40562</v>
      </c>
      <c r="C412" s="1">
        <v>1</v>
      </c>
      <c r="D412" s="1">
        <v>0</v>
      </c>
      <c r="E412" s="1">
        <v>1</v>
      </c>
      <c r="F412" s="1">
        <v>2</v>
      </c>
      <c r="G412" s="3" t="b">
        <v>0</v>
      </c>
      <c r="H412" s="1">
        <v>3</v>
      </c>
      <c r="I412" s="1">
        <v>3</v>
      </c>
      <c r="J412" s="1">
        <v>0.22</v>
      </c>
      <c r="K412">
        <f>VLOOKUP($A412,'Temprorary Data'!$A:$G,2,FALSE)</f>
        <v>0.2273</v>
      </c>
      <c r="L412">
        <f>VLOOKUP($A412,'Temprorary Data'!$A:$G,3,FALSE)</f>
        <v>0.93</v>
      </c>
      <c r="M412">
        <f>VLOOKUP($A412,'Temprorary Data'!$A:$G,4,FALSE)</f>
        <v>0.1343</v>
      </c>
      <c r="N412">
        <f>VLOOKUP($A412,'Temprorary Data'!$A:$G,5,FALSE)</f>
        <v>0</v>
      </c>
      <c r="O412">
        <f>VLOOKUP($A412,'Temprorary Data'!$A:$G,6,FALSE)</f>
        <v>3</v>
      </c>
      <c r="P412">
        <f>VLOOKUP($A412,'Temprorary Data'!$A:$G,7,FALSE)</f>
        <v>3</v>
      </c>
    </row>
    <row r="413" spans="1:16" ht="15.75" thickBot="1">
      <c r="A413" s="1">
        <v>412</v>
      </c>
      <c r="B413" s="2">
        <v>40562</v>
      </c>
      <c r="C413" s="1">
        <v>1</v>
      </c>
      <c r="D413" s="1">
        <v>0</v>
      </c>
      <c r="E413" s="1">
        <v>1</v>
      </c>
      <c r="F413" s="1">
        <v>4</v>
      </c>
      <c r="G413" s="3" t="b">
        <v>0</v>
      </c>
      <c r="H413" s="1">
        <v>3</v>
      </c>
      <c r="I413" s="1">
        <v>3</v>
      </c>
      <c r="J413" s="1">
        <v>0.22</v>
      </c>
      <c r="K413">
        <f>VLOOKUP($A413,'Temprorary Data'!$A:$G,2,FALSE)</f>
        <v>0.2273</v>
      </c>
      <c r="L413">
        <f>VLOOKUP($A413,'Temprorary Data'!$A:$G,3,FALSE)</f>
        <v>0.93</v>
      </c>
      <c r="M413">
        <f>VLOOKUP($A413,'Temprorary Data'!$A:$G,4,FALSE)</f>
        <v>0.1343</v>
      </c>
      <c r="N413">
        <f>VLOOKUP($A413,'Temprorary Data'!$A:$G,5,FALSE)</f>
        <v>1</v>
      </c>
      <c r="O413">
        <f>VLOOKUP($A413,'Temprorary Data'!$A:$G,6,FALSE)</f>
        <v>1</v>
      </c>
      <c r="P413">
        <f>VLOOKUP($A413,'Temprorary Data'!$A:$G,7,FALSE)</f>
        <v>2</v>
      </c>
    </row>
    <row r="414" spans="1:16" ht="15.75" thickBot="1">
      <c r="A414" s="1">
        <v>413</v>
      </c>
      <c r="B414" s="2">
        <v>40562</v>
      </c>
      <c r="C414" s="1">
        <v>1</v>
      </c>
      <c r="D414" s="1">
        <v>0</v>
      </c>
      <c r="E414" s="1">
        <v>1</v>
      </c>
      <c r="F414" s="1">
        <v>5</v>
      </c>
      <c r="G414" s="3" t="b">
        <v>0</v>
      </c>
      <c r="H414" s="1">
        <v>3</v>
      </c>
      <c r="I414" s="1">
        <v>2</v>
      </c>
      <c r="J414" s="1">
        <v>0.22</v>
      </c>
      <c r="K414">
        <f>VLOOKUP($A414,'Temprorary Data'!$A:$G,2,FALSE)</f>
        <v>0.2576</v>
      </c>
      <c r="L414">
        <f>VLOOKUP($A414,'Temprorary Data'!$A:$G,3,FALSE)</f>
        <v>0.93</v>
      </c>
      <c r="M414">
        <f>VLOOKUP($A414,'Temprorary Data'!$A:$G,4,FALSE)</f>
        <v>8.9599999999999999E-2</v>
      </c>
      <c r="N414">
        <f>VLOOKUP($A414,'Temprorary Data'!$A:$G,5,FALSE)</f>
        <v>0</v>
      </c>
      <c r="O414">
        <f>VLOOKUP($A414,'Temprorary Data'!$A:$G,6,FALSE)</f>
        <v>7</v>
      </c>
      <c r="P414">
        <f>VLOOKUP($A414,'Temprorary Data'!$A:$G,7,FALSE)</f>
        <v>7</v>
      </c>
    </row>
    <row r="415" spans="1:16" ht="15.75" thickBot="1">
      <c r="A415" s="1">
        <v>414</v>
      </c>
      <c r="B415" s="2">
        <v>40562</v>
      </c>
      <c r="C415" s="1">
        <v>1</v>
      </c>
      <c r="D415" s="1">
        <v>0</v>
      </c>
      <c r="E415" s="1">
        <v>1</v>
      </c>
      <c r="F415" s="1">
        <v>6</v>
      </c>
      <c r="G415" s="3" t="b">
        <v>0</v>
      </c>
      <c r="H415" s="1">
        <v>3</v>
      </c>
      <c r="I415" s="1">
        <v>2</v>
      </c>
      <c r="J415" s="1">
        <v>0.22</v>
      </c>
      <c r="K415">
        <f>VLOOKUP($A415,'Temprorary Data'!$A:$G,2,FALSE)</f>
        <v>0.2576</v>
      </c>
      <c r="L415">
        <f>VLOOKUP($A415,'Temprorary Data'!$A:$G,3,FALSE)</f>
        <v>0.93</v>
      </c>
      <c r="M415">
        <f>VLOOKUP($A415,'Temprorary Data'!$A:$G,4,FALSE)</f>
        <v>8.9599999999999999E-2</v>
      </c>
      <c r="N415">
        <f>VLOOKUP($A415,'Temprorary Data'!$A:$G,5,FALSE)</f>
        <v>0</v>
      </c>
      <c r="O415">
        <f>VLOOKUP($A415,'Temprorary Data'!$A:$G,6,FALSE)</f>
        <v>32</v>
      </c>
      <c r="P415">
        <f>VLOOKUP($A415,'Temprorary Data'!$A:$G,7,FALSE)</f>
        <v>32</v>
      </c>
    </row>
    <row r="416" spans="1:16" ht="15.75" thickBot="1">
      <c r="A416" s="1">
        <v>415</v>
      </c>
      <c r="B416" s="2">
        <v>40562</v>
      </c>
      <c r="C416" s="1">
        <v>1</v>
      </c>
      <c r="D416" s="1">
        <v>0</v>
      </c>
      <c r="E416" s="1">
        <v>1</v>
      </c>
      <c r="F416" s="1">
        <v>7</v>
      </c>
      <c r="G416" s="3" t="b">
        <v>0</v>
      </c>
      <c r="H416" s="1">
        <v>3</v>
      </c>
      <c r="I416" s="1">
        <v>2</v>
      </c>
      <c r="J416" s="1">
        <v>0.24</v>
      </c>
      <c r="K416">
        <f>VLOOKUP($A416,'Temprorary Data'!$A:$G,2,FALSE)</f>
        <v>0.2576</v>
      </c>
      <c r="L416">
        <f>VLOOKUP($A416,'Temprorary Data'!$A:$G,3,FALSE)</f>
        <v>0.92</v>
      </c>
      <c r="M416">
        <f>VLOOKUP($A416,'Temprorary Data'!$A:$G,4,FALSE)</f>
        <v>0.1045</v>
      </c>
      <c r="N416">
        <f>VLOOKUP($A416,'Temprorary Data'!$A:$G,5,FALSE)</f>
        <v>1</v>
      </c>
      <c r="O416">
        <f>VLOOKUP($A416,'Temprorary Data'!$A:$G,6,FALSE)</f>
        <v>89</v>
      </c>
      <c r="P416">
        <f>VLOOKUP($A416,'Temprorary Data'!$A:$G,7,FALSE)</f>
        <v>90</v>
      </c>
    </row>
    <row r="417" spans="1:16" ht="15.75" thickBot="1">
      <c r="A417" s="1">
        <v>416</v>
      </c>
      <c r="B417" s="2">
        <v>40562</v>
      </c>
      <c r="C417" s="1">
        <v>1</v>
      </c>
      <c r="D417" s="1">
        <v>0</v>
      </c>
      <c r="E417" s="1">
        <v>1</v>
      </c>
      <c r="F417" s="1">
        <v>8</v>
      </c>
      <c r="G417" s="3" t="b">
        <v>0</v>
      </c>
      <c r="H417" s="1">
        <v>3</v>
      </c>
      <c r="I417" s="1">
        <v>2</v>
      </c>
      <c r="J417" s="1">
        <v>0.24</v>
      </c>
      <c r="K417">
        <f>VLOOKUP($A417,'Temprorary Data'!$A:$G,2,FALSE)</f>
        <v>0.2576</v>
      </c>
      <c r="L417">
        <f>VLOOKUP($A417,'Temprorary Data'!$A:$G,3,FALSE)</f>
        <v>0.93</v>
      </c>
      <c r="M417">
        <f>VLOOKUP($A417,'Temprorary Data'!$A:$G,4,FALSE)</f>
        <v>0.1045</v>
      </c>
      <c r="N417">
        <f>VLOOKUP($A417,'Temprorary Data'!$A:$G,5,FALSE)</f>
        <v>1</v>
      </c>
      <c r="O417">
        <f>VLOOKUP($A417,'Temprorary Data'!$A:$G,6,FALSE)</f>
        <v>196</v>
      </c>
      <c r="P417">
        <f>VLOOKUP($A417,'Temprorary Data'!$A:$G,7,FALSE)</f>
        <v>197</v>
      </c>
    </row>
    <row r="418" spans="1:16" ht="15.75" thickBot="1">
      <c r="A418" s="1">
        <v>417</v>
      </c>
      <c r="B418" s="2">
        <v>40562</v>
      </c>
      <c r="C418" s="1">
        <v>1</v>
      </c>
      <c r="D418" s="1">
        <v>0</v>
      </c>
      <c r="E418" s="1">
        <v>1</v>
      </c>
      <c r="F418" s="1">
        <v>9</v>
      </c>
      <c r="G418" s="3" t="b">
        <v>0</v>
      </c>
      <c r="H418" s="1">
        <v>3</v>
      </c>
      <c r="I418" s="1">
        <v>2</v>
      </c>
      <c r="J418" s="1">
        <v>0.24</v>
      </c>
      <c r="K418">
        <f>VLOOKUP($A418,'Temprorary Data'!$A:$G,2,FALSE)</f>
        <v>0.2576</v>
      </c>
      <c r="L418">
        <f>VLOOKUP($A418,'Temprorary Data'!$A:$G,3,FALSE)</f>
        <v>0.93</v>
      </c>
      <c r="M418">
        <f>VLOOKUP($A418,'Temprorary Data'!$A:$G,4,FALSE)</f>
        <v>0.1045</v>
      </c>
      <c r="N418">
        <f>VLOOKUP($A418,'Temprorary Data'!$A:$G,5,FALSE)</f>
        <v>2</v>
      </c>
      <c r="O418">
        <f>VLOOKUP($A418,'Temprorary Data'!$A:$G,6,FALSE)</f>
        <v>107</v>
      </c>
      <c r="P418">
        <f>VLOOKUP($A418,'Temprorary Data'!$A:$G,7,FALSE)</f>
        <v>109</v>
      </c>
    </row>
    <row r="419" spans="1:16" ht="15.75" thickBot="1">
      <c r="A419" s="1">
        <v>418</v>
      </c>
      <c r="B419" s="2">
        <v>40562</v>
      </c>
      <c r="C419" s="1">
        <v>1</v>
      </c>
      <c r="D419" s="1">
        <v>0</v>
      </c>
      <c r="E419" s="1">
        <v>1</v>
      </c>
      <c r="F419" s="1">
        <v>10</v>
      </c>
      <c r="G419" s="3" t="b">
        <v>0</v>
      </c>
      <c r="H419" s="1">
        <v>3</v>
      </c>
      <c r="I419" s="1">
        <v>2</v>
      </c>
      <c r="J419" s="1">
        <v>0.26</v>
      </c>
      <c r="K419">
        <f>VLOOKUP($A419,'Temprorary Data'!$A:$G,2,FALSE)</f>
        <v>0.2727</v>
      </c>
      <c r="L419">
        <f>VLOOKUP($A419,'Temprorary Data'!$A:$G,3,FALSE)</f>
        <v>0.93</v>
      </c>
      <c r="M419">
        <f>VLOOKUP($A419,'Temprorary Data'!$A:$G,4,FALSE)</f>
        <v>0.1343</v>
      </c>
      <c r="N419">
        <f>VLOOKUP($A419,'Temprorary Data'!$A:$G,5,FALSE)</f>
        <v>1</v>
      </c>
      <c r="O419">
        <f>VLOOKUP($A419,'Temprorary Data'!$A:$G,6,FALSE)</f>
        <v>46</v>
      </c>
      <c r="P419">
        <f>VLOOKUP($A419,'Temprorary Data'!$A:$G,7,FALSE)</f>
        <v>47</v>
      </c>
    </row>
    <row r="420" spans="1:16" ht="15.75" thickBot="1">
      <c r="A420" s="1">
        <v>419</v>
      </c>
      <c r="B420" s="2">
        <v>40562</v>
      </c>
      <c r="C420" s="1">
        <v>1</v>
      </c>
      <c r="D420" s="1">
        <v>0</v>
      </c>
      <c r="E420" s="1">
        <v>1</v>
      </c>
      <c r="F420" s="1">
        <v>11</v>
      </c>
      <c r="G420" s="3" t="b">
        <v>0</v>
      </c>
      <c r="H420" s="1">
        <v>3</v>
      </c>
      <c r="I420" s="1">
        <v>2</v>
      </c>
      <c r="J420" s="1">
        <v>0.28000000000000003</v>
      </c>
      <c r="K420">
        <f>VLOOKUP($A420,'Temprorary Data'!$A:$G,2,FALSE)</f>
        <v>0.30299999999999999</v>
      </c>
      <c r="L420">
        <f>VLOOKUP($A420,'Temprorary Data'!$A:$G,3,FALSE)</f>
        <v>0.87</v>
      </c>
      <c r="M420">
        <f>VLOOKUP($A420,'Temprorary Data'!$A:$G,4,FALSE)</f>
        <v>8.9599999999999999E-2</v>
      </c>
      <c r="N420">
        <f>VLOOKUP($A420,'Temprorary Data'!$A:$G,5,FALSE)</f>
        <v>5</v>
      </c>
      <c r="O420">
        <f>VLOOKUP($A420,'Temprorary Data'!$A:$G,6,FALSE)</f>
        <v>47</v>
      </c>
      <c r="P420">
        <f>VLOOKUP($A420,'Temprorary Data'!$A:$G,7,FALSE)</f>
        <v>52</v>
      </c>
    </row>
    <row r="421" spans="1:16" ht="15.75" thickBot="1">
      <c r="A421" s="1">
        <v>420</v>
      </c>
      <c r="B421" s="2">
        <v>40562</v>
      </c>
      <c r="C421" s="1">
        <v>1</v>
      </c>
      <c r="D421" s="1">
        <v>0</v>
      </c>
      <c r="E421" s="1">
        <v>1</v>
      </c>
      <c r="F421" s="1">
        <v>12</v>
      </c>
      <c r="G421" s="3" t="b">
        <v>0</v>
      </c>
      <c r="H421" s="1">
        <v>3</v>
      </c>
      <c r="I421" s="1">
        <v>2</v>
      </c>
      <c r="J421" s="1">
        <v>0.3</v>
      </c>
      <c r="K421">
        <f>VLOOKUP($A421,'Temprorary Data'!$A:$G,2,FALSE)</f>
        <v>0.31819999999999998</v>
      </c>
      <c r="L421">
        <f>VLOOKUP($A421,'Temprorary Data'!$A:$G,3,FALSE)</f>
        <v>0.81</v>
      </c>
      <c r="M421">
        <f>VLOOKUP($A421,'Temprorary Data'!$A:$G,4,FALSE)</f>
        <v>8.9599999999999999E-2</v>
      </c>
      <c r="N421">
        <f>VLOOKUP($A421,'Temprorary Data'!$A:$G,5,FALSE)</f>
        <v>5</v>
      </c>
      <c r="O421">
        <f>VLOOKUP($A421,'Temprorary Data'!$A:$G,6,FALSE)</f>
        <v>65</v>
      </c>
      <c r="P421">
        <f>VLOOKUP($A421,'Temprorary Data'!$A:$G,7,FALSE)</f>
        <v>70</v>
      </c>
    </row>
    <row r="422" spans="1:16" ht="15.75" thickBot="1">
      <c r="A422" s="1">
        <v>421</v>
      </c>
      <c r="B422" s="2">
        <v>40562</v>
      </c>
      <c r="C422" s="1">
        <v>1</v>
      </c>
      <c r="D422" s="1">
        <v>0</v>
      </c>
      <c r="E422" s="1">
        <v>1</v>
      </c>
      <c r="F422" s="1">
        <v>13</v>
      </c>
      <c r="G422" s="3" t="b">
        <v>0</v>
      </c>
      <c r="H422" s="1">
        <v>3</v>
      </c>
      <c r="I422" s="1">
        <v>1</v>
      </c>
      <c r="J422" s="1">
        <v>0.4</v>
      </c>
      <c r="K422">
        <f>VLOOKUP($A422,'Temprorary Data'!$A:$G,2,FALSE)</f>
        <v>0.40910000000000002</v>
      </c>
      <c r="L422">
        <f>VLOOKUP($A422,'Temprorary Data'!$A:$G,3,FALSE)</f>
        <v>0.62</v>
      </c>
      <c r="M422">
        <f>VLOOKUP($A422,'Temprorary Data'!$A:$G,4,FALSE)</f>
        <v>0.28360000000000002</v>
      </c>
      <c r="N422">
        <f>VLOOKUP($A422,'Temprorary Data'!$A:$G,5,FALSE)</f>
        <v>11</v>
      </c>
      <c r="O422">
        <f>VLOOKUP($A422,'Temprorary Data'!$A:$G,6,FALSE)</f>
        <v>67</v>
      </c>
      <c r="P422">
        <f>VLOOKUP($A422,'Temprorary Data'!$A:$G,7,FALSE)</f>
        <v>78</v>
      </c>
    </row>
    <row r="423" spans="1:16" ht="15.75" thickBot="1">
      <c r="A423" s="1">
        <v>422</v>
      </c>
      <c r="B423" s="2">
        <v>40562</v>
      </c>
      <c r="C423" s="1">
        <v>1</v>
      </c>
      <c r="D423" s="1">
        <v>0</v>
      </c>
      <c r="E423" s="1">
        <v>1</v>
      </c>
      <c r="F423" s="1">
        <v>14</v>
      </c>
      <c r="G423" s="3" t="b">
        <v>0</v>
      </c>
      <c r="H423" s="1">
        <v>3</v>
      </c>
      <c r="I423" s="1">
        <v>1</v>
      </c>
      <c r="J423" s="1">
        <v>0.4</v>
      </c>
      <c r="K423">
        <f>VLOOKUP($A423,'Temprorary Data'!$A:$G,2,FALSE)</f>
        <v>0.40910000000000002</v>
      </c>
      <c r="L423">
        <f>VLOOKUP($A423,'Temprorary Data'!$A:$G,3,FALSE)</f>
        <v>0.57999999999999996</v>
      </c>
      <c r="M423">
        <f>VLOOKUP($A423,'Temprorary Data'!$A:$G,4,FALSE)</f>
        <v>0.25369999999999998</v>
      </c>
      <c r="N423">
        <f>VLOOKUP($A423,'Temprorary Data'!$A:$G,5,FALSE)</f>
        <v>7</v>
      </c>
      <c r="O423">
        <f>VLOOKUP($A423,'Temprorary Data'!$A:$G,6,FALSE)</f>
        <v>68</v>
      </c>
      <c r="P423">
        <f>VLOOKUP($A423,'Temprorary Data'!$A:$G,7,FALSE)</f>
        <v>75</v>
      </c>
    </row>
    <row r="424" spans="1:16" ht="15.75" thickBot="1">
      <c r="A424" s="1">
        <v>423</v>
      </c>
      <c r="B424" s="2">
        <v>40562</v>
      </c>
      <c r="C424" s="1">
        <v>1</v>
      </c>
      <c r="D424" s="1">
        <v>0</v>
      </c>
      <c r="E424" s="1">
        <v>1</v>
      </c>
      <c r="F424" s="1">
        <v>15</v>
      </c>
      <c r="G424" s="3" t="b">
        <v>0</v>
      </c>
      <c r="H424" s="1">
        <v>3</v>
      </c>
      <c r="I424" s="1">
        <v>1</v>
      </c>
      <c r="J424" s="1">
        <v>0.4</v>
      </c>
      <c r="K424">
        <f>VLOOKUP($A424,'Temprorary Data'!$A:$G,2,FALSE)</f>
        <v>0.40910000000000002</v>
      </c>
      <c r="L424">
        <f>VLOOKUP($A424,'Temprorary Data'!$A:$G,3,FALSE)</f>
        <v>0.54</v>
      </c>
      <c r="M424">
        <f>VLOOKUP($A424,'Temprorary Data'!$A:$G,4,FALSE)</f>
        <v>0.28360000000000002</v>
      </c>
      <c r="N424">
        <f>VLOOKUP($A424,'Temprorary Data'!$A:$G,5,FALSE)</f>
        <v>4</v>
      </c>
      <c r="O424">
        <f>VLOOKUP($A424,'Temprorary Data'!$A:$G,6,FALSE)</f>
        <v>78</v>
      </c>
      <c r="P424">
        <f>VLOOKUP($A424,'Temprorary Data'!$A:$G,7,FALSE)</f>
        <v>82</v>
      </c>
    </row>
    <row r="425" spans="1:16" ht="15.75" thickBot="1">
      <c r="A425" s="1">
        <v>424</v>
      </c>
      <c r="B425" s="2">
        <v>40562</v>
      </c>
      <c r="C425" s="1">
        <v>1</v>
      </c>
      <c r="D425" s="1">
        <v>0</v>
      </c>
      <c r="E425" s="1">
        <v>1</v>
      </c>
      <c r="F425" s="1">
        <v>16</v>
      </c>
      <c r="G425" s="3" t="b">
        <v>0</v>
      </c>
      <c r="H425" s="1">
        <v>3</v>
      </c>
      <c r="I425" s="1">
        <v>1</v>
      </c>
      <c r="J425" s="1">
        <v>0.38</v>
      </c>
      <c r="K425">
        <f>VLOOKUP($A425,'Temprorary Data'!$A:$G,2,FALSE)</f>
        <v>0.39389999999999997</v>
      </c>
      <c r="L425">
        <f>VLOOKUP($A425,'Temprorary Data'!$A:$G,3,FALSE)</f>
        <v>0.57999999999999996</v>
      </c>
      <c r="M425">
        <f>VLOOKUP($A425,'Temprorary Data'!$A:$G,4,FALSE)</f>
        <v>0.3881</v>
      </c>
      <c r="N425">
        <f>VLOOKUP($A425,'Temprorary Data'!$A:$G,5,FALSE)</f>
        <v>10</v>
      </c>
      <c r="O425">
        <f>VLOOKUP($A425,'Temprorary Data'!$A:$G,6,FALSE)</f>
        <v>94</v>
      </c>
      <c r="P425">
        <f>VLOOKUP($A425,'Temprorary Data'!$A:$G,7,FALSE)</f>
        <v>104</v>
      </c>
    </row>
    <row r="426" spans="1:16" ht="15.75" thickBot="1">
      <c r="A426" s="1">
        <v>425</v>
      </c>
      <c r="B426" s="2">
        <v>40562</v>
      </c>
      <c r="C426" s="1">
        <v>1</v>
      </c>
      <c r="D426" s="1">
        <v>0</v>
      </c>
      <c r="E426" s="1">
        <v>1</v>
      </c>
      <c r="F426" s="1">
        <v>17</v>
      </c>
      <c r="G426" s="3" t="b">
        <v>0</v>
      </c>
      <c r="H426" s="1">
        <v>3</v>
      </c>
      <c r="I426" s="1">
        <v>1</v>
      </c>
      <c r="J426" s="1">
        <v>0.36</v>
      </c>
      <c r="K426">
        <f>VLOOKUP($A426,'Temprorary Data'!$A:$G,2,FALSE)</f>
        <v>0.33329999999999999</v>
      </c>
      <c r="L426">
        <f>VLOOKUP($A426,'Temprorary Data'!$A:$G,3,FALSE)</f>
        <v>0.56999999999999995</v>
      </c>
      <c r="M426">
        <f>VLOOKUP($A426,'Temprorary Data'!$A:$G,4,FALSE)</f>
        <v>0.32840000000000003</v>
      </c>
      <c r="N426">
        <f>VLOOKUP($A426,'Temprorary Data'!$A:$G,5,FALSE)</f>
        <v>7</v>
      </c>
      <c r="O426">
        <f>VLOOKUP($A426,'Temprorary Data'!$A:$G,6,FALSE)</f>
        <v>190</v>
      </c>
      <c r="P426">
        <f>VLOOKUP($A426,'Temprorary Data'!$A:$G,7,FALSE)</f>
        <v>197</v>
      </c>
    </row>
    <row r="427" spans="1:16" ht="15.75" thickBot="1">
      <c r="A427" s="1">
        <v>426</v>
      </c>
      <c r="B427" s="2">
        <v>40562</v>
      </c>
      <c r="C427" s="1">
        <v>1</v>
      </c>
      <c r="D427" s="1">
        <v>0</v>
      </c>
      <c r="E427" s="1">
        <v>1</v>
      </c>
      <c r="F427" s="1">
        <v>18</v>
      </c>
      <c r="G427" s="3" t="b">
        <v>0</v>
      </c>
      <c r="H427" s="1">
        <v>3</v>
      </c>
      <c r="I427" s="1">
        <v>1</v>
      </c>
      <c r="J427" s="1">
        <v>0.34</v>
      </c>
      <c r="K427">
        <f>VLOOKUP($A427,'Temprorary Data'!$A:$G,2,FALSE)</f>
        <v>0.31819999999999998</v>
      </c>
      <c r="L427">
        <f>VLOOKUP($A427,'Temprorary Data'!$A:$G,3,FALSE)</f>
        <v>0.61</v>
      </c>
      <c r="M427">
        <f>VLOOKUP($A427,'Temprorary Data'!$A:$G,4,FALSE)</f>
        <v>0.28360000000000002</v>
      </c>
      <c r="N427">
        <f>VLOOKUP($A427,'Temprorary Data'!$A:$G,5,FALSE)</f>
        <v>5</v>
      </c>
      <c r="O427">
        <f>VLOOKUP($A427,'Temprorary Data'!$A:$G,6,FALSE)</f>
        <v>156</v>
      </c>
      <c r="P427">
        <f>VLOOKUP($A427,'Temprorary Data'!$A:$G,7,FALSE)</f>
        <v>161</v>
      </c>
    </row>
    <row r="428" spans="1:16" ht="15.75" thickBot="1">
      <c r="A428" s="1">
        <v>427</v>
      </c>
      <c r="B428" s="2">
        <v>40562</v>
      </c>
      <c r="C428" s="1">
        <v>1</v>
      </c>
      <c r="D428" s="1">
        <v>0</v>
      </c>
      <c r="E428" s="1">
        <v>1</v>
      </c>
      <c r="F428" s="1">
        <v>19</v>
      </c>
      <c r="G428" s="3" t="b">
        <v>0</v>
      </c>
      <c r="H428" s="1">
        <v>3</v>
      </c>
      <c r="I428" s="1">
        <v>1</v>
      </c>
      <c r="J428" s="1">
        <v>0.32</v>
      </c>
      <c r="K428">
        <f>VLOOKUP($A428,'Temprorary Data'!$A:$G,2,FALSE)</f>
        <v>0.28789999999999999</v>
      </c>
      <c r="L428">
        <f>VLOOKUP($A428,'Temprorary Data'!$A:$G,3,FALSE)</f>
        <v>0.56999999999999995</v>
      </c>
      <c r="M428">
        <f>VLOOKUP($A428,'Temprorary Data'!$A:$G,4,FALSE)</f>
        <v>0.41789999999999999</v>
      </c>
      <c r="N428">
        <f>VLOOKUP($A428,'Temprorary Data'!$A:$G,5,FALSE)</f>
        <v>4</v>
      </c>
      <c r="O428">
        <f>VLOOKUP($A428,'Temprorary Data'!$A:$G,6,FALSE)</f>
        <v>108</v>
      </c>
      <c r="P428">
        <f>VLOOKUP($A428,'Temprorary Data'!$A:$G,7,FALSE)</f>
        <v>112</v>
      </c>
    </row>
    <row r="429" spans="1:16" ht="15.75" thickBot="1">
      <c r="A429" s="1">
        <v>428</v>
      </c>
      <c r="B429" s="2">
        <v>40562</v>
      </c>
      <c r="C429" s="1">
        <v>1</v>
      </c>
      <c r="D429" s="1">
        <v>0</v>
      </c>
      <c r="E429" s="1">
        <v>1</v>
      </c>
      <c r="F429" s="1">
        <v>20</v>
      </c>
      <c r="G429" s="3" t="b">
        <v>0</v>
      </c>
      <c r="H429" s="1">
        <v>3</v>
      </c>
      <c r="I429" s="1">
        <v>1</v>
      </c>
      <c r="J429" s="1">
        <v>0.32</v>
      </c>
      <c r="K429">
        <f>VLOOKUP($A429,'Temprorary Data'!$A:$G,2,FALSE)</f>
        <v>0.30299999999999999</v>
      </c>
      <c r="L429">
        <f>VLOOKUP($A429,'Temprorary Data'!$A:$G,3,FALSE)</f>
        <v>0.49</v>
      </c>
      <c r="M429">
        <f>VLOOKUP($A429,'Temprorary Data'!$A:$G,4,FALSE)</f>
        <v>0.29849999999999999</v>
      </c>
      <c r="N429">
        <f>VLOOKUP($A429,'Temprorary Data'!$A:$G,5,FALSE)</f>
        <v>2</v>
      </c>
      <c r="O429">
        <f>VLOOKUP($A429,'Temprorary Data'!$A:$G,6,FALSE)</f>
        <v>74</v>
      </c>
      <c r="P429">
        <f>VLOOKUP($A429,'Temprorary Data'!$A:$G,7,FALSE)</f>
        <v>76</v>
      </c>
    </row>
    <row r="430" spans="1:16" ht="15.75" thickBot="1">
      <c r="A430" s="1">
        <v>429</v>
      </c>
      <c r="B430" s="2">
        <v>40562</v>
      </c>
      <c r="C430" s="1">
        <v>1</v>
      </c>
      <c r="D430" s="1">
        <v>0</v>
      </c>
      <c r="E430" s="1">
        <v>1</v>
      </c>
      <c r="F430" s="1">
        <v>21</v>
      </c>
      <c r="G430" s="3" t="b">
        <v>0</v>
      </c>
      <c r="H430" s="1">
        <v>3</v>
      </c>
      <c r="I430" s="1">
        <v>1</v>
      </c>
      <c r="J430" s="1">
        <v>0.32</v>
      </c>
      <c r="K430">
        <f>VLOOKUP($A430,'Temprorary Data'!$A:$G,2,FALSE)</f>
        <v>0.28789999999999999</v>
      </c>
      <c r="L430">
        <f>VLOOKUP($A430,'Temprorary Data'!$A:$G,3,FALSE)</f>
        <v>0.49</v>
      </c>
      <c r="M430">
        <f>VLOOKUP($A430,'Temprorary Data'!$A:$G,4,FALSE)</f>
        <v>0.41789999999999999</v>
      </c>
      <c r="N430">
        <f>VLOOKUP($A430,'Temprorary Data'!$A:$G,5,FALSE)</f>
        <v>4</v>
      </c>
      <c r="O430">
        <f>VLOOKUP($A430,'Temprorary Data'!$A:$G,6,FALSE)</f>
        <v>55</v>
      </c>
      <c r="P430">
        <f>VLOOKUP($A430,'Temprorary Data'!$A:$G,7,FALSE)</f>
        <v>59</v>
      </c>
    </row>
    <row r="431" spans="1:16" ht="15.75" thickBot="1">
      <c r="A431" s="1">
        <v>430</v>
      </c>
      <c r="B431" s="2">
        <v>40562</v>
      </c>
      <c r="C431" s="1">
        <v>1</v>
      </c>
      <c r="D431" s="1">
        <v>0</v>
      </c>
      <c r="E431" s="1">
        <v>1</v>
      </c>
      <c r="F431" s="1">
        <v>22</v>
      </c>
      <c r="G431" s="3" t="b">
        <v>0</v>
      </c>
      <c r="H431" s="1">
        <v>3</v>
      </c>
      <c r="I431" s="1">
        <v>1</v>
      </c>
      <c r="J431" s="1">
        <v>0.3</v>
      </c>
      <c r="K431">
        <f>VLOOKUP($A431,'Temprorary Data'!$A:$G,2,FALSE)</f>
        <v>0.30299999999999999</v>
      </c>
      <c r="L431">
        <f>VLOOKUP($A431,'Temprorary Data'!$A:$G,3,FALSE)</f>
        <v>0.52</v>
      </c>
      <c r="M431">
        <f>VLOOKUP($A431,'Temprorary Data'!$A:$G,4,FALSE)</f>
        <v>0.16420000000000001</v>
      </c>
      <c r="N431">
        <f>VLOOKUP($A431,'Temprorary Data'!$A:$G,5,FALSE)</f>
        <v>6</v>
      </c>
      <c r="O431">
        <f>VLOOKUP($A431,'Temprorary Data'!$A:$G,6,FALSE)</f>
        <v>53</v>
      </c>
      <c r="P431">
        <f>VLOOKUP($A431,'Temprorary Data'!$A:$G,7,FALSE)</f>
        <v>59</v>
      </c>
    </row>
    <row r="432" spans="1:16" ht="15.75" thickBot="1">
      <c r="A432" s="1">
        <v>431</v>
      </c>
      <c r="B432" s="2">
        <v>40562</v>
      </c>
      <c r="C432" s="1">
        <v>1</v>
      </c>
      <c r="D432" s="1">
        <v>0</v>
      </c>
      <c r="E432" s="1">
        <v>1</v>
      </c>
      <c r="F432" s="1">
        <v>23</v>
      </c>
      <c r="G432" s="3" t="b">
        <v>0</v>
      </c>
      <c r="H432" s="1">
        <v>3</v>
      </c>
      <c r="I432" s="1">
        <v>1</v>
      </c>
      <c r="J432" s="1">
        <v>0.3</v>
      </c>
      <c r="K432">
        <f>VLOOKUP($A432,'Temprorary Data'!$A:$G,2,FALSE)</f>
        <v>0.2727</v>
      </c>
      <c r="L432">
        <f>VLOOKUP($A432,'Temprorary Data'!$A:$G,3,FALSE)</f>
        <v>0.52</v>
      </c>
      <c r="M432">
        <f>VLOOKUP($A432,'Temprorary Data'!$A:$G,4,FALSE)</f>
        <v>0.4627</v>
      </c>
      <c r="N432">
        <f>VLOOKUP($A432,'Temprorary Data'!$A:$G,5,FALSE)</f>
        <v>1</v>
      </c>
      <c r="O432">
        <f>VLOOKUP($A432,'Temprorary Data'!$A:$G,6,FALSE)</f>
        <v>27</v>
      </c>
      <c r="P432">
        <f>VLOOKUP($A432,'Temprorary Data'!$A:$G,7,FALSE)</f>
        <v>28</v>
      </c>
    </row>
    <row r="433" spans="1:16" ht="15.75" thickBot="1">
      <c r="A433" s="1">
        <v>432</v>
      </c>
      <c r="B433" s="2">
        <v>40563</v>
      </c>
      <c r="C433" s="1">
        <v>1</v>
      </c>
      <c r="D433" s="1">
        <v>0</v>
      </c>
      <c r="E433" s="1">
        <v>1</v>
      </c>
      <c r="F433" s="1">
        <v>0</v>
      </c>
      <c r="G433" s="3" t="b">
        <v>0</v>
      </c>
      <c r="H433" s="1">
        <v>4</v>
      </c>
      <c r="I433" s="1">
        <v>1</v>
      </c>
      <c r="J433" s="1">
        <v>0.26</v>
      </c>
      <c r="K433">
        <f>VLOOKUP($A433,'Temprorary Data'!$A:$G,2,FALSE)</f>
        <v>0.2273</v>
      </c>
      <c r="L433">
        <f>VLOOKUP($A433,'Temprorary Data'!$A:$G,3,FALSE)</f>
        <v>0.56000000000000005</v>
      </c>
      <c r="M433">
        <f>VLOOKUP($A433,'Temprorary Data'!$A:$G,4,FALSE)</f>
        <v>0.3881</v>
      </c>
      <c r="N433">
        <f>VLOOKUP($A433,'Temprorary Data'!$A:$G,5,FALSE)</f>
        <v>5</v>
      </c>
      <c r="O433">
        <f>VLOOKUP($A433,'Temprorary Data'!$A:$G,6,FALSE)</f>
        <v>8</v>
      </c>
      <c r="P433">
        <f>VLOOKUP($A433,'Temprorary Data'!$A:$G,7,FALSE)</f>
        <v>13</v>
      </c>
    </row>
    <row r="434" spans="1:16" ht="15.75" thickBot="1">
      <c r="A434" s="1">
        <v>433</v>
      </c>
      <c r="B434" s="2">
        <v>40563</v>
      </c>
      <c r="C434" s="1">
        <v>1</v>
      </c>
      <c r="D434" s="1">
        <v>0</v>
      </c>
      <c r="E434" s="1">
        <v>1</v>
      </c>
      <c r="F434" s="1">
        <v>1</v>
      </c>
      <c r="G434" s="3" t="b">
        <v>0</v>
      </c>
      <c r="H434" s="1">
        <v>4</v>
      </c>
      <c r="I434" s="1">
        <v>1</v>
      </c>
      <c r="J434" s="1">
        <v>0.26</v>
      </c>
      <c r="K434">
        <f>VLOOKUP($A434,'Temprorary Data'!$A:$G,2,FALSE)</f>
        <v>0.2727</v>
      </c>
      <c r="L434">
        <f>VLOOKUP($A434,'Temprorary Data'!$A:$G,3,FALSE)</f>
        <v>0.56000000000000005</v>
      </c>
      <c r="M434">
        <f>VLOOKUP($A434,'Temprorary Data'!$A:$G,4,FALSE)</f>
        <v>0</v>
      </c>
      <c r="N434">
        <f>VLOOKUP($A434,'Temprorary Data'!$A:$G,5,FALSE)</f>
        <v>2</v>
      </c>
      <c r="O434">
        <f>VLOOKUP($A434,'Temprorary Data'!$A:$G,6,FALSE)</f>
        <v>3</v>
      </c>
      <c r="P434">
        <f>VLOOKUP($A434,'Temprorary Data'!$A:$G,7,FALSE)</f>
        <v>5</v>
      </c>
    </row>
    <row r="435" spans="1:16" ht="15.75" thickBot="1">
      <c r="A435" s="1">
        <v>434</v>
      </c>
      <c r="B435" s="2">
        <v>40563</v>
      </c>
      <c r="C435" s="1">
        <v>1</v>
      </c>
      <c r="D435" s="1">
        <v>0</v>
      </c>
      <c r="E435" s="1">
        <v>1</v>
      </c>
      <c r="F435" s="1">
        <v>2</v>
      </c>
      <c r="G435" s="3" t="b">
        <v>0</v>
      </c>
      <c r="H435" s="1">
        <v>4</v>
      </c>
      <c r="I435" s="1">
        <v>1</v>
      </c>
      <c r="J435" s="1">
        <v>0.26</v>
      </c>
      <c r="K435">
        <f>VLOOKUP($A435,'Temprorary Data'!$A:$G,2,FALSE)</f>
        <v>0.2727</v>
      </c>
      <c r="L435">
        <f>VLOOKUP($A435,'Temprorary Data'!$A:$G,3,FALSE)</f>
        <v>0.56000000000000005</v>
      </c>
      <c r="M435">
        <f>VLOOKUP($A435,'Temprorary Data'!$A:$G,4,FALSE)</f>
        <v>0</v>
      </c>
      <c r="N435">
        <f>VLOOKUP($A435,'Temprorary Data'!$A:$G,5,FALSE)</f>
        <v>0</v>
      </c>
      <c r="O435">
        <f>VLOOKUP($A435,'Temprorary Data'!$A:$G,6,FALSE)</f>
        <v>2</v>
      </c>
      <c r="P435">
        <f>VLOOKUP($A435,'Temprorary Data'!$A:$G,7,FALSE)</f>
        <v>2</v>
      </c>
    </row>
    <row r="436" spans="1:16" ht="15.75" thickBot="1">
      <c r="A436" s="1">
        <v>435</v>
      </c>
      <c r="B436" s="2">
        <v>40563</v>
      </c>
      <c r="C436" s="1">
        <v>1</v>
      </c>
      <c r="D436" s="1">
        <v>0</v>
      </c>
      <c r="E436" s="1">
        <v>1</v>
      </c>
      <c r="F436" s="1">
        <v>3</v>
      </c>
      <c r="G436" s="3" t="b">
        <v>0</v>
      </c>
      <c r="H436" s="1">
        <v>4</v>
      </c>
      <c r="I436" s="1">
        <v>1</v>
      </c>
      <c r="J436" s="1">
        <v>0.26</v>
      </c>
      <c r="K436">
        <f>VLOOKUP($A436,'Temprorary Data'!$A:$G,2,FALSE)</f>
        <v>0.2576</v>
      </c>
      <c r="L436">
        <f>VLOOKUP($A436,'Temprorary Data'!$A:$G,3,FALSE)</f>
        <v>0.56000000000000005</v>
      </c>
      <c r="M436">
        <f>VLOOKUP($A436,'Temprorary Data'!$A:$G,4,FALSE)</f>
        <v>0.16420000000000001</v>
      </c>
      <c r="N436">
        <f>VLOOKUP($A436,'Temprorary Data'!$A:$G,5,FALSE)</f>
        <v>0</v>
      </c>
      <c r="O436">
        <f>VLOOKUP($A436,'Temprorary Data'!$A:$G,6,FALSE)</f>
        <v>1</v>
      </c>
      <c r="P436">
        <f>VLOOKUP($A436,'Temprorary Data'!$A:$G,7,FALSE)</f>
        <v>1</v>
      </c>
    </row>
    <row r="437" spans="1:16" ht="15.75" thickBot="1">
      <c r="A437" s="1">
        <v>436</v>
      </c>
      <c r="B437" s="2">
        <v>40563</v>
      </c>
      <c r="C437" s="1">
        <v>1</v>
      </c>
      <c r="D437" s="1">
        <v>0</v>
      </c>
      <c r="E437" s="1">
        <v>1</v>
      </c>
      <c r="F437" s="1">
        <v>4</v>
      </c>
      <c r="G437" s="3" t="b">
        <v>0</v>
      </c>
      <c r="H437" s="1">
        <v>4</v>
      </c>
      <c r="I437" s="1">
        <v>1</v>
      </c>
      <c r="J437" s="1">
        <v>0.26</v>
      </c>
      <c r="K437">
        <f>VLOOKUP($A437,'Temprorary Data'!$A:$G,2,FALSE)</f>
        <v>0.2576</v>
      </c>
      <c r="L437">
        <f>VLOOKUP($A437,'Temprorary Data'!$A:$G,3,FALSE)</f>
        <v>0.56000000000000005</v>
      </c>
      <c r="M437">
        <f>VLOOKUP($A437,'Temprorary Data'!$A:$G,4,FALSE)</f>
        <v>0.16420000000000001</v>
      </c>
      <c r="N437">
        <f>VLOOKUP($A437,'Temprorary Data'!$A:$G,5,FALSE)</f>
        <v>0</v>
      </c>
      <c r="O437">
        <f>VLOOKUP($A437,'Temprorary Data'!$A:$G,6,FALSE)</f>
        <v>1</v>
      </c>
      <c r="P437">
        <f>VLOOKUP($A437,'Temprorary Data'!$A:$G,7,FALSE)</f>
        <v>1</v>
      </c>
    </row>
    <row r="438" spans="1:16" ht="15.75" thickBot="1">
      <c r="A438" s="1">
        <v>437</v>
      </c>
      <c r="B438" s="2">
        <v>40563</v>
      </c>
      <c r="C438" s="1">
        <v>1</v>
      </c>
      <c r="D438" s="1">
        <v>0</v>
      </c>
      <c r="E438" s="1">
        <v>1</v>
      </c>
      <c r="F438" s="1">
        <v>5</v>
      </c>
      <c r="G438" s="3" t="b">
        <v>0</v>
      </c>
      <c r="H438" s="1">
        <v>4</v>
      </c>
      <c r="I438" s="1">
        <v>1</v>
      </c>
      <c r="J438" s="1">
        <v>0.24</v>
      </c>
      <c r="K438">
        <f>VLOOKUP($A438,'Temprorary Data'!$A:$G,2,FALSE)</f>
        <v>0.2273</v>
      </c>
      <c r="L438">
        <f>VLOOKUP($A438,'Temprorary Data'!$A:$G,3,FALSE)</f>
        <v>0.6</v>
      </c>
      <c r="M438">
        <f>VLOOKUP($A438,'Temprorary Data'!$A:$G,4,FALSE)</f>
        <v>0.22389999999999999</v>
      </c>
      <c r="N438">
        <f>VLOOKUP($A438,'Temprorary Data'!$A:$G,5,FALSE)</f>
        <v>0</v>
      </c>
      <c r="O438">
        <f>VLOOKUP($A438,'Temprorary Data'!$A:$G,6,FALSE)</f>
        <v>6</v>
      </c>
      <c r="P438">
        <f>VLOOKUP($A438,'Temprorary Data'!$A:$G,7,FALSE)</f>
        <v>6</v>
      </c>
    </row>
    <row r="439" spans="1:16" ht="15.75" thickBot="1">
      <c r="A439" s="1">
        <v>438</v>
      </c>
      <c r="B439" s="2">
        <v>40563</v>
      </c>
      <c r="C439" s="1">
        <v>1</v>
      </c>
      <c r="D439" s="1">
        <v>0</v>
      </c>
      <c r="E439" s="1">
        <v>1</v>
      </c>
      <c r="F439" s="1">
        <v>6</v>
      </c>
      <c r="G439" s="3" t="b">
        <v>0</v>
      </c>
      <c r="H439" s="1">
        <v>4</v>
      </c>
      <c r="I439" s="1">
        <v>1</v>
      </c>
      <c r="J439" s="1">
        <v>0.22</v>
      </c>
      <c r="K439">
        <f>VLOOKUP($A439,'Temprorary Data'!$A:$G,2,FALSE)</f>
        <v>0.21210000000000001</v>
      </c>
      <c r="L439">
        <f>VLOOKUP($A439,'Temprorary Data'!$A:$G,3,FALSE)</f>
        <v>0.6</v>
      </c>
      <c r="M439">
        <f>VLOOKUP($A439,'Temprorary Data'!$A:$G,4,FALSE)</f>
        <v>0.22389999999999999</v>
      </c>
      <c r="N439">
        <f>VLOOKUP($A439,'Temprorary Data'!$A:$G,5,FALSE)</f>
        <v>0</v>
      </c>
      <c r="O439">
        <f>VLOOKUP($A439,'Temprorary Data'!$A:$G,6,FALSE)</f>
        <v>35</v>
      </c>
      <c r="P439">
        <f>VLOOKUP($A439,'Temprorary Data'!$A:$G,7,FALSE)</f>
        <v>35</v>
      </c>
    </row>
    <row r="440" spans="1:16" ht="15.75" thickBot="1">
      <c r="A440" s="1">
        <v>439</v>
      </c>
      <c r="B440" s="2">
        <v>40563</v>
      </c>
      <c r="C440" s="1">
        <v>1</v>
      </c>
      <c r="D440" s="1">
        <v>0</v>
      </c>
      <c r="E440" s="1">
        <v>1</v>
      </c>
      <c r="F440" s="1">
        <v>7</v>
      </c>
      <c r="G440" s="3" t="b">
        <v>0</v>
      </c>
      <c r="H440" s="1">
        <v>4</v>
      </c>
      <c r="I440" s="1">
        <v>1</v>
      </c>
      <c r="J440" s="1">
        <v>0.22</v>
      </c>
      <c r="K440">
        <f>VLOOKUP($A440,'Temprorary Data'!$A:$G,2,FALSE)</f>
        <v>0.21210000000000001</v>
      </c>
      <c r="L440">
        <f>VLOOKUP($A440,'Temprorary Data'!$A:$G,3,FALSE)</f>
        <v>0.55000000000000004</v>
      </c>
      <c r="M440">
        <f>VLOOKUP($A440,'Temprorary Data'!$A:$G,4,FALSE)</f>
        <v>0.22389999999999999</v>
      </c>
      <c r="N440">
        <f>VLOOKUP($A440,'Temprorary Data'!$A:$G,5,FALSE)</f>
        <v>1</v>
      </c>
      <c r="O440">
        <f>VLOOKUP($A440,'Temprorary Data'!$A:$G,6,FALSE)</f>
        <v>100</v>
      </c>
      <c r="P440">
        <f>VLOOKUP($A440,'Temprorary Data'!$A:$G,7,FALSE)</f>
        <v>101</v>
      </c>
    </row>
    <row r="441" spans="1:16" ht="15.75" thickBot="1">
      <c r="A441" s="1">
        <v>440</v>
      </c>
      <c r="B441" s="2">
        <v>40563</v>
      </c>
      <c r="C441" s="1">
        <v>1</v>
      </c>
      <c r="D441" s="1">
        <v>0</v>
      </c>
      <c r="E441" s="1">
        <v>1</v>
      </c>
      <c r="F441" s="1">
        <v>8</v>
      </c>
      <c r="G441" s="3" t="b">
        <v>0</v>
      </c>
      <c r="H441" s="1">
        <v>4</v>
      </c>
      <c r="I441" s="1">
        <v>1</v>
      </c>
      <c r="J441" s="1">
        <v>0.22</v>
      </c>
      <c r="K441">
        <f>VLOOKUP($A441,'Temprorary Data'!$A:$G,2,FALSE)</f>
        <v>0.21210000000000001</v>
      </c>
      <c r="L441">
        <f>VLOOKUP($A441,'Temprorary Data'!$A:$G,3,FALSE)</f>
        <v>0.55000000000000004</v>
      </c>
      <c r="M441">
        <f>VLOOKUP($A441,'Temprorary Data'!$A:$G,4,FALSE)</f>
        <v>0.28360000000000002</v>
      </c>
      <c r="N441">
        <f>VLOOKUP($A441,'Temprorary Data'!$A:$G,5,FALSE)</f>
        <v>2</v>
      </c>
      <c r="O441">
        <f>VLOOKUP($A441,'Temprorary Data'!$A:$G,6,FALSE)</f>
        <v>247</v>
      </c>
      <c r="P441">
        <f>VLOOKUP($A441,'Temprorary Data'!$A:$G,7,FALSE)</f>
        <v>249</v>
      </c>
    </row>
    <row r="442" spans="1:16" ht="15.75" thickBot="1">
      <c r="A442" s="1">
        <v>441</v>
      </c>
      <c r="B442" s="2">
        <v>40563</v>
      </c>
      <c r="C442" s="1">
        <v>1</v>
      </c>
      <c r="D442" s="1">
        <v>0</v>
      </c>
      <c r="E442" s="1">
        <v>1</v>
      </c>
      <c r="F442" s="1">
        <v>9</v>
      </c>
      <c r="G442" s="3" t="b">
        <v>0</v>
      </c>
      <c r="H442" s="1">
        <v>4</v>
      </c>
      <c r="I442" s="1">
        <v>2</v>
      </c>
      <c r="J442" s="1">
        <v>0.24</v>
      </c>
      <c r="K442">
        <f>VLOOKUP($A442,'Temprorary Data'!$A:$G,2,FALSE)</f>
        <v>0.2273</v>
      </c>
      <c r="L442">
        <f>VLOOKUP($A442,'Temprorary Data'!$A:$G,3,FALSE)</f>
        <v>0.52</v>
      </c>
      <c r="M442">
        <f>VLOOKUP($A442,'Temprorary Data'!$A:$G,4,FALSE)</f>
        <v>0.22389999999999999</v>
      </c>
      <c r="N442">
        <f>VLOOKUP($A442,'Temprorary Data'!$A:$G,5,FALSE)</f>
        <v>3</v>
      </c>
      <c r="O442">
        <f>VLOOKUP($A442,'Temprorary Data'!$A:$G,6,FALSE)</f>
        <v>140</v>
      </c>
      <c r="P442">
        <f>VLOOKUP($A442,'Temprorary Data'!$A:$G,7,FALSE)</f>
        <v>143</v>
      </c>
    </row>
    <row r="443" spans="1:16" ht="15.75" thickBot="1">
      <c r="A443" s="1">
        <v>442</v>
      </c>
      <c r="B443" s="2">
        <v>40563</v>
      </c>
      <c r="C443" s="1">
        <v>1</v>
      </c>
      <c r="D443" s="1">
        <v>0</v>
      </c>
      <c r="E443" s="1">
        <v>1</v>
      </c>
      <c r="F443" s="1">
        <v>10</v>
      </c>
      <c r="G443" s="3" t="b">
        <v>0</v>
      </c>
      <c r="H443" s="1">
        <v>4</v>
      </c>
      <c r="I443" s="1">
        <v>1</v>
      </c>
      <c r="J443" s="1">
        <v>0.26</v>
      </c>
      <c r="K443">
        <f>VLOOKUP($A443,'Temprorary Data'!$A:$G,2,FALSE)</f>
        <v>0.2273</v>
      </c>
      <c r="L443">
        <f>VLOOKUP($A443,'Temprorary Data'!$A:$G,3,FALSE)</f>
        <v>0.48</v>
      </c>
      <c r="M443">
        <f>VLOOKUP($A443,'Temprorary Data'!$A:$G,4,FALSE)</f>
        <v>0.29849999999999999</v>
      </c>
      <c r="N443">
        <f>VLOOKUP($A443,'Temprorary Data'!$A:$G,5,FALSE)</f>
        <v>1</v>
      </c>
      <c r="O443">
        <f>VLOOKUP($A443,'Temprorary Data'!$A:$G,6,FALSE)</f>
        <v>56</v>
      </c>
      <c r="P443">
        <f>VLOOKUP($A443,'Temprorary Data'!$A:$G,7,FALSE)</f>
        <v>57</v>
      </c>
    </row>
    <row r="444" spans="1:16" ht="15.75" thickBot="1">
      <c r="A444" s="1">
        <v>443</v>
      </c>
      <c r="B444" s="2">
        <v>40563</v>
      </c>
      <c r="C444" s="1">
        <v>1</v>
      </c>
      <c r="D444" s="1">
        <v>0</v>
      </c>
      <c r="E444" s="1">
        <v>1</v>
      </c>
      <c r="F444" s="1">
        <v>11</v>
      </c>
      <c r="G444" s="3" t="b">
        <v>0</v>
      </c>
      <c r="H444" s="1">
        <v>4</v>
      </c>
      <c r="I444" s="1">
        <v>2</v>
      </c>
      <c r="J444" s="1">
        <v>0.28000000000000003</v>
      </c>
      <c r="K444">
        <f>VLOOKUP($A444,'Temprorary Data'!$A:$G,2,FALSE)</f>
        <v>0.2727</v>
      </c>
      <c r="L444">
        <f>VLOOKUP($A444,'Temprorary Data'!$A:$G,3,FALSE)</f>
        <v>0.45</v>
      </c>
      <c r="M444">
        <f>VLOOKUP($A444,'Temprorary Data'!$A:$G,4,FALSE)</f>
        <v>0.16420000000000001</v>
      </c>
      <c r="N444">
        <f>VLOOKUP($A444,'Temprorary Data'!$A:$G,5,FALSE)</f>
        <v>5</v>
      </c>
      <c r="O444">
        <f>VLOOKUP($A444,'Temprorary Data'!$A:$G,6,FALSE)</f>
        <v>63</v>
      </c>
      <c r="P444">
        <f>VLOOKUP($A444,'Temprorary Data'!$A:$G,7,FALSE)</f>
        <v>68</v>
      </c>
    </row>
    <row r="445" spans="1:16" ht="15.75" thickBot="1">
      <c r="A445" s="1">
        <v>444</v>
      </c>
      <c r="B445" s="2">
        <v>40563</v>
      </c>
      <c r="C445" s="1">
        <v>1</v>
      </c>
      <c r="D445" s="1">
        <v>0</v>
      </c>
      <c r="E445" s="1">
        <v>1</v>
      </c>
      <c r="F445" s="1">
        <v>12</v>
      </c>
      <c r="G445" s="3" t="b">
        <v>0</v>
      </c>
      <c r="H445" s="1">
        <v>4</v>
      </c>
      <c r="I445" s="1">
        <v>2</v>
      </c>
      <c r="J445" s="1">
        <v>0.3</v>
      </c>
      <c r="K445">
        <f>VLOOKUP($A445,'Temprorary Data'!$A:$G,2,FALSE)</f>
        <v>0.33329999999999999</v>
      </c>
      <c r="L445">
        <f>VLOOKUP($A445,'Temprorary Data'!$A:$G,3,FALSE)</f>
        <v>0.42</v>
      </c>
      <c r="M445">
        <f>VLOOKUP($A445,'Temprorary Data'!$A:$G,4,FALSE)</f>
        <v>0</v>
      </c>
      <c r="N445">
        <f>VLOOKUP($A445,'Temprorary Data'!$A:$G,5,FALSE)</f>
        <v>7</v>
      </c>
      <c r="O445">
        <f>VLOOKUP($A445,'Temprorary Data'!$A:$G,6,FALSE)</f>
        <v>77</v>
      </c>
      <c r="P445">
        <f>VLOOKUP($A445,'Temprorary Data'!$A:$G,7,FALSE)</f>
        <v>84</v>
      </c>
    </row>
    <row r="446" spans="1:16" ht="15.75" thickBot="1">
      <c r="A446" s="1">
        <v>445</v>
      </c>
      <c r="B446" s="2">
        <v>40563</v>
      </c>
      <c r="C446" s="1">
        <v>1</v>
      </c>
      <c r="D446" s="1">
        <v>0</v>
      </c>
      <c r="E446" s="1">
        <v>1</v>
      </c>
      <c r="F446" s="1">
        <v>13</v>
      </c>
      <c r="G446" s="3" t="b">
        <v>0</v>
      </c>
      <c r="H446" s="1">
        <v>4</v>
      </c>
      <c r="I446" s="1">
        <v>2</v>
      </c>
      <c r="J446" s="1">
        <v>0.28000000000000003</v>
      </c>
      <c r="K446">
        <f>VLOOKUP($A446,'Temprorary Data'!$A:$G,2,FALSE)</f>
        <v>0.28789999999999999</v>
      </c>
      <c r="L446">
        <f>VLOOKUP($A446,'Temprorary Data'!$A:$G,3,FALSE)</f>
        <v>0.45</v>
      </c>
      <c r="M446">
        <f>VLOOKUP($A446,'Temprorary Data'!$A:$G,4,FALSE)</f>
        <v>0.1045</v>
      </c>
      <c r="N446">
        <f>VLOOKUP($A446,'Temprorary Data'!$A:$G,5,FALSE)</f>
        <v>12</v>
      </c>
      <c r="O446">
        <f>VLOOKUP($A446,'Temprorary Data'!$A:$G,6,FALSE)</f>
        <v>86</v>
      </c>
      <c r="P446">
        <f>VLOOKUP($A446,'Temprorary Data'!$A:$G,7,FALSE)</f>
        <v>98</v>
      </c>
    </row>
    <row r="447" spans="1:16" ht="15.75" thickBot="1">
      <c r="A447" s="1">
        <v>446</v>
      </c>
      <c r="B447" s="2">
        <v>40563</v>
      </c>
      <c r="C447" s="1">
        <v>1</v>
      </c>
      <c r="D447" s="1">
        <v>0</v>
      </c>
      <c r="E447" s="1">
        <v>1</v>
      </c>
      <c r="F447" s="1">
        <v>14</v>
      </c>
      <c r="G447" s="3" t="b">
        <v>0</v>
      </c>
      <c r="H447" s="1">
        <v>4</v>
      </c>
      <c r="I447" s="1">
        <v>2</v>
      </c>
      <c r="J447" s="1">
        <v>0.3</v>
      </c>
      <c r="K447">
        <f>VLOOKUP($A447,'Temprorary Data'!$A:$G,2,FALSE)</f>
        <v>0.30299999999999999</v>
      </c>
      <c r="L447">
        <f>VLOOKUP($A447,'Temprorary Data'!$A:$G,3,FALSE)</f>
        <v>0.45</v>
      </c>
      <c r="M447">
        <f>VLOOKUP($A447,'Temprorary Data'!$A:$G,4,FALSE)</f>
        <v>0.1343</v>
      </c>
      <c r="N447">
        <f>VLOOKUP($A447,'Temprorary Data'!$A:$G,5,FALSE)</f>
        <v>6</v>
      </c>
      <c r="O447">
        <f>VLOOKUP($A447,'Temprorary Data'!$A:$G,6,FALSE)</f>
        <v>75</v>
      </c>
      <c r="P447">
        <f>VLOOKUP($A447,'Temprorary Data'!$A:$G,7,FALSE)</f>
        <v>81</v>
      </c>
    </row>
    <row r="448" spans="1:16" ht="15.75" thickBot="1">
      <c r="A448" s="1">
        <v>447</v>
      </c>
      <c r="B448" s="2">
        <v>40563</v>
      </c>
      <c r="C448" s="1">
        <v>1</v>
      </c>
      <c r="D448" s="1">
        <v>0</v>
      </c>
      <c r="E448" s="1">
        <v>1</v>
      </c>
      <c r="F448" s="1">
        <v>15</v>
      </c>
      <c r="G448" s="3" t="b">
        <v>0</v>
      </c>
      <c r="H448" s="1">
        <v>4</v>
      </c>
      <c r="I448" s="1">
        <v>2</v>
      </c>
      <c r="J448" s="1">
        <v>0.32</v>
      </c>
      <c r="K448">
        <f>VLOOKUP($A448,'Temprorary Data'!$A:$G,2,FALSE)</f>
        <v>0.31819999999999998</v>
      </c>
      <c r="L448">
        <f>VLOOKUP($A448,'Temprorary Data'!$A:$G,3,FALSE)</f>
        <v>0.45</v>
      </c>
      <c r="M448">
        <f>VLOOKUP($A448,'Temprorary Data'!$A:$G,4,FALSE)</f>
        <v>0.19400000000000001</v>
      </c>
      <c r="N448">
        <f>VLOOKUP($A448,'Temprorary Data'!$A:$G,5,FALSE)</f>
        <v>8</v>
      </c>
      <c r="O448">
        <f>VLOOKUP($A448,'Temprorary Data'!$A:$G,6,FALSE)</f>
        <v>62</v>
      </c>
      <c r="P448">
        <f>VLOOKUP($A448,'Temprorary Data'!$A:$G,7,FALSE)</f>
        <v>70</v>
      </c>
    </row>
    <row r="449" spans="1:16" ht="15.75" thickBot="1">
      <c r="A449" s="1">
        <v>448</v>
      </c>
      <c r="B449" s="2">
        <v>40563</v>
      </c>
      <c r="C449" s="1">
        <v>1</v>
      </c>
      <c r="D449" s="1">
        <v>0</v>
      </c>
      <c r="E449" s="1">
        <v>1</v>
      </c>
      <c r="F449" s="1">
        <v>16</v>
      </c>
      <c r="G449" s="3" t="b">
        <v>0</v>
      </c>
      <c r="H449" s="1">
        <v>4</v>
      </c>
      <c r="I449" s="1">
        <v>2</v>
      </c>
      <c r="J449" s="1">
        <v>0.3</v>
      </c>
      <c r="K449">
        <f>VLOOKUP($A449,'Temprorary Data'!$A:$G,2,FALSE)</f>
        <v>0.30299999999999999</v>
      </c>
      <c r="L449">
        <f>VLOOKUP($A449,'Temprorary Data'!$A:$G,3,FALSE)</f>
        <v>0.49</v>
      </c>
      <c r="M449">
        <f>VLOOKUP($A449,'Temprorary Data'!$A:$G,4,FALSE)</f>
        <v>0.1343</v>
      </c>
      <c r="N449">
        <f>VLOOKUP($A449,'Temprorary Data'!$A:$G,5,FALSE)</f>
        <v>8</v>
      </c>
      <c r="O449">
        <f>VLOOKUP($A449,'Temprorary Data'!$A:$G,6,FALSE)</f>
        <v>83</v>
      </c>
      <c r="P449">
        <f>VLOOKUP($A449,'Temprorary Data'!$A:$G,7,FALSE)</f>
        <v>91</v>
      </c>
    </row>
    <row r="450" spans="1:16" ht="15.75" thickBot="1">
      <c r="A450" s="1">
        <v>449</v>
      </c>
      <c r="B450" s="2">
        <v>40563</v>
      </c>
      <c r="C450" s="1">
        <v>1</v>
      </c>
      <c r="D450" s="1">
        <v>0</v>
      </c>
      <c r="E450" s="1">
        <v>1</v>
      </c>
      <c r="F450" s="1">
        <v>17</v>
      </c>
      <c r="G450" s="3" t="b">
        <v>0</v>
      </c>
      <c r="H450" s="1">
        <v>4</v>
      </c>
      <c r="I450" s="1">
        <v>2</v>
      </c>
      <c r="J450" s="1">
        <v>0.3</v>
      </c>
      <c r="K450">
        <f>VLOOKUP($A450,'Temprorary Data'!$A:$G,2,FALSE)</f>
        <v>0.31819999999999998</v>
      </c>
      <c r="L450">
        <f>VLOOKUP($A450,'Temprorary Data'!$A:$G,3,FALSE)</f>
        <v>0.49</v>
      </c>
      <c r="M450">
        <f>VLOOKUP($A450,'Temprorary Data'!$A:$G,4,FALSE)</f>
        <v>0.1045</v>
      </c>
      <c r="N450">
        <f>VLOOKUP($A450,'Temprorary Data'!$A:$G,5,FALSE)</f>
        <v>8</v>
      </c>
      <c r="O450">
        <f>VLOOKUP($A450,'Temprorary Data'!$A:$G,6,FALSE)</f>
        <v>207</v>
      </c>
      <c r="P450">
        <f>VLOOKUP($A450,'Temprorary Data'!$A:$G,7,FALSE)</f>
        <v>215</v>
      </c>
    </row>
    <row r="451" spans="1:16" ht="15.75" thickBot="1">
      <c r="A451" s="1">
        <v>450</v>
      </c>
      <c r="B451" s="2">
        <v>40563</v>
      </c>
      <c r="C451" s="1">
        <v>1</v>
      </c>
      <c r="D451" s="1">
        <v>0</v>
      </c>
      <c r="E451" s="1">
        <v>1</v>
      </c>
      <c r="F451" s="1">
        <v>18</v>
      </c>
      <c r="G451" s="3" t="b">
        <v>0</v>
      </c>
      <c r="H451" s="1">
        <v>4</v>
      </c>
      <c r="I451" s="1">
        <v>2</v>
      </c>
      <c r="J451" s="1">
        <v>0.26</v>
      </c>
      <c r="K451">
        <f>VLOOKUP($A451,'Temprorary Data'!$A:$G,2,FALSE)</f>
        <v>0.2576</v>
      </c>
      <c r="L451">
        <f>VLOOKUP($A451,'Temprorary Data'!$A:$G,3,FALSE)</f>
        <v>0.56000000000000005</v>
      </c>
      <c r="M451">
        <f>VLOOKUP($A451,'Temprorary Data'!$A:$G,4,FALSE)</f>
        <v>0.19400000000000001</v>
      </c>
      <c r="N451">
        <f>VLOOKUP($A451,'Temprorary Data'!$A:$G,5,FALSE)</f>
        <v>1</v>
      </c>
      <c r="O451">
        <f>VLOOKUP($A451,'Temprorary Data'!$A:$G,6,FALSE)</f>
        <v>184</v>
      </c>
      <c r="P451">
        <f>VLOOKUP($A451,'Temprorary Data'!$A:$G,7,FALSE)</f>
        <v>185</v>
      </c>
    </row>
    <row r="452" spans="1:16" ht="15.75" thickBot="1">
      <c r="A452" s="1">
        <v>451</v>
      </c>
      <c r="B452" s="2">
        <v>40563</v>
      </c>
      <c r="C452" s="1">
        <v>1</v>
      </c>
      <c r="D452" s="1">
        <v>0</v>
      </c>
      <c r="E452" s="1">
        <v>1</v>
      </c>
      <c r="F452" s="1">
        <v>19</v>
      </c>
      <c r="G452" s="3" t="b">
        <v>0</v>
      </c>
      <c r="H452" s="1">
        <v>4</v>
      </c>
      <c r="I452" s="1">
        <v>1</v>
      </c>
      <c r="J452" s="1">
        <v>0.26</v>
      </c>
      <c r="K452">
        <f>VLOOKUP($A452,'Temprorary Data'!$A:$G,2,FALSE)</f>
        <v>0.2273</v>
      </c>
      <c r="L452">
        <f>VLOOKUP($A452,'Temprorary Data'!$A:$G,3,FALSE)</f>
        <v>0.56000000000000005</v>
      </c>
      <c r="M452">
        <f>VLOOKUP($A452,'Temprorary Data'!$A:$G,4,FALSE)</f>
        <v>0.32840000000000003</v>
      </c>
      <c r="N452">
        <f>VLOOKUP($A452,'Temprorary Data'!$A:$G,5,FALSE)</f>
        <v>6</v>
      </c>
      <c r="O452">
        <f>VLOOKUP($A452,'Temprorary Data'!$A:$G,6,FALSE)</f>
        <v>146</v>
      </c>
      <c r="P452">
        <f>VLOOKUP($A452,'Temprorary Data'!$A:$G,7,FALSE)</f>
        <v>152</v>
      </c>
    </row>
    <row r="453" spans="1:16" ht="15.75" thickBot="1">
      <c r="A453" s="1">
        <v>452</v>
      </c>
      <c r="B453" s="2">
        <v>40563</v>
      </c>
      <c r="C453" s="1">
        <v>1</v>
      </c>
      <c r="D453" s="1">
        <v>0</v>
      </c>
      <c r="E453" s="1">
        <v>1</v>
      </c>
      <c r="F453" s="1">
        <v>20</v>
      </c>
      <c r="G453" s="3" t="b">
        <v>0</v>
      </c>
      <c r="H453" s="1">
        <v>4</v>
      </c>
      <c r="I453" s="1">
        <v>2</v>
      </c>
      <c r="J453" s="1">
        <v>0.26</v>
      </c>
      <c r="K453">
        <f>VLOOKUP($A453,'Temprorary Data'!$A:$G,2,FALSE)</f>
        <v>0.2424</v>
      </c>
      <c r="L453">
        <f>VLOOKUP($A453,'Temprorary Data'!$A:$G,3,FALSE)</f>
        <v>0.6</v>
      </c>
      <c r="M453">
        <f>VLOOKUP($A453,'Temprorary Data'!$A:$G,4,FALSE)</f>
        <v>0.28360000000000002</v>
      </c>
      <c r="N453">
        <f>VLOOKUP($A453,'Temprorary Data'!$A:$G,5,FALSE)</f>
        <v>2</v>
      </c>
      <c r="O453">
        <f>VLOOKUP($A453,'Temprorary Data'!$A:$G,6,FALSE)</f>
        <v>124</v>
      </c>
      <c r="P453">
        <f>VLOOKUP($A453,'Temprorary Data'!$A:$G,7,FALSE)</f>
        <v>126</v>
      </c>
    </row>
    <row r="454" spans="1:16" ht="15.75" thickBot="1">
      <c r="A454" s="1">
        <v>453</v>
      </c>
      <c r="B454" s="2">
        <v>40563</v>
      </c>
      <c r="C454" s="1">
        <v>1</v>
      </c>
      <c r="D454" s="1">
        <v>0</v>
      </c>
      <c r="E454" s="1">
        <v>1</v>
      </c>
      <c r="F454" s="1">
        <v>21</v>
      </c>
      <c r="G454" s="3" t="b">
        <v>0</v>
      </c>
      <c r="H454" s="1">
        <v>4</v>
      </c>
      <c r="I454" s="1">
        <v>2</v>
      </c>
      <c r="J454" s="1">
        <v>0.24</v>
      </c>
      <c r="K454">
        <f>VLOOKUP($A454,'Temprorary Data'!$A:$G,2,FALSE)</f>
        <v>0.2273</v>
      </c>
      <c r="L454">
        <f>VLOOKUP($A454,'Temprorary Data'!$A:$G,3,FALSE)</f>
        <v>0.6</v>
      </c>
      <c r="M454">
        <f>VLOOKUP($A454,'Temprorary Data'!$A:$G,4,FALSE)</f>
        <v>0.25369999999999998</v>
      </c>
      <c r="N454">
        <f>VLOOKUP($A454,'Temprorary Data'!$A:$G,5,FALSE)</f>
        <v>3</v>
      </c>
      <c r="O454">
        <f>VLOOKUP($A454,'Temprorary Data'!$A:$G,6,FALSE)</f>
        <v>54</v>
      </c>
      <c r="P454">
        <f>VLOOKUP($A454,'Temprorary Data'!$A:$G,7,FALSE)</f>
        <v>57</v>
      </c>
    </row>
    <row r="455" spans="1:16" ht="15.75" thickBot="1">
      <c r="A455" s="1">
        <v>454</v>
      </c>
      <c r="B455" s="2">
        <v>40563</v>
      </c>
      <c r="C455" s="1">
        <v>1</v>
      </c>
      <c r="D455" s="1">
        <v>0</v>
      </c>
      <c r="E455" s="1">
        <v>1</v>
      </c>
      <c r="F455" s="1">
        <v>22</v>
      </c>
      <c r="G455" s="3" t="b">
        <v>0</v>
      </c>
      <c r="H455" s="1">
        <v>4</v>
      </c>
      <c r="I455" s="1">
        <v>2</v>
      </c>
      <c r="J455" s="1">
        <v>0.24</v>
      </c>
      <c r="K455">
        <f>VLOOKUP($A455,'Temprorary Data'!$A:$G,2,FALSE)</f>
        <v>0.21210000000000001</v>
      </c>
      <c r="L455">
        <f>VLOOKUP($A455,'Temprorary Data'!$A:$G,3,FALSE)</f>
        <v>0.65</v>
      </c>
      <c r="M455">
        <f>VLOOKUP($A455,'Temprorary Data'!$A:$G,4,FALSE)</f>
        <v>0.28360000000000002</v>
      </c>
      <c r="N455">
        <f>VLOOKUP($A455,'Temprorary Data'!$A:$G,5,FALSE)</f>
        <v>0</v>
      </c>
      <c r="O455">
        <f>VLOOKUP($A455,'Temprorary Data'!$A:$G,6,FALSE)</f>
        <v>56</v>
      </c>
      <c r="P455">
        <f>VLOOKUP($A455,'Temprorary Data'!$A:$G,7,FALSE)</f>
        <v>56</v>
      </c>
    </row>
    <row r="456" spans="1:16" ht="15.75" thickBot="1">
      <c r="A456" s="1">
        <v>455</v>
      </c>
      <c r="B456" s="2">
        <v>40563</v>
      </c>
      <c r="C456" s="1">
        <v>1</v>
      </c>
      <c r="D456" s="1">
        <v>0</v>
      </c>
      <c r="E456" s="1">
        <v>1</v>
      </c>
      <c r="F456" s="1">
        <v>23</v>
      </c>
      <c r="G456" s="3" t="b">
        <v>0</v>
      </c>
      <c r="H456" s="1">
        <v>4</v>
      </c>
      <c r="I456" s="1">
        <v>2</v>
      </c>
      <c r="J456" s="1">
        <v>0.24</v>
      </c>
      <c r="K456">
        <f>VLOOKUP($A456,'Temprorary Data'!$A:$G,2,FALSE)</f>
        <v>0.21210000000000001</v>
      </c>
      <c r="L456">
        <f>VLOOKUP($A456,'Temprorary Data'!$A:$G,3,FALSE)</f>
        <v>0.65</v>
      </c>
      <c r="M456">
        <f>VLOOKUP($A456,'Temprorary Data'!$A:$G,4,FALSE)</f>
        <v>0.32840000000000003</v>
      </c>
      <c r="N456">
        <f>VLOOKUP($A456,'Temprorary Data'!$A:$G,5,FALSE)</f>
        <v>3</v>
      </c>
      <c r="O456">
        <f>VLOOKUP($A456,'Temprorary Data'!$A:$G,6,FALSE)</f>
        <v>28</v>
      </c>
      <c r="P456">
        <f>VLOOKUP($A456,'Temprorary Data'!$A:$G,7,FALSE)</f>
        <v>31</v>
      </c>
    </row>
    <row r="457" spans="1:16" ht="15.75" thickBot="1">
      <c r="A457" s="1">
        <v>456</v>
      </c>
      <c r="B457" s="2">
        <v>40564</v>
      </c>
      <c r="C457" s="1">
        <v>1</v>
      </c>
      <c r="D457" s="1">
        <v>0</v>
      </c>
      <c r="E457" s="1">
        <v>1</v>
      </c>
      <c r="F457" s="1">
        <v>0</v>
      </c>
      <c r="G457" s="3" t="b">
        <v>0</v>
      </c>
      <c r="H457" s="1">
        <v>5</v>
      </c>
      <c r="I457" s="1">
        <v>2</v>
      </c>
      <c r="J457" s="1">
        <v>0.24</v>
      </c>
      <c r="K457">
        <f>VLOOKUP($A457,'Temprorary Data'!$A:$G,2,FALSE)</f>
        <v>0.2273</v>
      </c>
      <c r="L457">
        <f>VLOOKUP($A457,'Temprorary Data'!$A:$G,3,FALSE)</f>
        <v>0.7</v>
      </c>
      <c r="M457">
        <f>VLOOKUP($A457,'Temprorary Data'!$A:$G,4,FALSE)</f>
        <v>0.25369999999999998</v>
      </c>
      <c r="N457">
        <f>VLOOKUP($A457,'Temprorary Data'!$A:$G,5,FALSE)</f>
        <v>1</v>
      </c>
      <c r="O457">
        <f>VLOOKUP($A457,'Temprorary Data'!$A:$G,6,FALSE)</f>
        <v>20</v>
      </c>
      <c r="P457">
        <f>VLOOKUP($A457,'Temprorary Data'!$A:$G,7,FALSE)</f>
        <v>21</v>
      </c>
    </row>
    <row r="458" spans="1:16" ht="15.75" thickBot="1">
      <c r="A458" s="1">
        <v>457</v>
      </c>
      <c r="B458" s="2">
        <v>40564</v>
      </c>
      <c r="C458" s="1">
        <v>1</v>
      </c>
      <c r="D458" s="1">
        <v>0</v>
      </c>
      <c r="E458" s="1">
        <v>1</v>
      </c>
      <c r="F458" s="1">
        <v>1</v>
      </c>
      <c r="G458" s="3" t="b">
        <v>0</v>
      </c>
      <c r="H458" s="1">
        <v>5</v>
      </c>
      <c r="I458" s="1">
        <v>2</v>
      </c>
      <c r="J458" s="1">
        <v>0.24</v>
      </c>
      <c r="K458">
        <f>VLOOKUP($A458,'Temprorary Data'!$A:$G,2,FALSE)</f>
        <v>0.2273</v>
      </c>
      <c r="L458">
        <f>VLOOKUP($A458,'Temprorary Data'!$A:$G,3,FALSE)</f>
        <v>0.7</v>
      </c>
      <c r="M458">
        <f>VLOOKUP($A458,'Temprorary Data'!$A:$G,4,FALSE)</f>
        <v>0.25369999999999998</v>
      </c>
      <c r="N458">
        <f>VLOOKUP($A458,'Temprorary Data'!$A:$G,5,FALSE)</f>
        <v>0</v>
      </c>
      <c r="O458">
        <f>VLOOKUP($A458,'Temprorary Data'!$A:$G,6,FALSE)</f>
        <v>6</v>
      </c>
      <c r="P458">
        <f>VLOOKUP($A458,'Temprorary Data'!$A:$G,7,FALSE)</f>
        <v>6</v>
      </c>
    </row>
    <row r="459" spans="1:16" ht="15.75" thickBot="1">
      <c r="A459" s="1">
        <v>458</v>
      </c>
      <c r="B459" s="2">
        <v>40564</v>
      </c>
      <c r="C459" s="1">
        <v>1</v>
      </c>
      <c r="D459" s="1">
        <v>0</v>
      </c>
      <c r="E459" s="1">
        <v>1</v>
      </c>
      <c r="F459" s="1">
        <v>2</v>
      </c>
      <c r="G459" s="3" t="b">
        <v>0</v>
      </c>
      <c r="H459" s="1">
        <v>5</v>
      </c>
      <c r="I459" s="1">
        <v>3</v>
      </c>
      <c r="J459" s="1">
        <v>0.24</v>
      </c>
      <c r="K459">
        <f>VLOOKUP($A459,'Temprorary Data'!$A:$G,2,FALSE)</f>
        <v>0.2424</v>
      </c>
      <c r="L459">
        <f>VLOOKUP($A459,'Temprorary Data'!$A:$G,3,FALSE)</f>
        <v>0.75</v>
      </c>
      <c r="M459">
        <f>VLOOKUP($A459,'Temprorary Data'!$A:$G,4,FALSE)</f>
        <v>0.16420000000000001</v>
      </c>
      <c r="N459">
        <f>VLOOKUP($A459,'Temprorary Data'!$A:$G,5,FALSE)</f>
        <v>0</v>
      </c>
      <c r="O459">
        <f>VLOOKUP($A459,'Temprorary Data'!$A:$G,6,FALSE)</f>
        <v>2</v>
      </c>
      <c r="P459">
        <f>VLOOKUP($A459,'Temprorary Data'!$A:$G,7,FALSE)</f>
        <v>2</v>
      </c>
    </row>
    <row r="460" spans="1:16" ht="15.75" thickBot="1">
      <c r="A460" s="1">
        <v>459</v>
      </c>
      <c r="B460" s="2">
        <v>40564</v>
      </c>
      <c r="C460" s="1">
        <v>1</v>
      </c>
      <c r="D460" s="1">
        <v>0</v>
      </c>
      <c r="E460" s="1">
        <v>1</v>
      </c>
      <c r="F460" s="1">
        <v>3</v>
      </c>
      <c r="G460" s="3" t="b">
        <v>0</v>
      </c>
      <c r="H460" s="1">
        <v>5</v>
      </c>
      <c r="I460" s="1">
        <v>3</v>
      </c>
      <c r="J460" s="1">
        <v>0.22</v>
      </c>
      <c r="K460">
        <f>VLOOKUP($A460,'Temprorary Data'!$A:$G,2,FALSE)</f>
        <v>0.21210000000000001</v>
      </c>
      <c r="L460">
        <f>VLOOKUP($A460,'Temprorary Data'!$A:$G,3,FALSE)</f>
        <v>0.8</v>
      </c>
      <c r="M460">
        <f>VLOOKUP($A460,'Temprorary Data'!$A:$G,4,FALSE)</f>
        <v>0.29849999999999999</v>
      </c>
      <c r="N460">
        <f>VLOOKUP($A460,'Temprorary Data'!$A:$G,5,FALSE)</f>
        <v>0</v>
      </c>
      <c r="O460">
        <f>VLOOKUP($A460,'Temprorary Data'!$A:$G,6,FALSE)</f>
        <v>1</v>
      </c>
      <c r="P460">
        <f>VLOOKUP($A460,'Temprorary Data'!$A:$G,7,FALSE)</f>
        <v>1</v>
      </c>
    </row>
    <row r="461" spans="1:16" ht="15.75" thickBot="1">
      <c r="A461" s="1">
        <v>460</v>
      </c>
      <c r="B461" s="2">
        <v>40564</v>
      </c>
      <c r="C461" s="1">
        <v>1</v>
      </c>
      <c r="D461" s="1">
        <v>0</v>
      </c>
      <c r="E461" s="1">
        <v>1</v>
      </c>
      <c r="F461" s="1">
        <v>4</v>
      </c>
      <c r="G461" s="3" t="b">
        <v>0</v>
      </c>
      <c r="H461" s="1">
        <v>5</v>
      </c>
      <c r="I461" s="1">
        <v>2</v>
      </c>
      <c r="J461" s="1">
        <v>0.22</v>
      </c>
      <c r="K461">
        <f>VLOOKUP($A461,'Temprorary Data'!$A:$G,2,FALSE)</f>
        <v>0.2576</v>
      </c>
      <c r="L461">
        <f>VLOOKUP($A461,'Temprorary Data'!$A:$G,3,FALSE)</f>
        <v>0.87</v>
      </c>
      <c r="M461">
        <f>VLOOKUP($A461,'Temprorary Data'!$A:$G,4,FALSE)</f>
        <v>8.9599999999999999E-2</v>
      </c>
      <c r="N461">
        <f>VLOOKUP($A461,'Temprorary Data'!$A:$G,5,FALSE)</f>
        <v>0</v>
      </c>
      <c r="O461">
        <f>VLOOKUP($A461,'Temprorary Data'!$A:$G,6,FALSE)</f>
        <v>1</v>
      </c>
      <c r="P461">
        <f>VLOOKUP($A461,'Temprorary Data'!$A:$G,7,FALSE)</f>
        <v>1</v>
      </c>
    </row>
    <row r="462" spans="1:16" ht="15.75" thickBot="1">
      <c r="A462" s="1">
        <v>461</v>
      </c>
      <c r="B462" s="2">
        <v>40564</v>
      </c>
      <c r="C462" s="1">
        <v>1</v>
      </c>
      <c r="D462" s="1">
        <v>0</v>
      </c>
      <c r="E462" s="1">
        <v>1</v>
      </c>
      <c r="F462" s="1">
        <v>5</v>
      </c>
      <c r="G462" s="3" t="b">
        <v>0</v>
      </c>
      <c r="H462" s="1">
        <v>5</v>
      </c>
      <c r="I462" s="1">
        <v>1</v>
      </c>
      <c r="J462" s="1">
        <v>0.24</v>
      </c>
      <c r="K462">
        <f>VLOOKUP($A462,'Temprorary Data'!$A:$G,2,FALSE)</f>
        <v>0.19700000000000001</v>
      </c>
      <c r="L462">
        <f>VLOOKUP($A462,'Temprorary Data'!$A:$G,3,FALSE)</f>
        <v>0.6</v>
      </c>
      <c r="M462">
        <f>VLOOKUP($A462,'Temprorary Data'!$A:$G,4,FALSE)</f>
        <v>0.41789999999999999</v>
      </c>
      <c r="N462">
        <f>VLOOKUP($A462,'Temprorary Data'!$A:$G,5,FALSE)</f>
        <v>1</v>
      </c>
      <c r="O462">
        <f>VLOOKUP($A462,'Temprorary Data'!$A:$G,6,FALSE)</f>
        <v>4</v>
      </c>
      <c r="P462">
        <f>VLOOKUP($A462,'Temprorary Data'!$A:$G,7,FALSE)</f>
        <v>5</v>
      </c>
    </row>
    <row r="463" spans="1:16" ht="15.75" thickBot="1">
      <c r="A463" s="1">
        <v>462</v>
      </c>
      <c r="B463" s="2">
        <v>40564</v>
      </c>
      <c r="C463" s="1">
        <v>1</v>
      </c>
      <c r="D463" s="1">
        <v>0</v>
      </c>
      <c r="E463" s="1">
        <v>1</v>
      </c>
      <c r="F463" s="1">
        <v>6</v>
      </c>
      <c r="G463" s="3" t="b">
        <v>0</v>
      </c>
      <c r="H463" s="1">
        <v>5</v>
      </c>
      <c r="I463" s="1">
        <v>1</v>
      </c>
      <c r="J463" s="1">
        <v>0.22</v>
      </c>
      <c r="K463">
        <f>VLOOKUP($A463,'Temprorary Data'!$A:$G,2,FALSE)</f>
        <v>0.21210000000000001</v>
      </c>
      <c r="L463">
        <f>VLOOKUP($A463,'Temprorary Data'!$A:$G,3,FALSE)</f>
        <v>0.55000000000000004</v>
      </c>
      <c r="M463">
        <f>VLOOKUP($A463,'Temprorary Data'!$A:$G,4,FALSE)</f>
        <v>0.25369999999999998</v>
      </c>
      <c r="N463">
        <f>VLOOKUP($A463,'Temprorary Data'!$A:$G,5,FALSE)</f>
        <v>0</v>
      </c>
      <c r="O463">
        <f>VLOOKUP($A463,'Temprorary Data'!$A:$G,6,FALSE)</f>
        <v>27</v>
      </c>
      <c r="P463">
        <f>VLOOKUP($A463,'Temprorary Data'!$A:$G,7,FALSE)</f>
        <v>27</v>
      </c>
    </row>
    <row r="464" spans="1:16" ht="15.75" thickBot="1">
      <c r="A464" s="1">
        <v>463</v>
      </c>
      <c r="B464" s="2">
        <v>40564</v>
      </c>
      <c r="C464" s="1">
        <v>1</v>
      </c>
      <c r="D464" s="1">
        <v>0</v>
      </c>
      <c r="E464" s="1">
        <v>1</v>
      </c>
      <c r="F464" s="1">
        <v>7</v>
      </c>
      <c r="G464" s="3" t="b">
        <v>0</v>
      </c>
      <c r="H464" s="1">
        <v>5</v>
      </c>
      <c r="I464" s="1">
        <v>1</v>
      </c>
      <c r="J464" s="1">
        <v>0.2</v>
      </c>
      <c r="K464">
        <f>VLOOKUP($A464,'Temprorary Data'!$A:$G,2,FALSE)</f>
        <v>0.18179999999999999</v>
      </c>
      <c r="L464">
        <f>VLOOKUP($A464,'Temprorary Data'!$A:$G,3,FALSE)</f>
        <v>0.51</v>
      </c>
      <c r="M464">
        <f>VLOOKUP($A464,'Temprorary Data'!$A:$G,4,FALSE)</f>
        <v>0.28360000000000002</v>
      </c>
      <c r="N464">
        <f>VLOOKUP($A464,'Temprorary Data'!$A:$G,5,FALSE)</f>
        <v>2</v>
      </c>
      <c r="O464">
        <f>VLOOKUP($A464,'Temprorary Data'!$A:$G,6,FALSE)</f>
        <v>66</v>
      </c>
      <c r="P464">
        <f>VLOOKUP($A464,'Temprorary Data'!$A:$G,7,FALSE)</f>
        <v>68</v>
      </c>
    </row>
    <row r="465" spans="1:16" ht="15.75" thickBot="1">
      <c r="A465" s="1">
        <v>464</v>
      </c>
      <c r="B465" s="2">
        <v>40564</v>
      </c>
      <c r="C465" s="1">
        <v>1</v>
      </c>
      <c r="D465" s="1">
        <v>0</v>
      </c>
      <c r="E465" s="1">
        <v>1</v>
      </c>
      <c r="F465" s="1">
        <v>8</v>
      </c>
      <c r="G465" s="3" t="b">
        <v>0</v>
      </c>
      <c r="H465" s="1">
        <v>5</v>
      </c>
      <c r="I465" s="1">
        <v>1</v>
      </c>
      <c r="J465" s="1">
        <v>0.2</v>
      </c>
      <c r="K465">
        <f>VLOOKUP($A465,'Temprorary Data'!$A:$G,2,FALSE)</f>
        <v>0.18179999999999999</v>
      </c>
      <c r="L465">
        <f>VLOOKUP($A465,'Temprorary Data'!$A:$G,3,FALSE)</f>
        <v>0.47</v>
      </c>
      <c r="M465">
        <f>VLOOKUP($A465,'Temprorary Data'!$A:$G,4,FALSE)</f>
        <v>0.32840000000000003</v>
      </c>
      <c r="N465">
        <f>VLOOKUP($A465,'Temprorary Data'!$A:$G,5,FALSE)</f>
        <v>7</v>
      </c>
      <c r="O465">
        <f>VLOOKUP($A465,'Temprorary Data'!$A:$G,6,FALSE)</f>
        <v>210</v>
      </c>
      <c r="P465">
        <f>VLOOKUP($A465,'Temprorary Data'!$A:$G,7,FALSE)</f>
        <v>217</v>
      </c>
    </row>
    <row r="466" spans="1:16" ht="15.75" thickBot="1">
      <c r="A466" s="1">
        <v>465</v>
      </c>
      <c r="B466" s="2">
        <v>40564</v>
      </c>
      <c r="C466" s="1">
        <v>1</v>
      </c>
      <c r="D466" s="1">
        <v>0</v>
      </c>
      <c r="E466" s="1">
        <v>1</v>
      </c>
      <c r="F466" s="1">
        <v>9</v>
      </c>
      <c r="G466" s="3" t="b">
        <v>0</v>
      </c>
      <c r="H466" s="1">
        <v>5</v>
      </c>
      <c r="I466" s="1">
        <v>1</v>
      </c>
      <c r="J466" s="1">
        <v>0.2</v>
      </c>
      <c r="K466">
        <f>VLOOKUP($A466,'Temprorary Data'!$A:$G,2,FALSE)</f>
        <v>0.18179999999999999</v>
      </c>
      <c r="L466">
        <f>VLOOKUP($A466,'Temprorary Data'!$A:$G,3,FALSE)</f>
        <v>0.51</v>
      </c>
      <c r="M466">
        <f>VLOOKUP($A466,'Temprorary Data'!$A:$G,4,FALSE)</f>
        <v>0.35820000000000002</v>
      </c>
      <c r="N466">
        <f>VLOOKUP($A466,'Temprorary Data'!$A:$G,5,FALSE)</f>
        <v>7</v>
      </c>
      <c r="O466">
        <f>VLOOKUP($A466,'Temprorary Data'!$A:$G,6,FALSE)</f>
        <v>159</v>
      </c>
      <c r="P466">
        <f>VLOOKUP($A466,'Temprorary Data'!$A:$G,7,FALSE)</f>
        <v>166</v>
      </c>
    </row>
    <row r="467" spans="1:16" ht="15.75" thickBot="1">
      <c r="A467" s="1">
        <v>466</v>
      </c>
      <c r="B467" s="2">
        <v>40564</v>
      </c>
      <c r="C467" s="1">
        <v>1</v>
      </c>
      <c r="D467" s="1">
        <v>0</v>
      </c>
      <c r="E467" s="1">
        <v>1</v>
      </c>
      <c r="F467" s="1">
        <v>10</v>
      </c>
      <c r="G467" s="3" t="b">
        <v>0</v>
      </c>
      <c r="H467" s="1">
        <v>5</v>
      </c>
      <c r="I467" s="1">
        <v>1</v>
      </c>
      <c r="J467" s="1">
        <v>0.2</v>
      </c>
      <c r="K467">
        <f>VLOOKUP($A467,'Temprorary Data'!$A:$G,2,FALSE)</f>
        <v>0.16669999999999999</v>
      </c>
      <c r="L467">
        <f>VLOOKUP($A467,'Temprorary Data'!$A:$G,3,FALSE)</f>
        <v>0.47</v>
      </c>
      <c r="M467">
        <f>VLOOKUP($A467,'Temprorary Data'!$A:$G,4,FALSE)</f>
        <v>0.4627</v>
      </c>
      <c r="N467">
        <f>VLOOKUP($A467,'Temprorary Data'!$A:$G,5,FALSE)</f>
        <v>6</v>
      </c>
      <c r="O467">
        <f>VLOOKUP($A467,'Temprorary Data'!$A:$G,6,FALSE)</f>
        <v>57</v>
      </c>
      <c r="P467">
        <f>VLOOKUP($A467,'Temprorary Data'!$A:$G,7,FALSE)</f>
        <v>63</v>
      </c>
    </row>
    <row r="468" spans="1:16" ht="15.75" thickBot="1">
      <c r="A468" s="1">
        <v>467</v>
      </c>
      <c r="B468" s="2">
        <v>40564</v>
      </c>
      <c r="C468" s="1">
        <v>1</v>
      </c>
      <c r="D468" s="1">
        <v>0</v>
      </c>
      <c r="E468" s="1">
        <v>1</v>
      </c>
      <c r="F468" s="1">
        <v>11</v>
      </c>
      <c r="G468" s="3" t="b">
        <v>0</v>
      </c>
      <c r="H468" s="1">
        <v>5</v>
      </c>
      <c r="I468" s="1">
        <v>1</v>
      </c>
      <c r="J468" s="1">
        <v>0.22</v>
      </c>
      <c r="K468">
        <f>VLOOKUP($A468,'Temprorary Data'!$A:$G,2,FALSE)</f>
        <v>0.18179999999999999</v>
      </c>
      <c r="L468">
        <f>VLOOKUP($A468,'Temprorary Data'!$A:$G,3,FALSE)</f>
        <v>0.41</v>
      </c>
      <c r="M468">
        <f>VLOOKUP($A468,'Temprorary Data'!$A:$G,4,FALSE)</f>
        <v>0.4627</v>
      </c>
      <c r="N468">
        <f>VLOOKUP($A468,'Temprorary Data'!$A:$G,5,FALSE)</f>
        <v>6</v>
      </c>
      <c r="O468">
        <f>VLOOKUP($A468,'Temprorary Data'!$A:$G,6,FALSE)</f>
        <v>53</v>
      </c>
      <c r="P468">
        <f>VLOOKUP($A468,'Temprorary Data'!$A:$G,7,FALSE)</f>
        <v>59</v>
      </c>
    </row>
    <row r="469" spans="1:16" ht="15.75" thickBot="1">
      <c r="A469" s="1">
        <v>468</v>
      </c>
      <c r="B469" s="2">
        <v>40564</v>
      </c>
      <c r="C469" s="1">
        <v>1</v>
      </c>
      <c r="D469" s="1">
        <v>0</v>
      </c>
      <c r="E469" s="1">
        <v>1</v>
      </c>
      <c r="F469" s="1">
        <v>12</v>
      </c>
      <c r="G469" s="3" t="b">
        <v>0</v>
      </c>
      <c r="H469" s="1">
        <v>5</v>
      </c>
      <c r="I469" s="1">
        <v>1</v>
      </c>
      <c r="J469" s="1">
        <v>0.22</v>
      </c>
      <c r="K469">
        <f>VLOOKUP($A469,'Temprorary Data'!$A:$G,2,FALSE)</f>
        <v>0.18179999999999999</v>
      </c>
      <c r="L469">
        <f>VLOOKUP($A469,'Temprorary Data'!$A:$G,3,FALSE)</f>
        <v>0.27</v>
      </c>
      <c r="M469">
        <f>VLOOKUP($A469,'Temprorary Data'!$A:$G,4,FALSE)</f>
        <v>0.58209999999999995</v>
      </c>
      <c r="N469">
        <f>VLOOKUP($A469,'Temprorary Data'!$A:$G,5,FALSE)</f>
        <v>11</v>
      </c>
      <c r="O469">
        <f>VLOOKUP($A469,'Temprorary Data'!$A:$G,6,FALSE)</f>
        <v>67</v>
      </c>
      <c r="P469">
        <f>VLOOKUP($A469,'Temprorary Data'!$A:$G,7,FALSE)</f>
        <v>78</v>
      </c>
    </row>
    <row r="470" spans="1:16" ht="15.75" thickBot="1">
      <c r="A470" s="1">
        <v>469</v>
      </c>
      <c r="B470" s="2">
        <v>40564</v>
      </c>
      <c r="C470" s="1">
        <v>1</v>
      </c>
      <c r="D470" s="1">
        <v>0</v>
      </c>
      <c r="E470" s="1">
        <v>1</v>
      </c>
      <c r="F470" s="1">
        <v>13</v>
      </c>
      <c r="G470" s="3" t="b">
        <v>0</v>
      </c>
      <c r="H470" s="1">
        <v>5</v>
      </c>
      <c r="I470" s="1">
        <v>1</v>
      </c>
      <c r="J470" s="1">
        <v>0.2</v>
      </c>
      <c r="K470">
        <f>VLOOKUP($A470,'Temprorary Data'!$A:$G,2,FALSE)</f>
        <v>0.1515</v>
      </c>
      <c r="L470">
        <f>VLOOKUP($A470,'Temprorary Data'!$A:$G,3,FALSE)</f>
        <v>0.21</v>
      </c>
      <c r="M470">
        <f>VLOOKUP($A470,'Temprorary Data'!$A:$G,4,FALSE)</f>
        <v>0.58209999999999995</v>
      </c>
      <c r="N470">
        <f>VLOOKUP($A470,'Temprorary Data'!$A:$G,5,FALSE)</f>
        <v>8</v>
      </c>
      <c r="O470">
        <f>VLOOKUP($A470,'Temprorary Data'!$A:$G,6,FALSE)</f>
        <v>65</v>
      </c>
      <c r="P470">
        <f>VLOOKUP($A470,'Temprorary Data'!$A:$G,7,FALSE)</f>
        <v>73</v>
      </c>
    </row>
    <row r="471" spans="1:16" ht="15.75" thickBot="1">
      <c r="A471" s="1">
        <v>470</v>
      </c>
      <c r="B471" s="2">
        <v>40564</v>
      </c>
      <c r="C471" s="1">
        <v>1</v>
      </c>
      <c r="D471" s="1">
        <v>0</v>
      </c>
      <c r="E471" s="1">
        <v>1</v>
      </c>
      <c r="F471" s="1">
        <v>14</v>
      </c>
      <c r="G471" s="3" t="b">
        <v>0</v>
      </c>
      <c r="H471" s="1">
        <v>5</v>
      </c>
      <c r="I471" s="1">
        <v>1</v>
      </c>
      <c r="J471" s="1">
        <v>0.2</v>
      </c>
      <c r="K471">
        <f>VLOOKUP($A471,'Temprorary Data'!$A:$G,2,FALSE)</f>
        <v>0.1515</v>
      </c>
      <c r="L471">
        <f>VLOOKUP($A471,'Temprorary Data'!$A:$G,3,FALSE)</f>
        <v>0.25</v>
      </c>
      <c r="M471">
        <f>VLOOKUP($A471,'Temprorary Data'!$A:$G,4,FALSE)</f>
        <v>0.52239999999999998</v>
      </c>
      <c r="N471">
        <f>VLOOKUP($A471,'Temprorary Data'!$A:$G,5,FALSE)</f>
        <v>6</v>
      </c>
      <c r="O471">
        <f>VLOOKUP($A471,'Temprorary Data'!$A:$G,6,FALSE)</f>
        <v>56</v>
      </c>
      <c r="P471">
        <f>VLOOKUP($A471,'Temprorary Data'!$A:$G,7,FALSE)</f>
        <v>62</v>
      </c>
    </row>
    <row r="472" spans="1:16" ht="15.75" thickBot="1">
      <c r="A472" s="1">
        <v>471</v>
      </c>
      <c r="B472" s="2">
        <v>40564</v>
      </c>
      <c r="C472" s="1">
        <v>1</v>
      </c>
      <c r="D472" s="1">
        <v>0</v>
      </c>
      <c r="E472" s="1">
        <v>1</v>
      </c>
      <c r="F472" s="1">
        <v>15</v>
      </c>
      <c r="G472" s="3" t="b">
        <v>0</v>
      </c>
      <c r="H472" s="1">
        <v>5</v>
      </c>
      <c r="I472" s="1">
        <v>1</v>
      </c>
      <c r="J472" s="1">
        <v>0.16</v>
      </c>
      <c r="K472">
        <f>VLOOKUP($A472,'Temprorary Data'!$A:$G,2,FALSE)</f>
        <v>0.1212</v>
      </c>
      <c r="L472">
        <f>VLOOKUP($A472,'Temprorary Data'!$A:$G,3,FALSE)</f>
        <v>0.26</v>
      </c>
      <c r="M472">
        <f>VLOOKUP($A472,'Temprorary Data'!$A:$G,4,FALSE)</f>
        <v>0.44779999999999998</v>
      </c>
      <c r="N472">
        <f>VLOOKUP($A472,'Temprorary Data'!$A:$G,5,FALSE)</f>
        <v>4</v>
      </c>
      <c r="O472">
        <f>VLOOKUP($A472,'Temprorary Data'!$A:$G,6,FALSE)</f>
        <v>61</v>
      </c>
      <c r="P472">
        <f>VLOOKUP($A472,'Temprorary Data'!$A:$G,7,FALSE)</f>
        <v>65</v>
      </c>
    </row>
    <row r="473" spans="1:16" ht="15.75" thickBot="1">
      <c r="A473" s="1">
        <v>472</v>
      </c>
      <c r="B473" s="2">
        <v>40564</v>
      </c>
      <c r="C473" s="1">
        <v>1</v>
      </c>
      <c r="D473" s="1">
        <v>0</v>
      </c>
      <c r="E473" s="1">
        <v>1</v>
      </c>
      <c r="F473" s="1">
        <v>16</v>
      </c>
      <c r="G473" s="3" t="b">
        <v>0</v>
      </c>
      <c r="H473" s="1">
        <v>5</v>
      </c>
      <c r="I473" s="1">
        <v>1</v>
      </c>
      <c r="J473" s="1">
        <v>0.16</v>
      </c>
      <c r="K473">
        <f>VLOOKUP($A473,'Temprorary Data'!$A:$G,2,FALSE)</f>
        <v>0.13639999999999999</v>
      </c>
      <c r="L473">
        <f>VLOOKUP($A473,'Temprorary Data'!$A:$G,3,FALSE)</f>
        <v>0.26</v>
      </c>
      <c r="M473">
        <f>VLOOKUP($A473,'Temprorary Data'!$A:$G,4,FALSE)</f>
        <v>0.35820000000000002</v>
      </c>
      <c r="N473">
        <f>VLOOKUP($A473,'Temprorary Data'!$A:$G,5,FALSE)</f>
        <v>0</v>
      </c>
      <c r="O473">
        <f>VLOOKUP($A473,'Temprorary Data'!$A:$G,6,FALSE)</f>
        <v>97</v>
      </c>
      <c r="P473">
        <f>VLOOKUP($A473,'Temprorary Data'!$A:$G,7,FALSE)</f>
        <v>97</v>
      </c>
    </row>
    <row r="474" spans="1:16" ht="15.75" thickBot="1">
      <c r="A474" s="1">
        <v>473</v>
      </c>
      <c r="B474" s="2">
        <v>40564</v>
      </c>
      <c r="C474" s="1">
        <v>1</v>
      </c>
      <c r="D474" s="1">
        <v>0</v>
      </c>
      <c r="E474" s="1">
        <v>1</v>
      </c>
      <c r="F474" s="1">
        <v>17</v>
      </c>
      <c r="G474" s="3" t="b">
        <v>0</v>
      </c>
      <c r="H474" s="1">
        <v>5</v>
      </c>
      <c r="I474" s="1">
        <v>1</v>
      </c>
      <c r="J474" s="1">
        <v>0.14000000000000001</v>
      </c>
      <c r="K474">
        <f>VLOOKUP($A474,'Temprorary Data'!$A:$G,2,FALSE)</f>
        <v>0.1212</v>
      </c>
      <c r="L474">
        <f>VLOOKUP($A474,'Temprorary Data'!$A:$G,3,FALSE)</f>
        <v>0.28000000000000003</v>
      </c>
      <c r="M474">
        <f>VLOOKUP($A474,'Temprorary Data'!$A:$G,4,FALSE)</f>
        <v>0.35820000000000002</v>
      </c>
      <c r="N474">
        <f>VLOOKUP($A474,'Temprorary Data'!$A:$G,5,FALSE)</f>
        <v>10</v>
      </c>
      <c r="O474">
        <f>VLOOKUP($A474,'Temprorary Data'!$A:$G,6,FALSE)</f>
        <v>151</v>
      </c>
      <c r="P474">
        <f>VLOOKUP($A474,'Temprorary Data'!$A:$G,7,FALSE)</f>
        <v>161</v>
      </c>
    </row>
    <row r="475" spans="1:16" ht="15.75" thickBot="1">
      <c r="A475" s="1">
        <v>474</v>
      </c>
      <c r="B475" s="2">
        <v>40564</v>
      </c>
      <c r="C475" s="1">
        <v>1</v>
      </c>
      <c r="D475" s="1">
        <v>0</v>
      </c>
      <c r="E475" s="1">
        <v>1</v>
      </c>
      <c r="F475" s="1">
        <v>18</v>
      </c>
      <c r="G475" s="3" t="b">
        <v>0</v>
      </c>
      <c r="H475" s="1">
        <v>5</v>
      </c>
      <c r="I475" s="1">
        <v>1</v>
      </c>
      <c r="J475" s="1">
        <v>0.12</v>
      </c>
      <c r="K475">
        <f>VLOOKUP($A475,'Temprorary Data'!$A:$G,2,FALSE)</f>
        <v>0.1212</v>
      </c>
      <c r="L475">
        <f>VLOOKUP($A475,'Temprorary Data'!$A:$G,3,FALSE)</f>
        <v>0.3</v>
      </c>
      <c r="M475">
        <f>VLOOKUP($A475,'Temprorary Data'!$A:$G,4,FALSE)</f>
        <v>0.25369999999999998</v>
      </c>
      <c r="N475">
        <f>VLOOKUP($A475,'Temprorary Data'!$A:$G,5,FALSE)</f>
        <v>1</v>
      </c>
      <c r="O475">
        <f>VLOOKUP($A475,'Temprorary Data'!$A:$G,6,FALSE)</f>
        <v>119</v>
      </c>
      <c r="P475">
        <f>VLOOKUP($A475,'Temprorary Data'!$A:$G,7,FALSE)</f>
        <v>120</v>
      </c>
    </row>
    <row r="476" spans="1:16" ht="15.75" thickBot="1">
      <c r="A476" s="1">
        <v>475</v>
      </c>
      <c r="B476" s="2">
        <v>40564</v>
      </c>
      <c r="C476" s="1">
        <v>1</v>
      </c>
      <c r="D476" s="1">
        <v>0</v>
      </c>
      <c r="E476" s="1">
        <v>1</v>
      </c>
      <c r="F476" s="1">
        <v>19</v>
      </c>
      <c r="G476" s="3" t="b">
        <v>0</v>
      </c>
      <c r="H476" s="1">
        <v>5</v>
      </c>
      <c r="I476" s="1">
        <v>1</v>
      </c>
      <c r="J476" s="1">
        <v>0.12</v>
      </c>
      <c r="K476">
        <f>VLOOKUP($A476,'Temprorary Data'!$A:$G,2,FALSE)</f>
        <v>0.1061</v>
      </c>
      <c r="L476">
        <f>VLOOKUP($A476,'Temprorary Data'!$A:$G,3,FALSE)</f>
        <v>0.3</v>
      </c>
      <c r="M476">
        <f>VLOOKUP($A476,'Temprorary Data'!$A:$G,4,FALSE)</f>
        <v>0.32840000000000003</v>
      </c>
      <c r="N476">
        <f>VLOOKUP($A476,'Temprorary Data'!$A:$G,5,FALSE)</f>
        <v>3</v>
      </c>
      <c r="O476">
        <f>VLOOKUP($A476,'Temprorary Data'!$A:$G,6,FALSE)</f>
        <v>93</v>
      </c>
      <c r="P476">
        <f>VLOOKUP($A476,'Temprorary Data'!$A:$G,7,FALSE)</f>
        <v>96</v>
      </c>
    </row>
    <row r="477" spans="1:16" ht="15.75" thickBot="1">
      <c r="A477" s="1">
        <v>476</v>
      </c>
      <c r="B477" s="2">
        <v>40564</v>
      </c>
      <c r="C477" s="1">
        <v>1</v>
      </c>
      <c r="D477" s="1">
        <v>0</v>
      </c>
      <c r="E477" s="1">
        <v>1</v>
      </c>
      <c r="F477" s="1">
        <v>20</v>
      </c>
      <c r="G477" s="3" t="b">
        <v>0</v>
      </c>
      <c r="H477" s="1">
        <v>5</v>
      </c>
      <c r="I477" s="1">
        <v>1</v>
      </c>
      <c r="J477" s="1">
        <v>0.1</v>
      </c>
      <c r="K477">
        <f>VLOOKUP($A477,'Temprorary Data'!$A:$G,2,FALSE)</f>
        <v>7.5800000000000006E-2</v>
      </c>
      <c r="L477">
        <f>VLOOKUP($A477,'Temprorary Data'!$A:$G,3,FALSE)</f>
        <v>0.33</v>
      </c>
      <c r="M477">
        <f>VLOOKUP($A477,'Temprorary Data'!$A:$G,4,FALSE)</f>
        <v>0.41789999999999999</v>
      </c>
      <c r="N477">
        <f>VLOOKUP($A477,'Temprorary Data'!$A:$G,5,FALSE)</f>
        <v>1</v>
      </c>
      <c r="O477">
        <f>VLOOKUP($A477,'Temprorary Data'!$A:$G,6,FALSE)</f>
        <v>52</v>
      </c>
      <c r="P477">
        <f>VLOOKUP($A477,'Temprorary Data'!$A:$G,7,FALSE)</f>
        <v>53</v>
      </c>
    </row>
    <row r="478" spans="1:16" ht="15.75" thickBot="1">
      <c r="A478" s="1">
        <v>477</v>
      </c>
      <c r="B478" s="2">
        <v>40564</v>
      </c>
      <c r="C478" s="1">
        <v>1</v>
      </c>
      <c r="D478" s="1">
        <v>0</v>
      </c>
      <c r="E478" s="1">
        <v>1</v>
      </c>
      <c r="F478" s="1">
        <v>21</v>
      </c>
      <c r="G478" s="3" t="b">
        <v>0</v>
      </c>
      <c r="H478" s="1">
        <v>5</v>
      </c>
      <c r="I478" s="1">
        <v>1</v>
      </c>
      <c r="J478" s="1">
        <v>0.08</v>
      </c>
      <c r="K478">
        <f>VLOOKUP($A478,'Temprorary Data'!$A:$G,2,FALSE)</f>
        <v>7.5800000000000006E-2</v>
      </c>
      <c r="L478">
        <f>VLOOKUP($A478,'Temprorary Data'!$A:$G,3,FALSE)</f>
        <v>0.38</v>
      </c>
      <c r="M478">
        <f>VLOOKUP($A478,'Temprorary Data'!$A:$G,4,FALSE)</f>
        <v>0.28360000000000002</v>
      </c>
      <c r="N478">
        <f>VLOOKUP($A478,'Temprorary Data'!$A:$G,5,FALSE)</f>
        <v>0</v>
      </c>
      <c r="O478">
        <f>VLOOKUP($A478,'Temprorary Data'!$A:$G,6,FALSE)</f>
        <v>41</v>
      </c>
      <c r="P478">
        <f>VLOOKUP($A478,'Temprorary Data'!$A:$G,7,FALSE)</f>
        <v>41</v>
      </c>
    </row>
    <row r="479" spans="1:16" ht="15.75" thickBot="1">
      <c r="A479" s="1">
        <v>478</v>
      </c>
      <c r="B479" s="2">
        <v>40564</v>
      </c>
      <c r="C479" s="1">
        <v>1</v>
      </c>
      <c r="D479" s="1">
        <v>0</v>
      </c>
      <c r="E479" s="1">
        <v>1</v>
      </c>
      <c r="F479" s="1">
        <v>22</v>
      </c>
      <c r="G479" s="3" t="b">
        <v>0</v>
      </c>
      <c r="H479" s="1">
        <v>5</v>
      </c>
      <c r="I479" s="1">
        <v>1</v>
      </c>
      <c r="J479" s="1">
        <v>0.06</v>
      </c>
      <c r="K479">
        <f>VLOOKUP($A479,'Temprorary Data'!$A:$G,2,FALSE)</f>
        <v>3.0300000000000001E-2</v>
      </c>
      <c r="L479">
        <f>VLOOKUP($A479,'Temprorary Data'!$A:$G,3,FALSE)</f>
        <v>0.41</v>
      </c>
      <c r="M479">
        <f>VLOOKUP($A479,'Temprorary Data'!$A:$G,4,FALSE)</f>
        <v>0.3881</v>
      </c>
      <c r="N479">
        <f>VLOOKUP($A479,'Temprorary Data'!$A:$G,5,FALSE)</f>
        <v>1</v>
      </c>
      <c r="O479">
        <f>VLOOKUP($A479,'Temprorary Data'!$A:$G,6,FALSE)</f>
        <v>33</v>
      </c>
      <c r="P479">
        <f>VLOOKUP($A479,'Temprorary Data'!$A:$G,7,FALSE)</f>
        <v>34</v>
      </c>
    </row>
    <row r="480" spans="1:16" ht="15.75" thickBot="1">
      <c r="A480" s="1">
        <v>479</v>
      </c>
      <c r="B480" s="2">
        <v>40564</v>
      </c>
      <c r="C480" s="1">
        <v>1</v>
      </c>
      <c r="D480" s="1">
        <v>0</v>
      </c>
      <c r="E480" s="1">
        <v>1</v>
      </c>
      <c r="F480" s="1">
        <v>23</v>
      </c>
      <c r="G480" s="3" t="b">
        <v>0</v>
      </c>
      <c r="H480" s="1">
        <v>5</v>
      </c>
      <c r="I480" s="1">
        <v>1</v>
      </c>
      <c r="J480" s="1">
        <v>0.06</v>
      </c>
      <c r="K480">
        <f>VLOOKUP($A480,'Temprorary Data'!$A:$G,2,FALSE)</f>
        <v>4.5499999999999999E-2</v>
      </c>
      <c r="L480">
        <f>VLOOKUP($A480,'Temprorary Data'!$A:$G,3,FALSE)</f>
        <v>0.38</v>
      </c>
      <c r="M480">
        <f>VLOOKUP($A480,'Temprorary Data'!$A:$G,4,FALSE)</f>
        <v>0.32840000000000003</v>
      </c>
      <c r="N480">
        <f>VLOOKUP($A480,'Temprorary Data'!$A:$G,5,FALSE)</f>
        <v>0</v>
      </c>
      <c r="O480">
        <f>VLOOKUP($A480,'Temprorary Data'!$A:$G,6,FALSE)</f>
        <v>27</v>
      </c>
      <c r="P480">
        <f>VLOOKUP($A480,'Temprorary Data'!$A:$G,7,FALSE)</f>
        <v>27</v>
      </c>
    </row>
    <row r="481" spans="1:16" ht="15.75" thickBot="1">
      <c r="A481" s="1">
        <v>480</v>
      </c>
      <c r="B481" s="2">
        <v>40565</v>
      </c>
      <c r="C481" s="1">
        <v>1</v>
      </c>
      <c r="D481" s="1">
        <v>0</v>
      </c>
      <c r="E481" s="1">
        <v>1</v>
      </c>
      <c r="F481" s="1">
        <v>0</v>
      </c>
      <c r="G481" s="3" t="b">
        <v>0</v>
      </c>
      <c r="H481" s="1">
        <v>6</v>
      </c>
      <c r="I481" s="1">
        <v>1</v>
      </c>
      <c r="J481" s="1">
        <v>0.04</v>
      </c>
      <c r="K481">
        <f>VLOOKUP($A481,'Temprorary Data'!$A:$G,2,FALSE)</f>
        <v>3.0300000000000001E-2</v>
      </c>
      <c r="L481">
        <f>VLOOKUP($A481,'Temprorary Data'!$A:$G,3,FALSE)</f>
        <v>0.45</v>
      </c>
      <c r="M481">
        <f>VLOOKUP($A481,'Temprorary Data'!$A:$G,4,FALSE)</f>
        <v>0.25369999999999998</v>
      </c>
      <c r="N481">
        <f>VLOOKUP($A481,'Temprorary Data'!$A:$G,5,FALSE)</f>
        <v>0</v>
      </c>
      <c r="O481">
        <f>VLOOKUP($A481,'Temprorary Data'!$A:$G,6,FALSE)</f>
        <v>13</v>
      </c>
      <c r="P481">
        <f>VLOOKUP($A481,'Temprorary Data'!$A:$G,7,FALSE)</f>
        <v>13</v>
      </c>
    </row>
    <row r="482" spans="1:16" ht="15.75" thickBot="1">
      <c r="A482" s="1">
        <v>481</v>
      </c>
      <c r="B482" s="2">
        <v>40565</v>
      </c>
      <c r="C482" s="1">
        <v>1</v>
      </c>
      <c r="D482" s="1">
        <v>0</v>
      </c>
      <c r="E482" s="1">
        <v>1</v>
      </c>
      <c r="F482" s="1">
        <v>1</v>
      </c>
      <c r="G482" s="3" t="b">
        <v>0</v>
      </c>
      <c r="H482" s="1">
        <v>6</v>
      </c>
      <c r="I482" s="1">
        <v>2</v>
      </c>
      <c r="J482" s="1">
        <v>0.04</v>
      </c>
      <c r="K482">
        <f>VLOOKUP($A482,'Temprorary Data'!$A:$G,2,FALSE)</f>
        <v>0</v>
      </c>
      <c r="L482">
        <f>VLOOKUP($A482,'Temprorary Data'!$A:$G,3,FALSE)</f>
        <v>0.41</v>
      </c>
      <c r="M482">
        <f>VLOOKUP($A482,'Temprorary Data'!$A:$G,4,FALSE)</f>
        <v>0.3881</v>
      </c>
      <c r="N482">
        <f>VLOOKUP($A482,'Temprorary Data'!$A:$G,5,FALSE)</f>
        <v>3</v>
      </c>
      <c r="O482">
        <f>VLOOKUP($A482,'Temprorary Data'!$A:$G,6,FALSE)</f>
        <v>9</v>
      </c>
      <c r="P482">
        <f>VLOOKUP($A482,'Temprorary Data'!$A:$G,7,FALSE)</f>
        <v>12</v>
      </c>
    </row>
    <row r="483" spans="1:16" ht="15.75" thickBot="1">
      <c r="A483" s="1">
        <v>482</v>
      </c>
      <c r="B483" s="2">
        <v>40565</v>
      </c>
      <c r="C483" s="1">
        <v>1</v>
      </c>
      <c r="D483" s="1">
        <v>0</v>
      </c>
      <c r="E483" s="1">
        <v>1</v>
      </c>
      <c r="F483" s="1">
        <v>2</v>
      </c>
      <c r="G483" s="3" t="b">
        <v>0</v>
      </c>
      <c r="H483" s="1">
        <v>6</v>
      </c>
      <c r="I483" s="1">
        <v>2</v>
      </c>
      <c r="J483" s="1">
        <v>0.04</v>
      </c>
      <c r="K483">
        <f>VLOOKUP($A483,'Temprorary Data'!$A:$G,2,FALSE)</f>
        <v>3.0300000000000001E-2</v>
      </c>
      <c r="L483">
        <f>VLOOKUP($A483,'Temprorary Data'!$A:$G,3,FALSE)</f>
        <v>0.41</v>
      </c>
      <c r="M483">
        <f>VLOOKUP($A483,'Temprorary Data'!$A:$G,4,FALSE)</f>
        <v>0.25369999999999998</v>
      </c>
      <c r="N483">
        <f>VLOOKUP($A483,'Temprorary Data'!$A:$G,5,FALSE)</f>
        <v>0</v>
      </c>
      <c r="O483">
        <f>VLOOKUP($A483,'Temprorary Data'!$A:$G,6,FALSE)</f>
        <v>11</v>
      </c>
      <c r="P483">
        <f>VLOOKUP($A483,'Temprorary Data'!$A:$G,7,FALSE)</f>
        <v>11</v>
      </c>
    </row>
    <row r="484" spans="1:16" ht="15.75" thickBot="1">
      <c r="A484" s="1">
        <v>483</v>
      </c>
      <c r="B484" s="2">
        <v>40565</v>
      </c>
      <c r="C484" s="1">
        <v>1</v>
      </c>
      <c r="D484" s="1">
        <v>0</v>
      </c>
      <c r="E484" s="1">
        <v>1</v>
      </c>
      <c r="F484" s="1">
        <v>3</v>
      </c>
      <c r="G484" s="3" t="b">
        <v>0</v>
      </c>
      <c r="H484" s="1">
        <v>6</v>
      </c>
      <c r="I484" s="1">
        <v>2</v>
      </c>
      <c r="J484" s="1">
        <v>0.04</v>
      </c>
      <c r="K484">
        <f>VLOOKUP($A484,'Temprorary Data'!$A:$G,2,FALSE)</f>
        <v>3.0300000000000001E-2</v>
      </c>
      <c r="L484">
        <f>VLOOKUP($A484,'Temprorary Data'!$A:$G,3,FALSE)</f>
        <v>0.41</v>
      </c>
      <c r="M484">
        <f>VLOOKUP($A484,'Temprorary Data'!$A:$G,4,FALSE)</f>
        <v>0.28360000000000002</v>
      </c>
      <c r="N484">
        <f>VLOOKUP($A484,'Temprorary Data'!$A:$G,5,FALSE)</f>
        <v>1</v>
      </c>
      <c r="O484">
        <f>VLOOKUP($A484,'Temprorary Data'!$A:$G,6,FALSE)</f>
        <v>6</v>
      </c>
      <c r="P484">
        <f>VLOOKUP($A484,'Temprorary Data'!$A:$G,7,FALSE)</f>
        <v>7</v>
      </c>
    </row>
    <row r="485" spans="1:16" ht="15.75" thickBot="1">
      <c r="A485" s="1">
        <v>484</v>
      </c>
      <c r="B485" s="2">
        <v>40565</v>
      </c>
      <c r="C485" s="1">
        <v>1</v>
      </c>
      <c r="D485" s="1">
        <v>0</v>
      </c>
      <c r="E485" s="1">
        <v>1</v>
      </c>
      <c r="F485" s="1">
        <v>4</v>
      </c>
      <c r="G485" s="3" t="b">
        <v>0</v>
      </c>
      <c r="H485" s="1">
        <v>6</v>
      </c>
      <c r="I485" s="1">
        <v>2</v>
      </c>
      <c r="J485" s="1">
        <v>0.02</v>
      </c>
      <c r="K485">
        <f>VLOOKUP($A485,'Temprorary Data'!$A:$G,2,FALSE)</f>
        <v>1.52E-2</v>
      </c>
      <c r="L485">
        <f>VLOOKUP($A485,'Temprorary Data'!$A:$G,3,FALSE)</f>
        <v>0.48</v>
      </c>
      <c r="M485">
        <f>VLOOKUP($A485,'Temprorary Data'!$A:$G,4,FALSE)</f>
        <v>0.29849999999999999</v>
      </c>
      <c r="N485">
        <f>VLOOKUP($A485,'Temprorary Data'!$A:$G,5,FALSE)</f>
        <v>0</v>
      </c>
      <c r="O485">
        <f>VLOOKUP($A485,'Temprorary Data'!$A:$G,6,FALSE)</f>
        <v>3</v>
      </c>
      <c r="P485">
        <f>VLOOKUP($A485,'Temprorary Data'!$A:$G,7,FALSE)</f>
        <v>3</v>
      </c>
    </row>
    <row r="486" spans="1:16" ht="15.75" thickBot="1">
      <c r="A486" s="1">
        <v>485</v>
      </c>
      <c r="B486" s="2">
        <v>40565</v>
      </c>
      <c r="C486" s="1">
        <v>1</v>
      </c>
      <c r="D486" s="1">
        <v>0</v>
      </c>
      <c r="E486" s="1">
        <v>1</v>
      </c>
      <c r="F486" s="1">
        <v>6</v>
      </c>
      <c r="G486" s="3" t="b">
        <v>0</v>
      </c>
      <c r="H486" s="1">
        <v>6</v>
      </c>
      <c r="I486" s="1">
        <v>2</v>
      </c>
      <c r="J486" s="1">
        <v>0.02</v>
      </c>
      <c r="K486">
        <f>VLOOKUP($A486,'Temprorary Data'!$A:$G,2,FALSE)</f>
        <v>3.0300000000000001E-2</v>
      </c>
      <c r="L486">
        <f>VLOOKUP($A486,'Temprorary Data'!$A:$G,3,FALSE)</f>
        <v>0.44</v>
      </c>
      <c r="M486">
        <f>VLOOKUP($A486,'Temprorary Data'!$A:$G,4,FALSE)</f>
        <v>0.22389999999999999</v>
      </c>
      <c r="N486">
        <f>VLOOKUP($A486,'Temprorary Data'!$A:$G,5,FALSE)</f>
        <v>0</v>
      </c>
      <c r="O486">
        <f>VLOOKUP($A486,'Temprorary Data'!$A:$G,6,FALSE)</f>
        <v>2</v>
      </c>
      <c r="P486">
        <f>VLOOKUP($A486,'Temprorary Data'!$A:$G,7,FALSE)</f>
        <v>2</v>
      </c>
    </row>
    <row r="487" spans="1:16" ht="15.75" thickBot="1">
      <c r="A487" s="1">
        <v>486</v>
      </c>
      <c r="B487" s="2">
        <v>40565</v>
      </c>
      <c r="C487" s="1">
        <v>1</v>
      </c>
      <c r="D487" s="1">
        <v>0</v>
      </c>
      <c r="E487" s="1">
        <v>1</v>
      </c>
      <c r="F487" s="1">
        <v>7</v>
      </c>
      <c r="G487" s="3" t="b">
        <v>0</v>
      </c>
      <c r="H487" s="1">
        <v>6</v>
      </c>
      <c r="I487" s="1">
        <v>1</v>
      </c>
      <c r="J487" s="1">
        <v>0.02</v>
      </c>
      <c r="K487">
        <f>VLOOKUP($A487,'Temprorary Data'!$A:$G,2,FALSE)</f>
        <v>1.52E-2</v>
      </c>
      <c r="L487">
        <f>VLOOKUP($A487,'Temprorary Data'!$A:$G,3,FALSE)</f>
        <v>0.44</v>
      </c>
      <c r="M487">
        <f>VLOOKUP($A487,'Temprorary Data'!$A:$G,4,FALSE)</f>
        <v>0.28360000000000002</v>
      </c>
      <c r="N487">
        <f>VLOOKUP($A487,'Temprorary Data'!$A:$G,5,FALSE)</f>
        <v>0</v>
      </c>
      <c r="O487">
        <f>VLOOKUP($A487,'Temprorary Data'!$A:$G,6,FALSE)</f>
        <v>8</v>
      </c>
      <c r="P487">
        <f>VLOOKUP($A487,'Temprorary Data'!$A:$G,7,FALSE)</f>
        <v>8</v>
      </c>
    </row>
    <row r="488" spans="1:16" ht="15.75" thickBot="1">
      <c r="A488" s="1">
        <v>487</v>
      </c>
      <c r="B488" s="2">
        <v>40565</v>
      </c>
      <c r="C488" s="1">
        <v>1</v>
      </c>
      <c r="D488" s="1">
        <v>0</v>
      </c>
      <c r="E488" s="1">
        <v>1</v>
      </c>
      <c r="F488" s="1">
        <v>8</v>
      </c>
      <c r="G488" s="3" t="b">
        <v>0</v>
      </c>
      <c r="H488" s="1">
        <v>6</v>
      </c>
      <c r="I488" s="1">
        <v>1</v>
      </c>
      <c r="J488" s="1">
        <v>0.02</v>
      </c>
      <c r="K488">
        <f>VLOOKUP($A488,'Temprorary Data'!$A:$G,2,FALSE)</f>
        <v>0</v>
      </c>
      <c r="L488">
        <f>VLOOKUP($A488,'Temprorary Data'!$A:$G,3,FALSE)</f>
        <v>0.44</v>
      </c>
      <c r="M488">
        <f>VLOOKUP($A488,'Temprorary Data'!$A:$G,4,FALSE)</f>
        <v>0.32840000000000003</v>
      </c>
      <c r="N488">
        <f>VLOOKUP($A488,'Temprorary Data'!$A:$G,5,FALSE)</f>
        <v>1</v>
      </c>
      <c r="O488">
        <f>VLOOKUP($A488,'Temprorary Data'!$A:$G,6,FALSE)</f>
        <v>26</v>
      </c>
      <c r="P488">
        <f>VLOOKUP($A488,'Temprorary Data'!$A:$G,7,FALSE)</f>
        <v>27</v>
      </c>
    </row>
    <row r="489" spans="1:16" ht="15.75" thickBot="1">
      <c r="A489" s="1">
        <v>488</v>
      </c>
      <c r="B489" s="2">
        <v>40565</v>
      </c>
      <c r="C489" s="1">
        <v>1</v>
      </c>
      <c r="D489" s="1">
        <v>0</v>
      </c>
      <c r="E489" s="1">
        <v>1</v>
      </c>
      <c r="F489" s="1">
        <v>9</v>
      </c>
      <c r="G489" s="3" t="b">
        <v>0</v>
      </c>
      <c r="H489" s="1">
        <v>6</v>
      </c>
      <c r="I489" s="1">
        <v>1</v>
      </c>
      <c r="J489" s="1">
        <v>0.04</v>
      </c>
      <c r="K489">
        <f>VLOOKUP($A489,'Temprorary Data'!$A:$G,2,FALSE)</f>
        <v>3.0300000000000001E-2</v>
      </c>
      <c r="L489">
        <f>VLOOKUP($A489,'Temprorary Data'!$A:$G,3,FALSE)</f>
        <v>0.41</v>
      </c>
      <c r="M489">
        <f>VLOOKUP($A489,'Temprorary Data'!$A:$G,4,FALSE)</f>
        <v>0.25369999999999998</v>
      </c>
      <c r="N489">
        <f>VLOOKUP($A489,'Temprorary Data'!$A:$G,5,FALSE)</f>
        <v>3</v>
      </c>
      <c r="O489">
        <f>VLOOKUP($A489,'Temprorary Data'!$A:$G,6,FALSE)</f>
        <v>37</v>
      </c>
      <c r="P489">
        <f>VLOOKUP($A489,'Temprorary Data'!$A:$G,7,FALSE)</f>
        <v>40</v>
      </c>
    </row>
    <row r="490" spans="1:16" ht="15.75" thickBot="1">
      <c r="A490" s="1">
        <v>489</v>
      </c>
      <c r="B490" s="2">
        <v>40565</v>
      </c>
      <c r="C490" s="1">
        <v>1</v>
      </c>
      <c r="D490" s="1">
        <v>0</v>
      </c>
      <c r="E490" s="1">
        <v>1</v>
      </c>
      <c r="F490" s="1">
        <v>10</v>
      </c>
      <c r="G490" s="3" t="b">
        <v>0</v>
      </c>
      <c r="H490" s="1">
        <v>6</v>
      </c>
      <c r="I490" s="1">
        <v>2</v>
      </c>
      <c r="J490" s="1">
        <v>0.04</v>
      </c>
      <c r="K490">
        <f>VLOOKUP($A490,'Temprorary Data'!$A:$G,2,FALSE)</f>
        <v>6.0600000000000001E-2</v>
      </c>
      <c r="L490">
        <f>VLOOKUP($A490,'Temprorary Data'!$A:$G,3,FALSE)</f>
        <v>0.41</v>
      </c>
      <c r="M490">
        <f>VLOOKUP($A490,'Temprorary Data'!$A:$G,4,FALSE)</f>
        <v>0.16420000000000001</v>
      </c>
      <c r="N490">
        <f>VLOOKUP($A490,'Temprorary Data'!$A:$G,5,FALSE)</f>
        <v>3</v>
      </c>
      <c r="O490">
        <f>VLOOKUP($A490,'Temprorary Data'!$A:$G,6,FALSE)</f>
        <v>50</v>
      </c>
      <c r="P490">
        <f>VLOOKUP($A490,'Temprorary Data'!$A:$G,7,FALSE)</f>
        <v>53</v>
      </c>
    </row>
    <row r="491" spans="1:16" ht="15.75" thickBot="1">
      <c r="A491" s="1">
        <v>490</v>
      </c>
      <c r="B491" s="2">
        <v>40565</v>
      </c>
      <c r="C491" s="1">
        <v>1</v>
      </c>
      <c r="D491" s="1">
        <v>0</v>
      </c>
      <c r="E491" s="1">
        <v>1</v>
      </c>
      <c r="F491" s="1">
        <v>11</v>
      </c>
      <c r="G491" s="3" t="b">
        <v>0</v>
      </c>
      <c r="H491" s="1">
        <v>6</v>
      </c>
      <c r="I491" s="1">
        <v>2</v>
      </c>
      <c r="J491" s="1">
        <v>0.06</v>
      </c>
      <c r="K491">
        <f>VLOOKUP($A491,'Temprorary Data'!$A:$G,2,FALSE)</f>
        <v>7.5800000000000006E-2</v>
      </c>
      <c r="L491">
        <f>VLOOKUP($A491,'Temprorary Data'!$A:$G,3,FALSE)</f>
        <v>0.38</v>
      </c>
      <c r="M491">
        <f>VLOOKUP($A491,'Temprorary Data'!$A:$G,4,FALSE)</f>
        <v>0.1343</v>
      </c>
      <c r="N491">
        <f>VLOOKUP($A491,'Temprorary Data'!$A:$G,5,FALSE)</f>
        <v>4</v>
      </c>
      <c r="O491">
        <f>VLOOKUP($A491,'Temprorary Data'!$A:$G,6,FALSE)</f>
        <v>59</v>
      </c>
      <c r="P491">
        <f>VLOOKUP($A491,'Temprorary Data'!$A:$G,7,FALSE)</f>
        <v>63</v>
      </c>
    </row>
    <row r="492" spans="1:16" ht="15.75" thickBot="1">
      <c r="A492" s="1">
        <v>491</v>
      </c>
      <c r="B492" s="2">
        <v>40565</v>
      </c>
      <c r="C492" s="1">
        <v>1</v>
      </c>
      <c r="D492" s="1">
        <v>0</v>
      </c>
      <c r="E492" s="1">
        <v>1</v>
      </c>
      <c r="F492" s="1">
        <v>12</v>
      </c>
      <c r="G492" s="3" t="b">
        <v>0</v>
      </c>
      <c r="H492" s="1">
        <v>6</v>
      </c>
      <c r="I492" s="1">
        <v>2</v>
      </c>
      <c r="J492" s="1">
        <v>0.06</v>
      </c>
      <c r="K492">
        <f>VLOOKUP($A492,'Temprorary Data'!$A:$G,2,FALSE)</f>
        <v>0.1061</v>
      </c>
      <c r="L492">
        <f>VLOOKUP($A492,'Temprorary Data'!$A:$G,3,FALSE)</f>
        <v>0.38</v>
      </c>
      <c r="M492">
        <f>VLOOKUP($A492,'Temprorary Data'!$A:$G,4,FALSE)</f>
        <v>0.1045</v>
      </c>
      <c r="N492">
        <f>VLOOKUP($A492,'Temprorary Data'!$A:$G,5,FALSE)</f>
        <v>10</v>
      </c>
      <c r="O492">
        <f>VLOOKUP($A492,'Temprorary Data'!$A:$G,6,FALSE)</f>
        <v>60</v>
      </c>
      <c r="P492">
        <f>VLOOKUP($A492,'Temprorary Data'!$A:$G,7,FALSE)</f>
        <v>70</v>
      </c>
    </row>
    <row r="493" spans="1:16" ht="15.75" thickBot="1">
      <c r="A493" s="1">
        <v>492</v>
      </c>
      <c r="B493" s="2">
        <v>40565</v>
      </c>
      <c r="C493" s="1">
        <v>1</v>
      </c>
      <c r="D493" s="1">
        <v>0</v>
      </c>
      <c r="E493" s="1">
        <v>1</v>
      </c>
      <c r="F493" s="1">
        <v>13</v>
      </c>
      <c r="G493" s="3" t="b">
        <v>0</v>
      </c>
      <c r="H493" s="1">
        <v>6</v>
      </c>
      <c r="I493" s="1">
        <v>1</v>
      </c>
      <c r="J493" s="1">
        <v>0.08</v>
      </c>
      <c r="K493">
        <f>VLOOKUP($A493,'Temprorary Data'!$A:$G,2,FALSE)</f>
        <v>0.16669999999999999</v>
      </c>
      <c r="L493">
        <f>VLOOKUP($A493,'Temprorary Data'!$A:$G,3,FALSE)</f>
        <v>0.35</v>
      </c>
      <c r="M493">
        <f>VLOOKUP($A493,'Temprorary Data'!$A:$G,4,FALSE)</f>
        <v>0</v>
      </c>
      <c r="N493">
        <f>VLOOKUP($A493,'Temprorary Data'!$A:$G,5,FALSE)</f>
        <v>12</v>
      </c>
      <c r="O493">
        <f>VLOOKUP($A493,'Temprorary Data'!$A:$G,6,FALSE)</f>
        <v>72</v>
      </c>
      <c r="P493">
        <f>VLOOKUP($A493,'Temprorary Data'!$A:$G,7,FALSE)</f>
        <v>84</v>
      </c>
    </row>
    <row r="494" spans="1:16" ht="15.75" thickBot="1">
      <c r="A494" s="1">
        <v>493</v>
      </c>
      <c r="B494" s="2">
        <v>40565</v>
      </c>
      <c r="C494" s="1">
        <v>1</v>
      </c>
      <c r="D494" s="1">
        <v>0</v>
      </c>
      <c r="E494" s="1">
        <v>1</v>
      </c>
      <c r="F494" s="1">
        <v>14</v>
      </c>
      <c r="G494" s="3" t="b">
        <v>0</v>
      </c>
      <c r="H494" s="1">
        <v>6</v>
      </c>
      <c r="I494" s="1">
        <v>1</v>
      </c>
      <c r="J494" s="1">
        <v>0.1</v>
      </c>
      <c r="K494">
        <f>VLOOKUP($A494,'Temprorary Data'!$A:$G,2,FALSE)</f>
        <v>0.13639999999999999</v>
      </c>
      <c r="L494">
        <f>VLOOKUP($A494,'Temprorary Data'!$A:$G,3,FALSE)</f>
        <v>0.33</v>
      </c>
      <c r="M494">
        <f>VLOOKUP($A494,'Temprorary Data'!$A:$G,4,FALSE)</f>
        <v>0.1045</v>
      </c>
      <c r="N494">
        <f>VLOOKUP($A494,'Temprorary Data'!$A:$G,5,FALSE)</f>
        <v>11</v>
      </c>
      <c r="O494">
        <f>VLOOKUP($A494,'Temprorary Data'!$A:$G,6,FALSE)</f>
        <v>64</v>
      </c>
      <c r="P494">
        <f>VLOOKUP($A494,'Temprorary Data'!$A:$G,7,FALSE)</f>
        <v>75</v>
      </c>
    </row>
    <row r="495" spans="1:16" ht="15.75" thickBot="1">
      <c r="A495" s="1">
        <v>494</v>
      </c>
      <c r="B495" s="2">
        <v>40565</v>
      </c>
      <c r="C495" s="1">
        <v>1</v>
      </c>
      <c r="D495" s="1">
        <v>0</v>
      </c>
      <c r="E495" s="1">
        <v>1</v>
      </c>
      <c r="F495" s="1">
        <v>15</v>
      </c>
      <c r="G495" s="3" t="b">
        <v>0</v>
      </c>
      <c r="H495" s="1">
        <v>6</v>
      </c>
      <c r="I495" s="1">
        <v>1</v>
      </c>
      <c r="J495" s="1">
        <v>0.12</v>
      </c>
      <c r="K495">
        <f>VLOOKUP($A495,'Temprorary Data'!$A:$G,2,FALSE)</f>
        <v>0.1515</v>
      </c>
      <c r="L495">
        <f>VLOOKUP($A495,'Temprorary Data'!$A:$G,3,FALSE)</f>
        <v>0.28000000000000003</v>
      </c>
      <c r="M495">
        <f>VLOOKUP($A495,'Temprorary Data'!$A:$G,4,FALSE)</f>
        <v>0</v>
      </c>
      <c r="N495">
        <f>VLOOKUP($A495,'Temprorary Data'!$A:$G,5,FALSE)</f>
        <v>10</v>
      </c>
      <c r="O495">
        <f>VLOOKUP($A495,'Temprorary Data'!$A:$G,6,FALSE)</f>
        <v>93</v>
      </c>
      <c r="P495">
        <f>VLOOKUP($A495,'Temprorary Data'!$A:$G,7,FALSE)</f>
        <v>103</v>
      </c>
    </row>
    <row r="496" spans="1:16" ht="15.75" thickBot="1">
      <c r="A496" s="1">
        <v>495</v>
      </c>
      <c r="B496" s="2">
        <v>40565</v>
      </c>
      <c r="C496" s="1">
        <v>1</v>
      </c>
      <c r="D496" s="1">
        <v>0</v>
      </c>
      <c r="E496" s="1">
        <v>1</v>
      </c>
      <c r="F496" s="1">
        <v>16</v>
      </c>
      <c r="G496" s="3" t="b">
        <v>0</v>
      </c>
      <c r="H496" s="1">
        <v>6</v>
      </c>
      <c r="I496" s="1">
        <v>1</v>
      </c>
      <c r="J496" s="1">
        <v>0.12</v>
      </c>
      <c r="K496">
        <f>VLOOKUP($A496,'Temprorary Data'!$A:$G,2,FALSE)</f>
        <v>0.13639999999999999</v>
      </c>
      <c r="L496">
        <f>VLOOKUP($A496,'Temprorary Data'!$A:$G,3,FALSE)</f>
        <v>0.28000000000000003</v>
      </c>
      <c r="M496">
        <f>VLOOKUP($A496,'Temprorary Data'!$A:$G,4,FALSE)</f>
        <v>0.19400000000000001</v>
      </c>
      <c r="N496">
        <f>VLOOKUP($A496,'Temprorary Data'!$A:$G,5,FALSE)</f>
        <v>11</v>
      </c>
      <c r="O496">
        <f>VLOOKUP($A496,'Temprorary Data'!$A:$G,6,FALSE)</f>
        <v>72</v>
      </c>
      <c r="P496">
        <f>VLOOKUP($A496,'Temprorary Data'!$A:$G,7,FALSE)</f>
        <v>83</v>
      </c>
    </row>
    <row r="497" spans="1:16" ht="15.75" thickBot="1">
      <c r="A497" s="1">
        <v>496</v>
      </c>
      <c r="B497" s="2">
        <v>40565</v>
      </c>
      <c r="C497" s="1">
        <v>1</v>
      </c>
      <c r="D497" s="1">
        <v>0</v>
      </c>
      <c r="E497" s="1">
        <v>1</v>
      </c>
      <c r="F497" s="1">
        <v>17</v>
      </c>
      <c r="G497" s="3" t="b">
        <v>0</v>
      </c>
      <c r="H497" s="1">
        <v>6</v>
      </c>
      <c r="I497" s="1">
        <v>1</v>
      </c>
      <c r="J497" s="1">
        <v>0.12</v>
      </c>
      <c r="K497">
        <f>VLOOKUP($A497,'Temprorary Data'!$A:$G,2,FALSE)</f>
        <v>0.19700000000000001</v>
      </c>
      <c r="L497">
        <f>VLOOKUP($A497,'Temprorary Data'!$A:$G,3,FALSE)</f>
        <v>0.28000000000000003</v>
      </c>
      <c r="M497">
        <f>VLOOKUP($A497,'Temprorary Data'!$A:$G,4,FALSE)</f>
        <v>0</v>
      </c>
      <c r="N497">
        <f>VLOOKUP($A497,'Temprorary Data'!$A:$G,5,FALSE)</f>
        <v>8</v>
      </c>
      <c r="O497">
        <f>VLOOKUP($A497,'Temprorary Data'!$A:$G,6,FALSE)</f>
        <v>59</v>
      </c>
      <c r="P497">
        <f>VLOOKUP($A497,'Temprorary Data'!$A:$G,7,FALSE)</f>
        <v>67</v>
      </c>
    </row>
    <row r="498" spans="1:16" ht="15.75" thickBot="1">
      <c r="A498" s="1">
        <v>497</v>
      </c>
      <c r="B498" s="2">
        <v>40565</v>
      </c>
      <c r="C498" s="1">
        <v>1</v>
      </c>
      <c r="D498" s="1">
        <v>0</v>
      </c>
      <c r="E498" s="1">
        <v>1</v>
      </c>
      <c r="F498" s="1">
        <v>18</v>
      </c>
      <c r="G498" s="3" t="b">
        <v>0</v>
      </c>
      <c r="H498" s="1">
        <v>6</v>
      </c>
      <c r="I498" s="1">
        <v>1</v>
      </c>
      <c r="J498" s="1">
        <v>0.08</v>
      </c>
      <c r="K498">
        <f>VLOOKUP($A498,'Temprorary Data'!$A:$G,2,FALSE)</f>
        <v>9.0899999999999995E-2</v>
      </c>
      <c r="L498">
        <f>VLOOKUP($A498,'Temprorary Data'!$A:$G,3,FALSE)</f>
        <v>0.35</v>
      </c>
      <c r="M498">
        <f>VLOOKUP($A498,'Temprorary Data'!$A:$G,4,FALSE)</f>
        <v>0.19400000000000001</v>
      </c>
      <c r="N498">
        <f>VLOOKUP($A498,'Temprorary Data'!$A:$G,5,FALSE)</f>
        <v>0</v>
      </c>
      <c r="O498">
        <f>VLOOKUP($A498,'Temprorary Data'!$A:$G,6,FALSE)</f>
        <v>54</v>
      </c>
      <c r="P498">
        <f>VLOOKUP($A498,'Temprorary Data'!$A:$G,7,FALSE)</f>
        <v>54</v>
      </c>
    </row>
    <row r="499" spans="1:16" ht="15.75" thickBot="1">
      <c r="A499" s="1">
        <v>498</v>
      </c>
      <c r="B499" s="2">
        <v>40565</v>
      </c>
      <c r="C499" s="1">
        <v>1</v>
      </c>
      <c r="D499" s="1">
        <v>0</v>
      </c>
      <c r="E499" s="1">
        <v>1</v>
      </c>
      <c r="F499" s="1">
        <v>19</v>
      </c>
      <c r="G499" s="3" t="b">
        <v>0</v>
      </c>
      <c r="H499" s="1">
        <v>6</v>
      </c>
      <c r="I499" s="1">
        <v>1</v>
      </c>
      <c r="J499" s="1">
        <v>0.08</v>
      </c>
      <c r="K499">
        <f>VLOOKUP($A499,'Temprorary Data'!$A:$G,2,FALSE)</f>
        <v>0.1061</v>
      </c>
      <c r="L499">
        <f>VLOOKUP($A499,'Temprorary Data'!$A:$G,3,FALSE)</f>
        <v>0.35</v>
      </c>
      <c r="M499">
        <f>VLOOKUP($A499,'Temprorary Data'!$A:$G,4,FALSE)</f>
        <v>0.1343</v>
      </c>
      <c r="N499">
        <f>VLOOKUP($A499,'Temprorary Data'!$A:$G,5,FALSE)</f>
        <v>6</v>
      </c>
      <c r="O499">
        <f>VLOOKUP($A499,'Temprorary Data'!$A:$G,6,FALSE)</f>
        <v>53</v>
      </c>
      <c r="P499">
        <f>VLOOKUP($A499,'Temprorary Data'!$A:$G,7,FALSE)</f>
        <v>59</v>
      </c>
    </row>
    <row r="500" spans="1:16" ht="15.75" thickBot="1">
      <c r="A500" s="1">
        <v>499</v>
      </c>
      <c r="B500" s="2">
        <v>40565</v>
      </c>
      <c r="C500" s="1">
        <v>1</v>
      </c>
      <c r="D500" s="1">
        <v>0</v>
      </c>
      <c r="E500" s="1">
        <v>1</v>
      </c>
      <c r="F500" s="1">
        <v>20</v>
      </c>
      <c r="G500" s="3" t="b">
        <v>0</v>
      </c>
      <c r="H500" s="1">
        <v>6</v>
      </c>
      <c r="I500" s="1">
        <v>1</v>
      </c>
      <c r="J500" s="1">
        <v>0.06</v>
      </c>
      <c r="K500">
        <f>VLOOKUP($A500,'Temprorary Data'!$A:$G,2,FALSE)</f>
        <v>7.5800000000000006E-2</v>
      </c>
      <c r="L500">
        <f>VLOOKUP($A500,'Temprorary Data'!$A:$G,3,FALSE)</f>
        <v>0.45</v>
      </c>
      <c r="M500">
        <f>VLOOKUP($A500,'Temprorary Data'!$A:$G,4,FALSE)</f>
        <v>0.16420000000000001</v>
      </c>
      <c r="N500">
        <f>VLOOKUP($A500,'Temprorary Data'!$A:$G,5,FALSE)</f>
        <v>1</v>
      </c>
      <c r="O500">
        <f>VLOOKUP($A500,'Temprorary Data'!$A:$G,6,FALSE)</f>
        <v>44</v>
      </c>
      <c r="P500">
        <f>VLOOKUP($A500,'Temprorary Data'!$A:$G,7,FALSE)</f>
        <v>45</v>
      </c>
    </row>
    <row r="501" spans="1:16" ht="15.75" thickBot="1">
      <c r="A501" s="1">
        <v>500</v>
      </c>
      <c r="B501" s="2">
        <v>40565</v>
      </c>
      <c r="C501" s="1">
        <v>1</v>
      </c>
      <c r="D501" s="1">
        <v>0</v>
      </c>
      <c r="E501" s="1">
        <v>1</v>
      </c>
      <c r="F501" s="1">
        <v>21</v>
      </c>
      <c r="G501" s="3" t="b">
        <v>0</v>
      </c>
      <c r="H501" s="1">
        <v>6</v>
      </c>
      <c r="I501" s="1">
        <v>1</v>
      </c>
      <c r="J501" s="1">
        <v>0.06</v>
      </c>
      <c r="K501">
        <f>VLOOKUP($A501,'Temprorary Data'!$A:$G,2,FALSE)</f>
        <v>0.1061</v>
      </c>
      <c r="L501">
        <f>VLOOKUP($A501,'Temprorary Data'!$A:$G,3,FALSE)</f>
        <v>0.41</v>
      </c>
      <c r="M501">
        <f>VLOOKUP($A501,'Temprorary Data'!$A:$G,4,FALSE)</f>
        <v>8.9599999999999999E-2</v>
      </c>
      <c r="N501">
        <f>VLOOKUP($A501,'Temprorary Data'!$A:$G,5,FALSE)</f>
        <v>0</v>
      </c>
      <c r="O501">
        <f>VLOOKUP($A501,'Temprorary Data'!$A:$G,6,FALSE)</f>
        <v>39</v>
      </c>
      <c r="P501">
        <f>VLOOKUP($A501,'Temprorary Data'!$A:$G,7,FALSE)</f>
        <v>39</v>
      </c>
    </row>
    <row r="502" spans="1:16" ht="15.75" thickBot="1">
      <c r="A502" s="1">
        <v>501</v>
      </c>
      <c r="B502" s="2">
        <v>40565</v>
      </c>
      <c r="C502" s="1">
        <v>1</v>
      </c>
      <c r="D502" s="1">
        <v>0</v>
      </c>
      <c r="E502" s="1">
        <v>1</v>
      </c>
      <c r="F502" s="1">
        <v>22</v>
      </c>
      <c r="G502" s="3" t="b">
        <v>0</v>
      </c>
      <c r="H502" s="1">
        <v>6</v>
      </c>
      <c r="I502" s="1">
        <v>1</v>
      </c>
      <c r="J502" s="1">
        <v>0.06</v>
      </c>
      <c r="K502">
        <f>VLOOKUP($A502,'Temprorary Data'!$A:$G,2,FALSE)</f>
        <v>0.1515</v>
      </c>
      <c r="L502">
        <f>VLOOKUP($A502,'Temprorary Data'!$A:$G,3,FALSE)</f>
        <v>0.49</v>
      </c>
      <c r="M502">
        <f>VLOOKUP($A502,'Temprorary Data'!$A:$G,4,FALSE)</f>
        <v>0</v>
      </c>
      <c r="N502">
        <f>VLOOKUP($A502,'Temprorary Data'!$A:$G,5,FALSE)</f>
        <v>7</v>
      </c>
      <c r="O502">
        <f>VLOOKUP($A502,'Temprorary Data'!$A:$G,6,FALSE)</f>
        <v>23</v>
      </c>
      <c r="P502">
        <f>VLOOKUP($A502,'Temprorary Data'!$A:$G,7,FALSE)</f>
        <v>30</v>
      </c>
    </row>
    <row r="503" spans="1:16" ht="15.75" thickBot="1">
      <c r="A503" s="1">
        <v>502</v>
      </c>
      <c r="B503" s="2">
        <v>40565</v>
      </c>
      <c r="C503" s="1">
        <v>1</v>
      </c>
      <c r="D503" s="1">
        <v>0</v>
      </c>
      <c r="E503" s="1">
        <v>1</v>
      </c>
      <c r="F503" s="1">
        <v>23</v>
      </c>
      <c r="G503" s="3" t="b">
        <v>0</v>
      </c>
      <c r="H503" s="1">
        <v>6</v>
      </c>
      <c r="I503" s="1">
        <v>1</v>
      </c>
      <c r="J503" s="1">
        <v>0.04</v>
      </c>
      <c r="K503">
        <f>VLOOKUP($A503,'Temprorary Data'!$A:$G,2,FALSE)</f>
        <v>7.5800000000000006E-2</v>
      </c>
      <c r="L503">
        <f>VLOOKUP($A503,'Temprorary Data'!$A:$G,3,FALSE)</f>
        <v>0.56999999999999995</v>
      </c>
      <c r="M503">
        <f>VLOOKUP($A503,'Temprorary Data'!$A:$G,4,FALSE)</f>
        <v>0.1045</v>
      </c>
      <c r="N503">
        <f>VLOOKUP($A503,'Temprorary Data'!$A:$G,5,FALSE)</f>
        <v>2</v>
      </c>
      <c r="O503">
        <f>VLOOKUP($A503,'Temprorary Data'!$A:$G,6,FALSE)</f>
        <v>31</v>
      </c>
      <c r="P503">
        <f>VLOOKUP($A503,'Temprorary Data'!$A:$G,7,FALSE)</f>
        <v>33</v>
      </c>
    </row>
    <row r="504" spans="1:16" ht="15.75" thickBot="1">
      <c r="A504" s="1">
        <v>503</v>
      </c>
      <c r="B504" s="2">
        <v>40566</v>
      </c>
      <c r="C504" s="1">
        <v>1</v>
      </c>
      <c r="D504" s="1">
        <v>0</v>
      </c>
      <c r="E504" s="1">
        <v>1</v>
      </c>
      <c r="F504" s="1">
        <v>0</v>
      </c>
      <c r="G504" s="3" t="b">
        <v>0</v>
      </c>
      <c r="H504" s="1">
        <v>0</v>
      </c>
      <c r="I504" s="1">
        <v>1</v>
      </c>
      <c r="J504" s="1">
        <v>0.04</v>
      </c>
      <c r="K504">
        <f>VLOOKUP($A504,'Temprorary Data'!$A:$G,2,FALSE)</f>
        <v>7.5800000000000006E-2</v>
      </c>
      <c r="L504">
        <f>VLOOKUP($A504,'Temprorary Data'!$A:$G,3,FALSE)</f>
        <v>0.56999999999999995</v>
      </c>
      <c r="M504">
        <f>VLOOKUP($A504,'Temprorary Data'!$A:$G,4,FALSE)</f>
        <v>0.1045</v>
      </c>
      <c r="N504">
        <f>VLOOKUP($A504,'Temprorary Data'!$A:$G,5,FALSE)</f>
        <v>2</v>
      </c>
      <c r="O504">
        <f>VLOOKUP($A504,'Temprorary Data'!$A:$G,6,FALSE)</f>
        <v>20</v>
      </c>
      <c r="P504">
        <f>VLOOKUP($A504,'Temprorary Data'!$A:$G,7,FALSE)</f>
        <v>22</v>
      </c>
    </row>
    <row r="505" spans="1:16" ht="15.75" thickBot="1">
      <c r="A505" s="1">
        <v>504</v>
      </c>
      <c r="B505" s="2">
        <v>40566</v>
      </c>
      <c r="C505" s="1">
        <v>1</v>
      </c>
      <c r="D505" s="1">
        <v>0</v>
      </c>
      <c r="E505" s="1">
        <v>1</v>
      </c>
      <c r="F505" s="1">
        <v>1</v>
      </c>
      <c r="G505" s="3" t="b">
        <v>0</v>
      </c>
      <c r="H505" s="1">
        <v>0</v>
      </c>
      <c r="I505" s="1">
        <v>1</v>
      </c>
      <c r="J505" s="1">
        <v>0.04</v>
      </c>
      <c r="K505">
        <f>VLOOKUP($A505,'Temprorary Data'!$A:$G,2,FALSE)</f>
        <v>7.5800000000000006E-2</v>
      </c>
      <c r="L505">
        <f>VLOOKUP($A505,'Temprorary Data'!$A:$G,3,FALSE)</f>
        <v>0.56999999999999995</v>
      </c>
      <c r="M505">
        <f>VLOOKUP($A505,'Temprorary Data'!$A:$G,4,FALSE)</f>
        <v>0.1045</v>
      </c>
      <c r="N505">
        <f>VLOOKUP($A505,'Temprorary Data'!$A:$G,5,FALSE)</f>
        <v>1</v>
      </c>
      <c r="O505">
        <f>VLOOKUP($A505,'Temprorary Data'!$A:$G,6,FALSE)</f>
        <v>12</v>
      </c>
      <c r="P505">
        <f>VLOOKUP($A505,'Temprorary Data'!$A:$G,7,FALSE)</f>
        <v>13</v>
      </c>
    </row>
    <row r="506" spans="1:16" ht="15.75" thickBot="1">
      <c r="A506" s="1">
        <v>505</v>
      </c>
      <c r="B506" s="2">
        <v>40566</v>
      </c>
      <c r="C506" s="1">
        <v>1</v>
      </c>
      <c r="D506" s="1">
        <v>0</v>
      </c>
      <c r="E506" s="1">
        <v>1</v>
      </c>
      <c r="F506" s="1">
        <v>2</v>
      </c>
      <c r="G506" s="3" t="b">
        <v>0</v>
      </c>
      <c r="H506" s="1">
        <v>0</v>
      </c>
      <c r="I506" s="1">
        <v>1</v>
      </c>
      <c r="J506" s="1">
        <v>0.02</v>
      </c>
      <c r="K506">
        <f>VLOOKUP($A506,'Temprorary Data'!$A:$G,2,FALSE)</f>
        <v>6.0600000000000001E-2</v>
      </c>
      <c r="L506">
        <f>VLOOKUP($A506,'Temprorary Data'!$A:$G,3,FALSE)</f>
        <v>0.62</v>
      </c>
      <c r="M506">
        <f>VLOOKUP($A506,'Temprorary Data'!$A:$G,4,FALSE)</f>
        <v>0.1343</v>
      </c>
      <c r="N506">
        <f>VLOOKUP($A506,'Temprorary Data'!$A:$G,5,FALSE)</f>
        <v>3</v>
      </c>
      <c r="O506">
        <f>VLOOKUP($A506,'Temprorary Data'!$A:$G,6,FALSE)</f>
        <v>15</v>
      </c>
      <c r="P506">
        <f>VLOOKUP($A506,'Temprorary Data'!$A:$G,7,FALSE)</f>
        <v>18</v>
      </c>
    </row>
    <row r="507" spans="1:16" ht="15.75" thickBot="1">
      <c r="A507" s="1">
        <v>506</v>
      </c>
      <c r="B507" s="2">
        <v>40566</v>
      </c>
      <c r="C507" s="1">
        <v>1</v>
      </c>
      <c r="D507" s="1">
        <v>0</v>
      </c>
      <c r="E507" s="1">
        <v>1</v>
      </c>
      <c r="F507" s="1">
        <v>3</v>
      </c>
      <c r="G507" s="3" t="b">
        <v>0</v>
      </c>
      <c r="H507" s="1">
        <v>0</v>
      </c>
      <c r="I507" s="1">
        <v>1</v>
      </c>
      <c r="J507" s="1">
        <v>0.02</v>
      </c>
      <c r="K507">
        <f>VLOOKUP($A507,'Temprorary Data'!$A:$G,2,FALSE)</f>
        <v>6.0600000000000001E-2</v>
      </c>
      <c r="L507">
        <f>VLOOKUP($A507,'Temprorary Data'!$A:$G,3,FALSE)</f>
        <v>0.62</v>
      </c>
      <c r="M507">
        <f>VLOOKUP($A507,'Temprorary Data'!$A:$G,4,FALSE)</f>
        <v>0.1343</v>
      </c>
      <c r="N507">
        <f>VLOOKUP($A507,'Temprorary Data'!$A:$G,5,FALSE)</f>
        <v>1</v>
      </c>
      <c r="O507">
        <f>VLOOKUP($A507,'Temprorary Data'!$A:$G,6,FALSE)</f>
        <v>4</v>
      </c>
      <c r="P507">
        <f>VLOOKUP($A507,'Temprorary Data'!$A:$G,7,FALSE)</f>
        <v>5</v>
      </c>
    </row>
    <row r="508" spans="1:16" ht="15.75" thickBot="1">
      <c r="A508" s="1">
        <v>507</v>
      </c>
      <c r="B508" s="2">
        <v>40566</v>
      </c>
      <c r="C508" s="1">
        <v>1</v>
      </c>
      <c r="D508" s="1">
        <v>0</v>
      </c>
      <c r="E508" s="1">
        <v>1</v>
      </c>
      <c r="F508" s="1">
        <v>5</v>
      </c>
      <c r="G508" s="3" t="b">
        <v>0</v>
      </c>
      <c r="H508" s="1">
        <v>0</v>
      </c>
      <c r="I508" s="1">
        <v>2</v>
      </c>
      <c r="J508" s="1">
        <v>0.04</v>
      </c>
      <c r="K508">
        <f>VLOOKUP($A508,'Temprorary Data'!$A:$G,2,FALSE)</f>
        <v>7.5800000000000006E-2</v>
      </c>
      <c r="L508">
        <f>VLOOKUP($A508,'Temprorary Data'!$A:$G,3,FALSE)</f>
        <v>0.56999999999999995</v>
      </c>
      <c r="M508">
        <f>VLOOKUP($A508,'Temprorary Data'!$A:$G,4,FALSE)</f>
        <v>0.1045</v>
      </c>
      <c r="N508">
        <f>VLOOKUP($A508,'Temprorary Data'!$A:$G,5,FALSE)</f>
        <v>0</v>
      </c>
      <c r="O508">
        <f>VLOOKUP($A508,'Temprorary Data'!$A:$G,6,FALSE)</f>
        <v>3</v>
      </c>
      <c r="P508">
        <f>VLOOKUP($A508,'Temprorary Data'!$A:$G,7,FALSE)</f>
        <v>3</v>
      </c>
    </row>
    <row r="509" spans="1:16" ht="15.75" thickBot="1">
      <c r="A509" s="1">
        <v>508</v>
      </c>
      <c r="B509" s="2">
        <v>40566</v>
      </c>
      <c r="C509" s="1">
        <v>1</v>
      </c>
      <c r="D509" s="1">
        <v>0</v>
      </c>
      <c r="E509" s="1">
        <v>1</v>
      </c>
      <c r="F509" s="1">
        <v>6</v>
      </c>
      <c r="G509" s="3" t="b">
        <v>0</v>
      </c>
      <c r="H509" s="1">
        <v>0</v>
      </c>
      <c r="I509" s="1">
        <v>2</v>
      </c>
      <c r="J509" s="1">
        <v>0.04</v>
      </c>
      <c r="K509">
        <f>VLOOKUP($A509,'Temprorary Data'!$A:$G,2,FALSE)</f>
        <v>7.5800000000000006E-2</v>
      </c>
      <c r="L509">
        <f>VLOOKUP($A509,'Temprorary Data'!$A:$G,3,FALSE)</f>
        <v>0.56999999999999995</v>
      </c>
      <c r="M509">
        <f>VLOOKUP($A509,'Temprorary Data'!$A:$G,4,FALSE)</f>
        <v>0.1045</v>
      </c>
      <c r="N509">
        <f>VLOOKUP($A509,'Temprorary Data'!$A:$G,5,FALSE)</f>
        <v>0</v>
      </c>
      <c r="O509">
        <f>VLOOKUP($A509,'Temprorary Data'!$A:$G,6,FALSE)</f>
        <v>1</v>
      </c>
      <c r="P509">
        <f>VLOOKUP($A509,'Temprorary Data'!$A:$G,7,FALSE)</f>
        <v>1</v>
      </c>
    </row>
    <row r="510" spans="1:16" ht="15.75" thickBot="1">
      <c r="A510" s="1">
        <v>509</v>
      </c>
      <c r="B510" s="2">
        <v>40566</v>
      </c>
      <c r="C510" s="1">
        <v>1</v>
      </c>
      <c r="D510" s="1">
        <v>0</v>
      </c>
      <c r="E510" s="1">
        <v>1</v>
      </c>
      <c r="F510" s="1">
        <v>7</v>
      </c>
      <c r="G510" s="3" t="b">
        <v>0</v>
      </c>
      <c r="H510" s="1">
        <v>0</v>
      </c>
      <c r="I510" s="1">
        <v>1</v>
      </c>
      <c r="J510" s="1">
        <v>0.08</v>
      </c>
      <c r="K510">
        <f>VLOOKUP($A510,'Temprorary Data'!$A:$G,2,FALSE)</f>
        <v>0.1061</v>
      </c>
      <c r="L510">
        <f>VLOOKUP($A510,'Temprorary Data'!$A:$G,3,FALSE)</f>
        <v>0.57999999999999996</v>
      </c>
      <c r="M510">
        <f>VLOOKUP($A510,'Temprorary Data'!$A:$G,4,FALSE)</f>
        <v>0.16420000000000001</v>
      </c>
      <c r="N510">
        <f>VLOOKUP($A510,'Temprorary Data'!$A:$G,5,FALSE)</f>
        <v>1</v>
      </c>
      <c r="O510">
        <f>VLOOKUP($A510,'Temprorary Data'!$A:$G,6,FALSE)</f>
        <v>1</v>
      </c>
      <c r="P510">
        <f>VLOOKUP($A510,'Temprorary Data'!$A:$G,7,FALSE)</f>
        <v>2</v>
      </c>
    </row>
    <row r="511" spans="1:16" ht="15.75" thickBot="1">
      <c r="A511" s="1">
        <v>510</v>
      </c>
      <c r="B511" s="2">
        <v>40566</v>
      </c>
      <c r="C511" s="1">
        <v>1</v>
      </c>
      <c r="D511" s="1">
        <v>0</v>
      </c>
      <c r="E511" s="1">
        <v>1</v>
      </c>
      <c r="F511" s="1">
        <v>8</v>
      </c>
      <c r="G511" s="3" t="b">
        <v>0</v>
      </c>
      <c r="H511" s="1">
        <v>0</v>
      </c>
      <c r="I511" s="1">
        <v>1</v>
      </c>
      <c r="J511" s="1">
        <v>0.06</v>
      </c>
      <c r="K511">
        <f>VLOOKUP($A511,'Temprorary Data'!$A:$G,2,FALSE)</f>
        <v>7.5800000000000006E-2</v>
      </c>
      <c r="L511">
        <f>VLOOKUP($A511,'Temprorary Data'!$A:$G,3,FALSE)</f>
        <v>0.62</v>
      </c>
      <c r="M511">
        <f>VLOOKUP($A511,'Temprorary Data'!$A:$G,4,FALSE)</f>
        <v>0.16420000000000001</v>
      </c>
      <c r="N511">
        <f>VLOOKUP($A511,'Temprorary Data'!$A:$G,5,FALSE)</f>
        <v>2</v>
      </c>
      <c r="O511">
        <f>VLOOKUP($A511,'Temprorary Data'!$A:$G,6,FALSE)</f>
        <v>17</v>
      </c>
      <c r="P511">
        <f>VLOOKUP($A511,'Temprorary Data'!$A:$G,7,FALSE)</f>
        <v>19</v>
      </c>
    </row>
    <row r="512" spans="1:16" ht="15.75" thickBot="1">
      <c r="A512" s="1">
        <v>511</v>
      </c>
      <c r="B512" s="2">
        <v>40566</v>
      </c>
      <c r="C512" s="1">
        <v>1</v>
      </c>
      <c r="D512" s="1">
        <v>0</v>
      </c>
      <c r="E512" s="1">
        <v>1</v>
      </c>
      <c r="F512" s="1">
        <v>9</v>
      </c>
      <c r="G512" s="3" t="b">
        <v>0</v>
      </c>
      <c r="H512" s="1">
        <v>0</v>
      </c>
      <c r="I512" s="1">
        <v>1</v>
      </c>
      <c r="J512" s="1">
        <v>0.1</v>
      </c>
      <c r="K512">
        <f>VLOOKUP($A512,'Temprorary Data'!$A:$G,2,FALSE)</f>
        <v>7.5800000000000006E-2</v>
      </c>
      <c r="L512">
        <f>VLOOKUP($A512,'Temprorary Data'!$A:$G,3,FALSE)</f>
        <v>0.54</v>
      </c>
      <c r="M512">
        <f>VLOOKUP($A512,'Temprorary Data'!$A:$G,4,FALSE)</f>
        <v>0.35820000000000002</v>
      </c>
      <c r="N512">
        <f>VLOOKUP($A512,'Temprorary Data'!$A:$G,5,FALSE)</f>
        <v>3</v>
      </c>
      <c r="O512">
        <f>VLOOKUP($A512,'Temprorary Data'!$A:$G,6,FALSE)</f>
        <v>25</v>
      </c>
      <c r="P512">
        <f>VLOOKUP($A512,'Temprorary Data'!$A:$G,7,FALSE)</f>
        <v>28</v>
      </c>
    </row>
    <row r="513" spans="1:16" ht="15.75" thickBot="1">
      <c r="A513" s="1">
        <v>512</v>
      </c>
      <c r="B513" s="2">
        <v>40566</v>
      </c>
      <c r="C513" s="1">
        <v>1</v>
      </c>
      <c r="D513" s="1">
        <v>0</v>
      </c>
      <c r="E513" s="1">
        <v>1</v>
      </c>
      <c r="F513" s="1">
        <v>10</v>
      </c>
      <c r="G513" s="3" t="b">
        <v>0</v>
      </c>
      <c r="H513" s="1">
        <v>0</v>
      </c>
      <c r="I513" s="1">
        <v>1</v>
      </c>
      <c r="J513" s="1">
        <v>0.14000000000000001</v>
      </c>
      <c r="K513">
        <f>VLOOKUP($A513,'Temprorary Data'!$A:$G,2,FALSE)</f>
        <v>0.1061</v>
      </c>
      <c r="L513">
        <f>VLOOKUP($A513,'Temprorary Data'!$A:$G,3,FALSE)</f>
        <v>0.46</v>
      </c>
      <c r="M513">
        <f>VLOOKUP($A513,'Temprorary Data'!$A:$G,4,FALSE)</f>
        <v>0.3881</v>
      </c>
      <c r="N513">
        <f>VLOOKUP($A513,'Temprorary Data'!$A:$G,5,FALSE)</f>
        <v>7</v>
      </c>
      <c r="O513">
        <f>VLOOKUP($A513,'Temprorary Data'!$A:$G,6,FALSE)</f>
        <v>51</v>
      </c>
      <c r="P513">
        <f>VLOOKUP($A513,'Temprorary Data'!$A:$G,7,FALSE)</f>
        <v>58</v>
      </c>
    </row>
    <row r="514" spans="1:16" ht="15.75" thickBot="1">
      <c r="A514" s="1">
        <v>513</v>
      </c>
      <c r="B514" s="2">
        <v>40566</v>
      </c>
      <c r="C514" s="1">
        <v>1</v>
      </c>
      <c r="D514" s="1">
        <v>0</v>
      </c>
      <c r="E514" s="1">
        <v>1</v>
      </c>
      <c r="F514" s="1">
        <v>11</v>
      </c>
      <c r="G514" s="3" t="b">
        <v>0</v>
      </c>
      <c r="H514" s="1">
        <v>0</v>
      </c>
      <c r="I514" s="1">
        <v>1</v>
      </c>
      <c r="J514" s="1">
        <v>0.14000000000000001</v>
      </c>
      <c r="K514">
        <f>VLOOKUP($A514,'Temprorary Data'!$A:$G,2,FALSE)</f>
        <v>0.13639999999999999</v>
      </c>
      <c r="L514">
        <f>VLOOKUP($A514,'Temprorary Data'!$A:$G,3,FALSE)</f>
        <v>0.43</v>
      </c>
      <c r="M514">
        <f>VLOOKUP($A514,'Temprorary Data'!$A:$G,4,FALSE)</f>
        <v>0.22389999999999999</v>
      </c>
      <c r="N514">
        <f>VLOOKUP($A514,'Temprorary Data'!$A:$G,5,FALSE)</f>
        <v>22</v>
      </c>
      <c r="O514">
        <f>VLOOKUP($A514,'Temprorary Data'!$A:$G,6,FALSE)</f>
        <v>77</v>
      </c>
      <c r="P514">
        <f>VLOOKUP($A514,'Temprorary Data'!$A:$G,7,FALSE)</f>
        <v>99</v>
      </c>
    </row>
    <row r="515" spans="1:16" ht="15.75" thickBot="1">
      <c r="A515" s="1">
        <v>514</v>
      </c>
      <c r="B515" s="2">
        <v>40566</v>
      </c>
      <c r="C515" s="1">
        <v>1</v>
      </c>
      <c r="D515" s="1">
        <v>0</v>
      </c>
      <c r="E515" s="1">
        <v>1</v>
      </c>
      <c r="F515" s="1">
        <v>12</v>
      </c>
      <c r="G515" s="3" t="b">
        <v>0</v>
      </c>
      <c r="H515" s="1">
        <v>0</v>
      </c>
      <c r="I515" s="1">
        <v>1</v>
      </c>
      <c r="J515" s="1">
        <v>0.16</v>
      </c>
      <c r="K515">
        <f>VLOOKUP($A515,'Temprorary Data'!$A:$G,2,FALSE)</f>
        <v>0.1212</v>
      </c>
      <c r="L515">
        <f>VLOOKUP($A515,'Temprorary Data'!$A:$G,3,FALSE)</f>
        <v>0.37</v>
      </c>
      <c r="M515">
        <f>VLOOKUP($A515,'Temprorary Data'!$A:$G,4,FALSE)</f>
        <v>0.4627</v>
      </c>
      <c r="N515">
        <f>VLOOKUP($A515,'Temprorary Data'!$A:$G,5,FALSE)</f>
        <v>24</v>
      </c>
      <c r="O515">
        <f>VLOOKUP($A515,'Temprorary Data'!$A:$G,6,FALSE)</f>
        <v>92</v>
      </c>
      <c r="P515">
        <f>VLOOKUP($A515,'Temprorary Data'!$A:$G,7,FALSE)</f>
        <v>116</v>
      </c>
    </row>
    <row r="516" spans="1:16" ht="15.75" thickBot="1">
      <c r="A516" s="1">
        <v>515</v>
      </c>
      <c r="B516" s="2">
        <v>40566</v>
      </c>
      <c r="C516" s="1">
        <v>1</v>
      </c>
      <c r="D516" s="1">
        <v>0</v>
      </c>
      <c r="E516" s="1">
        <v>1</v>
      </c>
      <c r="F516" s="1">
        <v>13</v>
      </c>
      <c r="G516" s="3" t="b">
        <v>0</v>
      </c>
      <c r="H516" s="1">
        <v>0</v>
      </c>
      <c r="I516" s="1">
        <v>1</v>
      </c>
      <c r="J516" s="1">
        <v>0.14000000000000001</v>
      </c>
      <c r="K516">
        <f>VLOOKUP($A516,'Temprorary Data'!$A:$G,2,FALSE)</f>
        <v>0.1061</v>
      </c>
      <c r="L516">
        <f>VLOOKUP($A516,'Temprorary Data'!$A:$G,3,FALSE)</f>
        <v>0.33</v>
      </c>
      <c r="M516">
        <f>VLOOKUP($A516,'Temprorary Data'!$A:$G,4,FALSE)</f>
        <v>0.3881</v>
      </c>
      <c r="N516">
        <f>VLOOKUP($A516,'Temprorary Data'!$A:$G,5,FALSE)</f>
        <v>12</v>
      </c>
      <c r="O516">
        <f>VLOOKUP($A516,'Temprorary Data'!$A:$G,6,FALSE)</f>
        <v>75</v>
      </c>
      <c r="P516">
        <f>VLOOKUP($A516,'Temprorary Data'!$A:$G,7,FALSE)</f>
        <v>87</v>
      </c>
    </row>
    <row r="517" spans="1:16" ht="15.75" thickBot="1">
      <c r="A517" s="1">
        <v>516</v>
      </c>
      <c r="B517" s="2">
        <v>40566</v>
      </c>
      <c r="C517" s="1">
        <v>1</v>
      </c>
      <c r="D517" s="1">
        <v>0</v>
      </c>
      <c r="E517" s="1">
        <v>1</v>
      </c>
      <c r="F517" s="1">
        <v>14</v>
      </c>
      <c r="G517" s="3" t="b">
        <v>0</v>
      </c>
      <c r="H517" s="1">
        <v>0</v>
      </c>
      <c r="I517" s="1">
        <v>1</v>
      </c>
      <c r="J517" s="1">
        <v>0.16</v>
      </c>
      <c r="K517">
        <f>VLOOKUP($A517,'Temprorary Data'!$A:$G,2,FALSE)</f>
        <v>0.13639999999999999</v>
      </c>
      <c r="L517">
        <f>VLOOKUP($A517,'Temprorary Data'!$A:$G,3,FALSE)</f>
        <v>0.28000000000000003</v>
      </c>
      <c r="M517">
        <f>VLOOKUP($A517,'Temprorary Data'!$A:$G,4,FALSE)</f>
        <v>0.35820000000000002</v>
      </c>
      <c r="N517">
        <f>VLOOKUP($A517,'Temprorary Data'!$A:$G,5,FALSE)</f>
        <v>17</v>
      </c>
      <c r="O517">
        <f>VLOOKUP($A517,'Temprorary Data'!$A:$G,6,FALSE)</f>
        <v>93</v>
      </c>
      <c r="P517">
        <f>VLOOKUP($A517,'Temprorary Data'!$A:$G,7,FALSE)</f>
        <v>110</v>
      </c>
    </row>
    <row r="518" spans="1:16" ht="15.75" thickBot="1">
      <c r="A518" s="1">
        <v>517</v>
      </c>
      <c r="B518" s="2">
        <v>40566</v>
      </c>
      <c r="C518" s="1">
        <v>1</v>
      </c>
      <c r="D518" s="1">
        <v>0</v>
      </c>
      <c r="E518" s="1">
        <v>1</v>
      </c>
      <c r="F518" s="1">
        <v>15</v>
      </c>
      <c r="G518" s="3" t="b">
        <v>0</v>
      </c>
      <c r="H518" s="1">
        <v>0</v>
      </c>
      <c r="I518" s="1">
        <v>1</v>
      </c>
      <c r="J518" s="1">
        <v>0.16</v>
      </c>
      <c r="K518">
        <f>VLOOKUP($A518,'Temprorary Data'!$A:$G,2,FALSE)</f>
        <v>0.13639999999999999</v>
      </c>
      <c r="L518">
        <f>VLOOKUP($A518,'Temprorary Data'!$A:$G,3,FALSE)</f>
        <v>0.28000000000000003</v>
      </c>
      <c r="M518">
        <f>VLOOKUP($A518,'Temprorary Data'!$A:$G,4,FALSE)</f>
        <v>0.35820000000000002</v>
      </c>
      <c r="N518">
        <f>VLOOKUP($A518,'Temprorary Data'!$A:$G,5,FALSE)</f>
        <v>13</v>
      </c>
      <c r="O518">
        <f>VLOOKUP($A518,'Temprorary Data'!$A:$G,6,FALSE)</f>
        <v>64</v>
      </c>
      <c r="P518">
        <f>VLOOKUP($A518,'Temprorary Data'!$A:$G,7,FALSE)</f>
        <v>77</v>
      </c>
    </row>
    <row r="519" spans="1:16" ht="15.75" thickBot="1">
      <c r="A519" s="1">
        <v>518</v>
      </c>
      <c r="B519" s="2">
        <v>40566</v>
      </c>
      <c r="C519" s="1">
        <v>1</v>
      </c>
      <c r="D519" s="1">
        <v>0</v>
      </c>
      <c r="E519" s="1">
        <v>1</v>
      </c>
      <c r="F519" s="1">
        <v>16</v>
      </c>
      <c r="G519" s="3" t="b">
        <v>0</v>
      </c>
      <c r="H519" s="1">
        <v>0</v>
      </c>
      <c r="I519" s="1">
        <v>1</v>
      </c>
      <c r="J519" s="1">
        <v>0.16</v>
      </c>
      <c r="K519">
        <f>VLOOKUP($A519,'Temprorary Data'!$A:$G,2,FALSE)</f>
        <v>0.13639999999999999</v>
      </c>
      <c r="L519">
        <f>VLOOKUP($A519,'Temprorary Data'!$A:$G,3,FALSE)</f>
        <v>0.26</v>
      </c>
      <c r="M519">
        <f>VLOOKUP($A519,'Temprorary Data'!$A:$G,4,FALSE)</f>
        <v>0.32840000000000003</v>
      </c>
      <c r="N519">
        <f>VLOOKUP($A519,'Temprorary Data'!$A:$G,5,FALSE)</f>
        <v>9</v>
      </c>
      <c r="O519">
        <f>VLOOKUP($A519,'Temprorary Data'!$A:$G,6,FALSE)</f>
        <v>56</v>
      </c>
      <c r="P519">
        <f>VLOOKUP($A519,'Temprorary Data'!$A:$G,7,FALSE)</f>
        <v>65</v>
      </c>
    </row>
    <row r="520" spans="1:16" ht="15.75" thickBot="1">
      <c r="A520" s="1">
        <v>519</v>
      </c>
      <c r="B520" s="2">
        <v>40566</v>
      </c>
      <c r="C520" s="1">
        <v>1</v>
      </c>
      <c r="D520" s="1">
        <v>0</v>
      </c>
      <c r="E520" s="1">
        <v>1</v>
      </c>
      <c r="F520" s="1">
        <v>17</v>
      </c>
      <c r="G520" s="3" t="b">
        <v>0</v>
      </c>
      <c r="H520" s="1">
        <v>0</v>
      </c>
      <c r="I520" s="1">
        <v>1</v>
      </c>
      <c r="J520" s="1">
        <v>0.14000000000000001</v>
      </c>
      <c r="K520">
        <f>VLOOKUP($A520,'Temprorary Data'!$A:$G,2,FALSE)</f>
        <v>0.1061</v>
      </c>
      <c r="L520">
        <f>VLOOKUP($A520,'Temprorary Data'!$A:$G,3,FALSE)</f>
        <v>0.26</v>
      </c>
      <c r="M520">
        <f>VLOOKUP($A520,'Temprorary Data'!$A:$G,4,FALSE)</f>
        <v>0.3881</v>
      </c>
      <c r="N520">
        <f>VLOOKUP($A520,'Temprorary Data'!$A:$G,5,FALSE)</f>
        <v>5</v>
      </c>
      <c r="O520">
        <f>VLOOKUP($A520,'Temprorary Data'!$A:$G,6,FALSE)</f>
        <v>50</v>
      </c>
      <c r="P520">
        <f>VLOOKUP($A520,'Temprorary Data'!$A:$G,7,FALSE)</f>
        <v>55</v>
      </c>
    </row>
    <row r="521" spans="1:16" ht="15.75" thickBot="1">
      <c r="A521" s="1">
        <v>520</v>
      </c>
      <c r="B521" s="2">
        <v>40566</v>
      </c>
      <c r="C521" s="1">
        <v>1</v>
      </c>
      <c r="D521" s="1">
        <v>0</v>
      </c>
      <c r="E521" s="1">
        <v>1</v>
      </c>
      <c r="F521" s="1">
        <v>18</v>
      </c>
      <c r="G521" s="3" t="b">
        <v>0</v>
      </c>
      <c r="H521" s="1">
        <v>0</v>
      </c>
      <c r="I521" s="1">
        <v>1</v>
      </c>
      <c r="J521" s="1">
        <v>0.12</v>
      </c>
      <c r="K521">
        <f>VLOOKUP($A521,'Temprorary Data'!$A:$G,2,FALSE)</f>
        <v>0.1212</v>
      </c>
      <c r="L521">
        <f>VLOOKUP($A521,'Temprorary Data'!$A:$G,3,FALSE)</f>
        <v>0.3</v>
      </c>
      <c r="M521">
        <f>VLOOKUP($A521,'Temprorary Data'!$A:$G,4,FALSE)</f>
        <v>0.25369999999999998</v>
      </c>
      <c r="N521">
        <f>VLOOKUP($A521,'Temprorary Data'!$A:$G,5,FALSE)</f>
        <v>5</v>
      </c>
      <c r="O521">
        <f>VLOOKUP($A521,'Temprorary Data'!$A:$G,6,FALSE)</f>
        <v>44</v>
      </c>
      <c r="P521">
        <f>VLOOKUP($A521,'Temprorary Data'!$A:$G,7,FALSE)</f>
        <v>49</v>
      </c>
    </row>
    <row r="522" spans="1:16" ht="15.75" thickBot="1">
      <c r="A522" s="1">
        <v>521</v>
      </c>
      <c r="B522" s="2">
        <v>40566</v>
      </c>
      <c r="C522" s="1">
        <v>1</v>
      </c>
      <c r="D522" s="1">
        <v>0</v>
      </c>
      <c r="E522" s="1">
        <v>1</v>
      </c>
      <c r="F522" s="1">
        <v>19</v>
      </c>
      <c r="G522" s="3" t="b">
        <v>0</v>
      </c>
      <c r="H522" s="1">
        <v>0</v>
      </c>
      <c r="I522" s="1">
        <v>1</v>
      </c>
      <c r="J522" s="1">
        <v>0.12</v>
      </c>
      <c r="K522">
        <f>VLOOKUP($A522,'Temprorary Data'!$A:$G,2,FALSE)</f>
        <v>0.1212</v>
      </c>
      <c r="L522">
        <f>VLOOKUP($A522,'Temprorary Data'!$A:$G,3,FALSE)</f>
        <v>0.3</v>
      </c>
      <c r="M522">
        <f>VLOOKUP($A522,'Temprorary Data'!$A:$G,4,FALSE)</f>
        <v>0.28360000000000002</v>
      </c>
      <c r="N522">
        <f>VLOOKUP($A522,'Temprorary Data'!$A:$G,5,FALSE)</f>
        <v>5</v>
      </c>
      <c r="O522">
        <f>VLOOKUP($A522,'Temprorary Data'!$A:$G,6,FALSE)</f>
        <v>45</v>
      </c>
      <c r="P522">
        <f>VLOOKUP($A522,'Temprorary Data'!$A:$G,7,FALSE)</f>
        <v>50</v>
      </c>
    </row>
    <row r="523" spans="1:16" ht="15.75" thickBot="1">
      <c r="A523" s="1">
        <v>522</v>
      </c>
      <c r="B523" s="2">
        <v>40566</v>
      </c>
      <c r="C523" s="1">
        <v>1</v>
      </c>
      <c r="D523" s="1">
        <v>0</v>
      </c>
      <c r="E523" s="1">
        <v>1</v>
      </c>
      <c r="F523" s="1">
        <v>20</v>
      </c>
      <c r="G523" s="3" t="b">
        <v>0</v>
      </c>
      <c r="H523" s="1">
        <v>0</v>
      </c>
      <c r="I523" s="1">
        <v>1</v>
      </c>
      <c r="J523" s="1">
        <v>0.1</v>
      </c>
      <c r="K523">
        <f>VLOOKUP($A523,'Temprorary Data'!$A:$G,2,FALSE)</f>
        <v>0.1061</v>
      </c>
      <c r="L523">
        <f>VLOOKUP($A523,'Temprorary Data'!$A:$G,3,FALSE)</f>
        <v>0.36</v>
      </c>
      <c r="M523">
        <f>VLOOKUP($A523,'Temprorary Data'!$A:$G,4,FALSE)</f>
        <v>0.25369999999999998</v>
      </c>
      <c r="N523">
        <f>VLOOKUP($A523,'Temprorary Data'!$A:$G,5,FALSE)</f>
        <v>4</v>
      </c>
      <c r="O523">
        <f>VLOOKUP($A523,'Temprorary Data'!$A:$G,6,FALSE)</f>
        <v>31</v>
      </c>
      <c r="P523">
        <f>VLOOKUP($A523,'Temprorary Data'!$A:$G,7,FALSE)</f>
        <v>35</v>
      </c>
    </row>
    <row r="524" spans="1:16" ht="15.75" thickBot="1">
      <c r="A524" s="1">
        <v>523</v>
      </c>
      <c r="B524" s="2">
        <v>40566</v>
      </c>
      <c r="C524" s="1">
        <v>1</v>
      </c>
      <c r="D524" s="1">
        <v>0</v>
      </c>
      <c r="E524" s="1">
        <v>1</v>
      </c>
      <c r="F524" s="1">
        <v>21</v>
      </c>
      <c r="G524" s="3" t="b">
        <v>0</v>
      </c>
      <c r="H524" s="1">
        <v>0</v>
      </c>
      <c r="I524" s="1">
        <v>1</v>
      </c>
      <c r="J524" s="1">
        <v>0.1</v>
      </c>
      <c r="K524">
        <f>VLOOKUP($A524,'Temprorary Data'!$A:$G,2,FALSE)</f>
        <v>0.1061</v>
      </c>
      <c r="L524">
        <f>VLOOKUP($A524,'Temprorary Data'!$A:$G,3,FALSE)</f>
        <v>0.36</v>
      </c>
      <c r="M524">
        <f>VLOOKUP($A524,'Temprorary Data'!$A:$G,4,FALSE)</f>
        <v>0.19400000000000001</v>
      </c>
      <c r="N524">
        <f>VLOOKUP($A524,'Temprorary Data'!$A:$G,5,FALSE)</f>
        <v>5</v>
      </c>
      <c r="O524">
        <f>VLOOKUP($A524,'Temprorary Data'!$A:$G,6,FALSE)</f>
        <v>20</v>
      </c>
      <c r="P524">
        <f>VLOOKUP($A524,'Temprorary Data'!$A:$G,7,FALSE)</f>
        <v>25</v>
      </c>
    </row>
    <row r="525" spans="1:16" ht="15.75" thickBot="1">
      <c r="A525" s="1">
        <v>524</v>
      </c>
      <c r="B525" s="2">
        <v>40566</v>
      </c>
      <c r="C525" s="1">
        <v>1</v>
      </c>
      <c r="D525" s="1">
        <v>0</v>
      </c>
      <c r="E525" s="1">
        <v>1</v>
      </c>
      <c r="F525" s="1">
        <v>22</v>
      </c>
      <c r="G525" s="3" t="b">
        <v>0</v>
      </c>
      <c r="H525" s="1">
        <v>0</v>
      </c>
      <c r="I525" s="1">
        <v>1</v>
      </c>
      <c r="J525" s="1">
        <v>0.08</v>
      </c>
      <c r="K525">
        <f>VLOOKUP($A525,'Temprorary Data'!$A:$G,2,FALSE)</f>
        <v>9.0899999999999995E-2</v>
      </c>
      <c r="L525">
        <f>VLOOKUP($A525,'Temprorary Data'!$A:$G,3,FALSE)</f>
        <v>0.38</v>
      </c>
      <c r="M525">
        <f>VLOOKUP($A525,'Temprorary Data'!$A:$G,4,FALSE)</f>
        <v>0.19400000000000001</v>
      </c>
      <c r="N525">
        <f>VLOOKUP($A525,'Temprorary Data'!$A:$G,5,FALSE)</f>
        <v>5</v>
      </c>
      <c r="O525">
        <f>VLOOKUP($A525,'Temprorary Data'!$A:$G,6,FALSE)</f>
        <v>23</v>
      </c>
      <c r="P525">
        <f>VLOOKUP($A525,'Temprorary Data'!$A:$G,7,FALSE)</f>
        <v>28</v>
      </c>
    </row>
    <row r="526" spans="1:16" ht="15.75" thickBot="1">
      <c r="A526" s="1">
        <v>525</v>
      </c>
      <c r="B526" s="2">
        <v>40566</v>
      </c>
      <c r="C526" s="1">
        <v>1</v>
      </c>
      <c r="D526" s="1">
        <v>0</v>
      </c>
      <c r="E526" s="1">
        <v>1</v>
      </c>
      <c r="F526" s="1">
        <v>23</v>
      </c>
      <c r="G526" s="3" t="b">
        <v>0</v>
      </c>
      <c r="H526" s="1">
        <v>0</v>
      </c>
      <c r="I526" s="1">
        <v>1</v>
      </c>
      <c r="J526" s="1">
        <v>0.06</v>
      </c>
      <c r="K526">
        <f>VLOOKUP($A526,'Temprorary Data'!$A:$G,2,FALSE)</f>
        <v>6.0600000000000001E-2</v>
      </c>
      <c r="L526">
        <f>VLOOKUP($A526,'Temprorary Data'!$A:$G,3,FALSE)</f>
        <v>0.41</v>
      </c>
      <c r="M526">
        <f>VLOOKUP($A526,'Temprorary Data'!$A:$G,4,FALSE)</f>
        <v>0.22389999999999999</v>
      </c>
      <c r="N526">
        <f>VLOOKUP($A526,'Temprorary Data'!$A:$G,5,FALSE)</f>
        <v>4</v>
      </c>
      <c r="O526">
        <f>VLOOKUP($A526,'Temprorary Data'!$A:$G,6,FALSE)</f>
        <v>17</v>
      </c>
      <c r="P526">
        <f>VLOOKUP($A526,'Temprorary Data'!$A:$G,7,FALSE)</f>
        <v>21</v>
      </c>
    </row>
    <row r="527" spans="1:16" ht="15.75" thickBot="1">
      <c r="A527" s="1">
        <v>526</v>
      </c>
      <c r="B527" s="2">
        <v>40567</v>
      </c>
      <c r="C527" s="1">
        <v>1</v>
      </c>
      <c r="D527" s="1">
        <v>0</v>
      </c>
      <c r="E527" s="1">
        <v>1</v>
      </c>
      <c r="F527" s="1">
        <v>0</v>
      </c>
      <c r="G527" s="3" t="b">
        <v>0</v>
      </c>
      <c r="H527" s="1">
        <v>1</v>
      </c>
      <c r="I527" s="1">
        <v>1</v>
      </c>
      <c r="J527" s="1">
        <v>0.06</v>
      </c>
      <c r="K527">
        <f>VLOOKUP($A527,'Temprorary Data'!$A:$G,2,FALSE)</f>
        <v>6.0600000000000001E-2</v>
      </c>
      <c r="L527">
        <f>VLOOKUP($A527,'Temprorary Data'!$A:$G,3,FALSE)</f>
        <v>0.41</v>
      </c>
      <c r="M527">
        <f>VLOOKUP($A527,'Temprorary Data'!$A:$G,4,FALSE)</f>
        <v>0.19400000000000001</v>
      </c>
      <c r="N527">
        <f>VLOOKUP($A527,'Temprorary Data'!$A:$G,5,FALSE)</f>
        <v>0</v>
      </c>
      <c r="O527">
        <f>VLOOKUP($A527,'Temprorary Data'!$A:$G,6,FALSE)</f>
        <v>7</v>
      </c>
      <c r="P527">
        <f>VLOOKUP($A527,'Temprorary Data'!$A:$G,7,FALSE)</f>
        <v>7</v>
      </c>
    </row>
    <row r="528" spans="1:16" ht="15.75" thickBot="1">
      <c r="A528" s="1">
        <v>527</v>
      </c>
      <c r="B528" s="2">
        <v>40567</v>
      </c>
      <c r="C528" s="1">
        <v>1</v>
      </c>
      <c r="D528" s="1">
        <v>0</v>
      </c>
      <c r="E528" s="1">
        <v>1</v>
      </c>
      <c r="F528" s="1">
        <v>1</v>
      </c>
      <c r="G528" s="3" t="b">
        <v>0</v>
      </c>
      <c r="H528" s="1">
        <v>1</v>
      </c>
      <c r="I528" s="1">
        <v>1</v>
      </c>
      <c r="J528" s="1">
        <v>0.04</v>
      </c>
      <c r="K528">
        <f>VLOOKUP($A528,'Temprorary Data'!$A:$G,2,FALSE)</f>
        <v>4.5499999999999999E-2</v>
      </c>
      <c r="L528">
        <f>VLOOKUP($A528,'Temprorary Data'!$A:$G,3,FALSE)</f>
        <v>0.45</v>
      </c>
      <c r="M528">
        <f>VLOOKUP($A528,'Temprorary Data'!$A:$G,4,FALSE)</f>
        <v>0.19400000000000001</v>
      </c>
      <c r="N528">
        <f>VLOOKUP($A528,'Temprorary Data'!$A:$G,5,FALSE)</f>
        <v>0</v>
      </c>
      <c r="O528">
        <f>VLOOKUP($A528,'Temprorary Data'!$A:$G,6,FALSE)</f>
        <v>1</v>
      </c>
      <c r="P528">
        <f>VLOOKUP($A528,'Temprorary Data'!$A:$G,7,FALSE)</f>
        <v>1</v>
      </c>
    </row>
    <row r="529" spans="1:16" ht="15.75" thickBot="1">
      <c r="A529" s="1">
        <v>528</v>
      </c>
      <c r="B529" s="2">
        <v>40567</v>
      </c>
      <c r="C529" s="1">
        <v>1</v>
      </c>
      <c r="D529" s="1">
        <v>0</v>
      </c>
      <c r="E529" s="1">
        <v>1</v>
      </c>
      <c r="F529" s="1">
        <v>3</v>
      </c>
      <c r="G529" s="3" t="b">
        <v>0</v>
      </c>
      <c r="H529" s="1">
        <v>1</v>
      </c>
      <c r="I529" s="1">
        <v>1</v>
      </c>
      <c r="J529" s="1">
        <v>0.04</v>
      </c>
      <c r="K529">
        <f>VLOOKUP($A529,'Temprorary Data'!$A:$G,2,FALSE)</f>
        <v>3.0300000000000001E-2</v>
      </c>
      <c r="L529">
        <f>VLOOKUP($A529,'Temprorary Data'!$A:$G,3,FALSE)</f>
        <v>0.45</v>
      </c>
      <c r="M529">
        <f>VLOOKUP($A529,'Temprorary Data'!$A:$G,4,FALSE)</f>
        <v>0.25369999999999998</v>
      </c>
      <c r="N529">
        <f>VLOOKUP($A529,'Temprorary Data'!$A:$G,5,FALSE)</f>
        <v>0</v>
      </c>
      <c r="O529">
        <f>VLOOKUP($A529,'Temprorary Data'!$A:$G,6,FALSE)</f>
        <v>1</v>
      </c>
      <c r="P529">
        <f>VLOOKUP($A529,'Temprorary Data'!$A:$G,7,FALSE)</f>
        <v>1</v>
      </c>
    </row>
    <row r="530" spans="1:16" ht="15.75" thickBot="1">
      <c r="A530" s="1">
        <v>529</v>
      </c>
      <c r="B530" s="2">
        <v>40567</v>
      </c>
      <c r="C530" s="1">
        <v>1</v>
      </c>
      <c r="D530" s="1">
        <v>0</v>
      </c>
      <c r="E530" s="1">
        <v>1</v>
      </c>
      <c r="F530" s="1">
        <v>4</v>
      </c>
      <c r="G530" s="3" t="b">
        <v>0</v>
      </c>
      <c r="H530" s="1">
        <v>1</v>
      </c>
      <c r="I530" s="1">
        <v>1</v>
      </c>
      <c r="J530" s="1">
        <v>0.02</v>
      </c>
      <c r="K530">
        <f>VLOOKUP($A530,'Temprorary Data'!$A:$G,2,FALSE)</f>
        <v>6.0600000000000001E-2</v>
      </c>
      <c r="L530">
        <f>VLOOKUP($A530,'Temprorary Data'!$A:$G,3,FALSE)</f>
        <v>0.48</v>
      </c>
      <c r="M530">
        <f>VLOOKUP($A530,'Temprorary Data'!$A:$G,4,FALSE)</f>
        <v>0.1343</v>
      </c>
      <c r="N530">
        <f>VLOOKUP($A530,'Temprorary Data'!$A:$G,5,FALSE)</f>
        <v>0</v>
      </c>
      <c r="O530">
        <f>VLOOKUP($A530,'Temprorary Data'!$A:$G,6,FALSE)</f>
        <v>1</v>
      </c>
      <c r="P530">
        <f>VLOOKUP($A530,'Temprorary Data'!$A:$G,7,FALSE)</f>
        <v>1</v>
      </c>
    </row>
    <row r="531" spans="1:16" ht="15.75" thickBot="1">
      <c r="A531" s="1">
        <v>530</v>
      </c>
      <c r="B531" s="2">
        <v>40567</v>
      </c>
      <c r="C531" s="1">
        <v>1</v>
      </c>
      <c r="D531" s="1">
        <v>0</v>
      </c>
      <c r="E531" s="1">
        <v>1</v>
      </c>
      <c r="F531" s="1">
        <v>5</v>
      </c>
      <c r="G531" s="3" t="b">
        <v>0</v>
      </c>
      <c r="H531" s="1">
        <v>1</v>
      </c>
      <c r="I531" s="1">
        <v>1</v>
      </c>
      <c r="J531" s="1">
        <v>0.02</v>
      </c>
      <c r="K531">
        <f>VLOOKUP($A531,'Temprorary Data'!$A:$G,2,FALSE)</f>
        <v>6.0600000000000001E-2</v>
      </c>
      <c r="L531">
        <f>VLOOKUP($A531,'Temprorary Data'!$A:$G,3,FALSE)</f>
        <v>0.48</v>
      </c>
      <c r="M531">
        <f>VLOOKUP($A531,'Temprorary Data'!$A:$G,4,FALSE)</f>
        <v>0.1343</v>
      </c>
      <c r="N531">
        <f>VLOOKUP($A531,'Temprorary Data'!$A:$G,5,FALSE)</f>
        <v>0</v>
      </c>
      <c r="O531">
        <f>VLOOKUP($A531,'Temprorary Data'!$A:$G,6,FALSE)</f>
        <v>5</v>
      </c>
      <c r="P531">
        <f>VLOOKUP($A531,'Temprorary Data'!$A:$G,7,FALSE)</f>
        <v>5</v>
      </c>
    </row>
    <row r="532" spans="1:16" ht="15.75" thickBot="1">
      <c r="A532" s="1">
        <v>531</v>
      </c>
      <c r="B532" s="2">
        <v>40567</v>
      </c>
      <c r="C532" s="1">
        <v>1</v>
      </c>
      <c r="D532" s="1">
        <v>0</v>
      </c>
      <c r="E532" s="1">
        <v>1</v>
      </c>
      <c r="F532" s="1">
        <v>6</v>
      </c>
      <c r="G532" s="3" t="b">
        <v>0</v>
      </c>
      <c r="H532" s="1">
        <v>1</v>
      </c>
      <c r="I532" s="1">
        <v>1</v>
      </c>
      <c r="J532" s="1">
        <v>0.02</v>
      </c>
      <c r="K532">
        <f>VLOOKUP($A532,'Temprorary Data'!$A:$G,2,FALSE)</f>
        <v>7.5800000000000006E-2</v>
      </c>
      <c r="L532">
        <f>VLOOKUP($A532,'Temprorary Data'!$A:$G,3,FALSE)</f>
        <v>0.48</v>
      </c>
      <c r="M532">
        <f>VLOOKUP($A532,'Temprorary Data'!$A:$G,4,FALSE)</f>
        <v>8.9599999999999999E-2</v>
      </c>
      <c r="N532">
        <f>VLOOKUP($A532,'Temprorary Data'!$A:$G,5,FALSE)</f>
        <v>0</v>
      </c>
      <c r="O532">
        <f>VLOOKUP($A532,'Temprorary Data'!$A:$G,6,FALSE)</f>
        <v>15</v>
      </c>
      <c r="P532">
        <f>VLOOKUP($A532,'Temprorary Data'!$A:$G,7,FALSE)</f>
        <v>15</v>
      </c>
    </row>
    <row r="533" spans="1:16" ht="15.75" thickBot="1">
      <c r="A533" s="1">
        <v>532</v>
      </c>
      <c r="B533" s="2">
        <v>40567</v>
      </c>
      <c r="C533" s="1">
        <v>1</v>
      </c>
      <c r="D533" s="1">
        <v>0</v>
      </c>
      <c r="E533" s="1">
        <v>1</v>
      </c>
      <c r="F533" s="1">
        <v>7</v>
      </c>
      <c r="G533" s="3" t="b">
        <v>0</v>
      </c>
      <c r="H533" s="1">
        <v>1</v>
      </c>
      <c r="I533" s="1">
        <v>1</v>
      </c>
      <c r="J533" s="1">
        <v>0.02</v>
      </c>
      <c r="K533">
        <f>VLOOKUP($A533,'Temprorary Data'!$A:$G,2,FALSE)</f>
        <v>0.1212</v>
      </c>
      <c r="L533">
        <f>VLOOKUP($A533,'Temprorary Data'!$A:$G,3,FALSE)</f>
        <v>0.48</v>
      </c>
      <c r="M533">
        <f>VLOOKUP($A533,'Temprorary Data'!$A:$G,4,FALSE)</f>
        <v>0</v>
      </c>
      <c r="N533">
        <f>VLOOKUP($A533,'Temprorary Data'!$A:$G,5,FALSE)</f>
        <v>5</v>
      </c>
      <c r="O533">
        <f>VLOOKUP($A533,'Temprorary Data'!$A:$G,6,FALSE)</f>
        <v>79</v>
      </c>
      <c r="P533">
        <f>VLOOKUP($A533,'Temprorary Data'!$A:$G,7,FALSE)</f>
        <v>84</v>
      </c>
    </row>
    <row r="534" spans="1:16" ht="15.75" thickBot="1">
      <c r="A534" s="1">
        <v>533</v>
      </c>
      <c r="B534" s="2">
        <v>40567</v>
      </c>
      <c r="C534" s="1">
        <v>1</v>
      </c>
      <c r="D534" s="1">
        <v>0</v>
      </c>
      <c r="E534" s="1">
        <v>1</v>
      </c>
      <c r="F534" s="1">
        <v>8</v>
      </c>
      <c r="G534" s="3" t="b">
        <v>0</v>
      </c>
      <c r="H534" s="1">
        <v>1</v>
      </c>
      <c r="I534" s="1">
        <v>1</v>
      </c>
      <c r="J534" s="1">
        <v>0.04</v>
      </c>
      <c r="K534">
        <f>VLOOKUP($A534,'Temprorary Data'!$A:$G,2,FALSE)</f>
        <v>0.13639999999999999</v>
      </c>
      <c r="L534">
        <f>VLOOKUP($A534,'Temprorary Data'!$A:$G,3,FALSE)</f>
        <v>0.49</v>
      </c>
      <c r="M534">
        <f>VLOOKUP($A534,'Temprorary Data'!$A:$G,4,FALSE)</f>
        <v>0</v>
      </c>
      <c r="N534">
        <f>VLOOKUP($A534,'Temprorary Data'!$A:$G,5,FALSE)</f>
        <v>6</v>
      </c>
      <c r="O534">
        <f>VLOOKUP($A534,'Temprorary Data'!$A:$G,6,FALSE)</f>
        <v>171</v>
      </c>
      <c r="P534">
        <f>VLOOKUP($A534,'Temprorary Data'!$A:$G,7,FALSE)</f>
        <v>177</v>
      </c>
    </row>
    <row r="535" spans="1:16" ht="15.75" thickBot="1">
      <c r="A535" s="1">
        <v>534</v>
      </c>
      <c r="B535" s="2">
        <v>40567</v>
      </c>
      <c r="C535" s="1">
        <v>1</v>
      </c>
      <c r="D535" s="1">
        <v>0</v>
      </c>
      <c r="E535" s="1">
        <v>1</v>
      </c>
      <c r="F535" s="1">
        <v>9</v>
      </c>
      <c r="G535" s="3" t="b">
        <v>0</v>
      </c>
      <c r="H535" s="1">
        <v>1</v>
      </c>
      <c r="I535" s="1">
        <v>1</v>
      </c>
      <c r="J535" s="1">
        <v>0.06</v>
      </c>
      <c r="K535">
        <f>VLOOKUP($A535,'Temprorary Data'!$A:$G,2,FALSE)</f>
        <v>0.1515</v>
      </c>
      <c r="L535">
        <f>VLOOKUP($A535,'Temprorary Data'!$A:$G,3,FALSE)</f>
        <v>0.41</v>
      </c>
      <c r="M535">
        <f>VLOOKUP($A535,'Temprorary Data'!$A:$G,4,FALSE)</f>
        <v>0</v>
      </c>
      <c r="N535">
        <f>VLOOKUP($A535,'Temprorary Data'!$A:$G,5,FALSE)</f>
        <v>4</v>
      </c>
      <c r="O535">
        <f>VLOOKUP($A535,'Temprorary Data'!$A:$G,6,FALSE)</f>
        <v>98</v>
      </c>
      <c r="P535">
        <f>VLOOKUP($A535,'Temprorary Data'!$A:$G,7,FALSE)</f>
        <v>102</v>
      </c>
    </row>
    <row r="536" spans="1:16" ht="15.75" thickBot="1">
      <c r="A536" s="1">
        <v>535</v>
      </c>
      <c r="B536" s="2">
        <v>40567</v>
      </c>
      <c r="C536" s="1">
        <v>1</v>
      </c>
      <c r="D536" s="1">
        <v>0</v>
      </c>
      <c r="E536" s="1">
        <v>1</v>
      </c>
      <c r="F536" s="1">
        <v>10</v>
      </c>
      <c r="G536" s="3" t="b">
        <v>0</v>
      </c>
      <c r="H536" s="1">
        <v>1</v>
      </c>
      <c r="I536" s="1">
        <v>1</v>
      </c>
      <c r="J536" s="1">
        <v>0.1</v>
      </c>
      <c r="K536">
        <f>VLOOKUP($A536,'Temprorary Data'!$A:$G,2,FALSE)</f>
        <v>0.13639999999999999</v>
      </c>
      <c r="L536">
        <f>VLOOKUP($A536,'Temprorary Data'!$A:$G,3,FALSE)</f>
        <v>0.42</v>
      </c>
      <c r="M536">
        <f>VLOOKUP($A536,'Temprorary Data'!$A:$G,4,FALSE)</f>
        <v>0</v>
      </c>
      <c r="N536">
        <f>VLOOKUP($A536,'Temprorary Data'!$A:$G,5,FALSE)</f>
        <v>6</v>
      </c>
      <c r="O536">
        <f>VLOOKUP($A536,'Temprorary Data'!$A:$G,6,FALSE)</f>
        <v>34</v>
      </c>
      <c r="P536">
        <f>VLOOKUP($A536,'Temprorary Data'!$A:$G,7,FALSE)</f>
        <v>40</v>
      </c>
    </row>
    <row r="537" spans="1:16" ht="15.75" thickBot="1">
      <c r="A537" s="1">
        <v>536</v>
      </c>
      <c r="B537" s="2">
        <v>40567</v>
      </c>
      <c r="C537" s="1">
        <v>1</v>
      </c>
      <c r="D537" s="1">
        <v>0</v>
      </c>
      <c r="E537" s="1">
        <v>1</v>
      </c>
      <c r="F537" s="1">
        <v>11</v>
      </c>
      <c r="G537" s="3" t="b">
        <v>0</v>
      </c>
      <c r="H537" s="1">
        <v>1</v>
      </c>
      <c r="I537" s="1">
        <v>1</v>
      </c>
      <c r="J537" s="1">
        <v>0.1</v>
      </c>
      <c r="K537">
        <f>VLOOKUP($A537,'Temprorary Data'!$A:$G,2,FALSE)</f>
        <v>0.1212</v>
      </c>
      <c r="L537">
        <f>VLOOKUP($A537,'Temprorary Data'!$A:$G,3,FALSE)</f>
        <v>0.46</v>
      </c>
      <c r="M537">
        <f>VLOOKUP($A537,'Temprorary Data'!$A:$G,4,FALSE)</f>
        <v>0.1343</v>
      </c>
      <c r="N537">
        <f>VLOOKUP($A537,'Temprorary Data'!$A:$G,5,FALSE)</f>
        <v>3</v>
      </c>
      <c r="O537">
        <f>VLOOKUP($A537,'Temprorary Data'!$A:$G,6,FALSE)</f>
        <v>43</v>
      </c>
      <c r="P537">
        <f>VLOOKUP($A537,'Temprorary Data'!$A:$G,7,FALSE)</f>
        <v>46</v>
      </c>
    </row>
    <row r="538" spans="1:16" ht="15.75" thickBot="1">
      <c r="A538" s="1">
        <v>537</v>
      </c>
      <c r="B538" s="2">
        <v>40567</v>
      </c>
      <c r="C538" s="1">
        <v>1</v>
      </c>
      <c r="D538" s="1">
        <v>0</v>
      </c>
      <c r="E538" s="1">
        <v>1</v>
      </c>
      <c r="F538" s="1">
        <v>12</v>
      </c>
      <c r="G538" s="3" t="b">
        <v>0</v>
      </c>
      <c r="H538" s="1">
        <v>1</v>
      </c>
      <c r="I538" s="1">
        <v>2</v>
      </c>
      <c r="J538" s="1">
        <v>0.12</v>
      </c>
      <c r="K538">
        <f>VLOOKUP($A538,'Temprorary Data'!$A:$G,2,FALSE)</f>
        <v>0.13639999999999999</v>
      </c>
      <c r="L538">
        <f>VLOOKUP($A538,'Temprorary Data'!$A:$G,3,FALSE)</f>
        <v>0.42</v>
      </c>
      <c r="M538">
        <f>VLOOKUP($A538,'Temprorary Data'!$A:$G,4,FALSE)</f>
        <v>0.19400000000000001</v>
      </c>
      <c r="N538">
        <f>VLOOKUP($A538,'Temprorary Data'!$A:$G,5,FALSE)</f>
        <v>11</v>
      </c>
      <c r="O538">
        <f>VLOOKUP($A538,'Temprorary Data'!$A:$G,6,FALSE)</f>
        <v>52</v>
      </c>
      <c r="P538">
        <f>VLOOKUP($A538,'Temprorary Data'!$A:$G,7,FALSE)</f>
        <v>63</v>
      </c>
    </row>
    <row r="539" spans="1:16" ht="15.75" thickBot="1">
      <c r="A539" s="1">
        <v>538</v>
      </c>
      <c r="B539" s="2">
        <v>40567</v>
      </c>
      <c r="C539" s="1">
        <v>1</v>
      </c>
      <c r="D539" s="1">
        <v>0</v>
      </c>
      <c r="E539" s="1">
        <v>1</v>
      </c>
      <c r="F539" s="1">
        <v>13</v>
      </c>
      <c r="G539" s="3" t="b">
        <v>0</v>
      </c>
      <c r="H539" s="1">
        <v>1</v>
      </c>
      <c r="I539" s="1">
        <v>2</v>
      </c>
      <c r="J539" s="1">
        <v>0.14000000000000001</v>
      </c>
      <c r="K539">
        <f>VLOOKUP($A539,'Temprorary Data'!$A:$G,2,FALSE)</f>
        <v>0.13639999999999999</v>
      </c>
      <c r="L539">
        <f>VLOOKUP($A539,'Temprorary Data'!$A:$G,3,FALSE)</f>
        <v>0.43</v>
      </c>
      <c r="M539">
        <f>VLOOKUP($A539,'Temprorary Data'!$A:$G,4,FALSE)</f>
        <v>0.22389999999999999</v>
      </c>
      <c r="N539">
        <f>VLOOKUP($A539,'Temprorary Data'!$A:$G,5,FALSE)</f>
        <v>6</v>
      </c>
      <c r="O539">
        <f>VLOOKUP($A539,'Temprorary Data'!$A:$G,6,FALSE)</f>
        <v>54</v>
      </c>
      <c r="P539">
        <f>VLOOKUP($A539,'Temprorary Data'!$A:$G,7,FALSE)</f>
        <v>60</v>
      </c>
    </row>
    <row r="540" spans="1:16" ht="15.75" thickBot="1">
      <c r="A540" s="1">
        <v>539</v>
      </c>
      <c r="B540" s="2">
        <v>40567</v>
      </c>
      <c r="C540" s="1">
        <v>1</v>
      </c>
      <c r="D540" s="1">
        <v>0</v>
      </c>
      <c r="E540" s="1">
        <v>1</v>
      </c>
      <c r="F540" s="1">
        <v>14</v>
      </c>
      <c r="G540" s="3" t="b">
        <v>0</v>
      </c>
      <c r="H540" s="1">
        <v>1</v>
      </c>
      <c r="I540" s="1">
        <v>2</v>
      </c>
      <c r="J540" s="1">
        <v>0.14000000000000001</v>
      </c>
      <c r="K540">
        <f>VLOOKUP($A540,'Temprorary Data'!$A:$G,2,FALSE)</f>
        <v>0.13639999999999999</v>
      </c>
      <c r="L540">
        <f>VLOOKUP($A540,'Temprorary Data'!$A:$G,3,FALSE)</f>
        <v>0.46</v>
      </c>
      <c r="M540">
        <f>VLOOKUP($A540,'Temprorary Data'!$A:$G,4,FALSE)</f>
        <v>0.22389999999999999</v>
      </c>
      <c r="N540">
        <f>VLOOKUP($A540,'Temprorary Data'!$A:$G,5,FALSE)</f>
        <v>2</v>
      </c>
      <c r="O540">
        <f>VLOOKUP($A540,'Temprorary Data'!$A:$G,6,FALSE)</f>
        <v>43</v>
      </c>
      <c r="P540">
        <f>VLOOKUP($A540,'Temprorary Data'!$A:$G,7,FALSE)</f>
        <v>45</v>
      </c>
    </row>
    <row r="541" spans="1:16" ht="15.75" thickBot="1">
      <c r="A541" s="1">
        <v>540</v>
      </c>
      <c r="B541" s="2">
        <v>40567</v>
      </c>
      <c r="C541" s="1">
        <v>1</v>
      </c>
      <c r="D541" s="1">
        <v>0</v>
      </c>
      <c r="E541" s="1">
        <v>1</v>
      </c>
      <c r="F541" s="1">
        <v>15</v>
      </c>
      <c r="G541" s="3" t="b">
        <v>0</v>
      </c>
      <c r="H541" s="1">
        <v>1</v>
      </c>
      <c r="I541" s="1">
        <v>1</v>
      </c>
      <c r="J541" s="1">
        <v>0.16</v>
      </c>
      <c r="K541">
        <f>VLOOKUP($A541,'Temprorary Data'!$A:$G,2,FALSE)</f>
        <v>0.16669999999999999</v>
      </c>
      <c r="L541">
        <f>VLOOKUP($A541,'Temprorary Data'!$A:$G,3,FALSE)</f>
        <v>0.4</v>
      </c>
      <c r="M541">
        <f>VLOOKUP($A541,'Temprorary Data'!$A:$G,4,FALSE)</f>
        <v>0.16420000000000001</v>
      </c>
      <c r="N541">
        <f>VLOOKUP($A541,'Temprorary Data'!$A:$G,5,FALSE)</f>
        <v>7</v>
      </c>
      <c r="O541">
        <f>VLOOKUP($A541,'Temprorary Data'!$A:$G,6,FALSE)</f>
        <v>50</v>
      </c>
      <c r="P541">
        <f>VLOOKUP($A541,'Temprorary Data'!$A:$G,7,FALSE)</f>
        <v>57</v>
      </c>
    </row>
    <row r="542" spans="1:16" ht="15.75" thickBot="1">
      <c r="A542" s="1">
        <v>541</v>
      </c>
      <c r="B542" s="2">
        <v>40567</v>
      </c>
      <c r="C542" s="1">
        <v>1</v>
      </c>
      <c r="D542" s="1">
        <v>0</v>
      </c>
      <c r="E542" s="1">
        <v>1</v>
      </c>
      <c r="F542" s="1">
        <v>16</v>
      </c>
      <c r="G542" s="3" t="b">
        <v>0</v>
      </c>
      <c r="H542" s="1">
        <v>1</v>
      </c>
      <c r="I542" s="1">
        <v>1</v>
      </c>
      <c r="J542" s="1">
        <v>0.16</v>
      </c>
      <c r="K542">
        <f>VLOOKUP($A542,'Temprorary Data'!$A:$G,2,FALSE)</f>
        <v>0.1515</v>
      </c>
      <c r="L542">
        <f>VLOOKUP($A542,'Temprorary Data'!$A:$G,3,FALSE)</f>
        <v>0.47</v>
      </c>
      <c r="M542">
        <f>VLOOKUP($A542,'Temprorary Data'!$A:$G,4,FALSE)</f>
        <v>0.25369999999999998</v>
      </c>
      <c r="N542">
        <f>VLOOKUP($A542,'Temprorary Data'!$A:$G,5,FALSE)</f>
        <v>4</v>
      </c>
      <c r="O542">
        <f>VLOOKUP($A542,'Temprorary Data'!$A:$G,6,FALSE)</f>
        <v>66</v>
      </c>
      <c r="P542">
        <f>VLOOKUP($A542,'Temprorary Data'!$A:$G,7,FALSE)</f>
        <v>70</v>
      </c>
    </row>
    <row r="543" spans="1:16" ht="15.75" thickBot="1">
      <c r="A543" s="1">
        <v>542</v>
      </c>
      <c r="B543" s="2">
        <v>40567</v>
      </c>
      <c r="C543" s="1">
        <v>1</v>
      </c>
      <c r="D543" s="1">
        <v>0</v>
      </c>
      <c r="E543" s="1">
        <v>1</v>
      </c>
      <c r="F543" s="1">
        <v>17</v>
      </c>
      <c r="G543" s="3" t="b">
        <v>0</v>
      </c>
      <c r="H543" s="1">
        <v>1</v>
      </c>
      <c r="I543" s="1">
        <v>1</v>
      </c>
      <c r="J543" s="1">
        <v>0.14000000000000001</v>
      </c>
      <c r="K543">
        <f>VLOOKUP($A543,'Temprorary Data'!$A:$G,2,FALSE)</f>
        <v>0.1212</v>
      </c>
      <c r="L543">
        <f>VLOOKUP($A543,'Temprorary Data'!$A:$G,3,FALSE)</f>
        <v>0.5</v>
      </c>
      <c r="M543">
        <f>VLOOKUP($A543,'Temprorary Data'!$A:$G,4,FALSE)</f>
        <v>0.25369999999999998</v>
      </c>
      <c r="N543">
        <f>VLOOKUP($A543,'Temprorary Data'!$A:$G,5,FALSE)</f>
        <v>6</v>
      </c>
      <c r="O543">
        <f>VLOOKUP($A543,'Temprorary Data'!$A:$G,6,FALSE)</f>
        <v>178</v>
      </c>
      <c r="P543">
        <f>VLOOKUP($A543,'Temprorary Data'!$A:$G,7,FALSE)</f>
        <v>184</v>
      </c>
    </row>
    <row r="544" spans="1:16" ht="15.75" thickBot="1">
      <c r="A544" s="1">
        <v>543</v>
      </c>
      <c r="B544" s="2">
        <v>40567</v>
      </c>
      <c r="C544" s="1">
        <v>1</v>
      </c>
      <c r="D544" s="1">
        <v>0</v>
      </c>
      <c r="E544" s="1">
        <v>1</v>
      </c>
      <c r="F544" s="1">
        <v>18</v>
      </c>
      <c r="G544" s="3" t="b">
        <v>0</v>
      </c>
      <c r="H544" s="1">
        <v>1</v>
      </c>
      <c r="I544" s="1">
        <v>1</v>
      </c>
      <c r="J544" s="1">
        <v>0.14000000000000001</v>
      </c>
      <c r="K544">
        <f>VLOOKUP($A544,'Temprorary Data'!$A:$G,2,FALSE)</f>
        <v>0.13639999999999999</v>
      </c>
      <c r="L544">
        <f>VLOOKUP($A544,'Temprorary Data'!$A:$G,3,FALSE)</f>
        <v>0.59</v>
      </c>
      <c r="M544">
        <f>VLOOKUP($A544,'Temprorary Data'!$A:$G,4,FALSE)</f>
        <v>0.19400000000000001</v>
      </c>
      <c r="N544">
        <f>VLOOKUP($A544,'Temprorary Data'!$A:$G,5,FALSE)</f>
        <v>8</v>
      </c>
      <c r="O544">
        <f>VLOOKUP($A544,'Temprorary Data'!$A:$G,6,FALSE)</f>
        <v>145</v>
      </c>
      <c r="P544">
        <f>VLOOKUP($A544,'Temprorary Data'!$A:$G,7,FALSE)</f>
        <v>153</v>
      </c>
    </row>
    <row r="545" spans="1:16" ht="15.75" thickBot="1">
      <c r="A545" s="1">
        <v>544</v>
      </c>
      <c r="B545" s="2">
        <v>40567</v>
      </c>
      <c r="C545" s="1">
        <v>1</v>
      </c>
      <c r="D545" s="1">
        <v>0</v>
      </c>
      <c r="E545" s="1">
        <v>1</v>
      </c>
      <c r="F545" s="1">
        <v>19</v>
      </c>
      <c r="G545" s="3" t="b">
        <v>0</v>
      </c>
      <c r="H545" s="1">
        <v>1</v>
      </c>
      <c r="I545" s="1">
        <v>1</v>
      </c>
      <c r="J545" s="1">
        <v>0.14000000000000001</v>
      </c>
      <c r="K545">
        <f>VLOOKUP($A545,'Temprorary Data'!$A:$G,2,FALSE)</f>
        <v>0.1515</v>
      </c>
      <c r="L545">
        <f>VLOOKUP($A545,'Temprorary Data'!$A:$G,3,FALSE)</f>
        <v>0.54</v>
      </c>
      <c r="M545">
        <f>VLOOKUP($A545,'Temprorary Data'!$A:$G,4,FALSE)</f>
        <v>0.16420000000000001</v>
      </c>
      <c r="N545">
        <f>VLOOKUP($A545,'Temprorary Data'!$A:$G,5,FALSE)</f>
        <v>5</v>
      </c>
      <c r="O545">
        <f>VLOOKUP($A545,'Temprorary Data'!$A:$G,6,FALSE)</f>
        <v>101</v>
      </c>
      <c r="P545">
        <f>VLOOKUP($A545,'Temprorary Data'!$A:$G,7,FALSE)</f>
        <v>106</v>
      </c>
    </row>
    <row r="546" spans="1:16" ht="15.75" thickBot="1">
      <c r="A546" s="1">
        <v>545</v>
      </c>
      <c r="B546" s="2">
        <v>40567</v>
      </c>
      <c r="C546" s="1">
        <v>1</v>
      </c>
      <c r="D546" s="1">
        <v>0</v>
      </c>
      <c r="E546" s="1">
        <v>1</v>
      </c>
      <c r="F546" s="1">
        <v>20</v>
      </c>
      <c r="G546" s="3" t="b">
        <v>0</v>
      </c>
      <c r="H546" s="1">
        <v>1</v>
      </c>
      <c r="I546" s="1">
        <v>1</v>
      </c>
      <c r="J546" s="1">
        <v>0.14000000000000001</v>
      </c>
      <c r="K546">
        <f>VLOOKUP($A546,'Temprorary Data'!$A:$G,2,FALSE)</f>
        <v>0.13639999999999999</v>
      </c>
      <c r="L546">
        <f>VLOOKUP($A546,'Temprorary Data'!$A:$G,3,FALSE)</f>
        <v>0.59</v>
      </c>
      <c r="M546">
        <f>VLOOKUP($A546,'Temprorary Data'!$A:$G,4,FALSE)</f>
        <v>0.19400000000000001</v>
      </c>
      <c r="N546">
        <f>VLOOKUP($A546,'Temprorary Data'!$A:$G,5,FALSE)</f>
        <v>1</v>
      </c>
      <c r="O546">
        <f>VLOOKUP($A546,'Temprorary Data'!$A:$G,6,FALSE)</f>
        <v>80</v>
      </c>
      <c r="P546">
        <f>VLOOKUP($A546,'Temprorary Data'!$A:$G,7,FALSE)</f>
        <v>81</v>
      </c>
    </row>
    <row r="547" spans="1:16" ht="15.75" thickBot="1">
      <c r="A547" s="1">
        <v>546</v>
      </c>
      <c r="B547" s="2">
        <v>40567</v>
      </c>
      <c r="C547" s="1">
        <v>1</v>
      </c>
      <c r="D547" s="1">
        <v>0</v>
      </c>
      <c r="E547" s="1">
        <v>1</v>
      </c>
      <c r="F547" s="1">
        <v>21</v>
      </c>
      <c r="G547" s="3" t="b">
        <v>0</v>
      </c>
      <c r="H547" s="1">
        <v>1</v>
      </c>
      <c r="I547" s="1">
        <v>1</v>
      </c>
      <c r="J547" s="1">
        <v>0.14000000000000001</v>
      </c>
      <c r="K547">
        <f>VLOOKUP($A547,'Temprorary Data'!$A:$G,2,FALSE)</f>
        <v>0.1515</v>
      </c>
      <c r="L547">
        <f>VLOOKUP($A547,'Temprorary Data'!$A:$G,3,FALSE)</f>
        <v>0.63</v>
      </c>
      <c r="M547">
        <f>VLOOKUP($A547,'Temprorary Data'!$A:$G,4,FALSE)</f>
        <v>0.16420000000000001</v>
      </c>
      <c r="N547">
        <f>VLOOKUP($A547,'Temprorary Data'!$A:$G,5,FALSE)</f>
        <v>6</v>
      </c>
      <c r="O547">
        <f>VLOOKUP($A547,'Temprorary Data'!$A:$G,6,FALSE)</f>
        <v>53</v>
      </c>
      <c r="P547">
        <f>VLOOKUP($A547,'Temprorary Data'!$A:$G,7,FALSE)</f>
        <v>59</v>
      </c>
    </row>
    <row r="548" spans="1:16" ht="15.75" thickBot="1">
      <c r="A548" s="1">
        <v>547</v>
      </c>
      <c r="B548" s="2">
        <v>40567</v>
      </c>
      <c r="C548" s="1">
        <v>1</v>
      </c>
      <c r="D548" s="1">
        <v>0</v>
      </c>
      <c r="E548" s="1">
        <v>1</v>
      </c>
      <c r="F548" s="1">
        <v>22</v>
      </c>
      <c r="G548" s="3" t="b">
        <v>0</v>
      </c>
      <c r="H548" s="1">
        <v>1</v>
      </c>
      <c r="I548" s="1">
        <v>2</v>
      </c>
      <c r="J548" s="1">
        <v>0.14000000000000001</v>
      </c>
      <c r="K548">
        <f>VLOOKUP($A548,'Temprorary Data'!$A:$G,2,FALSE)</f>
        <v>0.13639999999999999</v>
      </c>
      <c r="L548">
        <f>VLOOKUP($A548,'Temprorary Data'!$A:$G,3,FALSE)</f>
        <v>0.63</v>
      </c>
      <c r="M548">
        <f>VLOOKUP($A548,'Temprorary Data'!$A:$G,4,FALSE)</f>
        <v>0.22389999999999999</v>
      </c>
      <c r="N548">
        <f>VLOOKUP($A548,'Temprorary Data'!$A:$G,5,FALSE)</f>
        <v>3</v>
      </c>
      <c r="O548">
        <f>VLOOKUP($A548,'Temprorary Data'!$A:$G,6,FALSE)</f>
        <v>32</v>
      </c>
      <c r="P548">
        <f>VLOOKUP($A548,'Temprorary Data'!$A:$G,7,FALSE)</f>
        <v>35</v>
      </c>
    </row>
    <row r="549" spans="1:16" ht="15.75" thickBot="1">
      <c r="A549" s="1">
        <v>548</v>
      </c>
      <c r="B549" s="2">
        <v>40567</v>
      </c>
      <c r="C549" s="1">
        <v>1</v>
      </c>
      <c r="D549" s="1">
        <v>0</v>
      </c>
      <c r="E549" s="1">
        <v>1</v>
      </c>
      <c r="F549" s="1">
        <v>23</v>
      </c>
      <c r="G549" s="3" t="b">
        <v>0</v>
      </c>
      <c r="H549" s="1">
        <v>1</v>
      </c>
      <c r="I549" s="1">
        <v>2</v>
      </c>
      <c r="J549" s="1">
        <v>0.16</v>
      </c>
      <c r="K549">
        <f>VLOOKUP($A549,'Temprorary Data'!$A:$G,2,FALSE)</f>
        <v>0.1515</v>
      </c>
      <c r="L549">
        <f>VLOOKUP($A549,'Temprorary Data'!$A:$G,3,FALSE)</f>
        <v>0.64</v>
      </c>
      <c r="M549">
        <f>VLOOKUP($A549,'Temprorary Data'!$A:$G,4,FALSE)</f>
        <v>0.25369999999999998</v>
      </c>
      <c r="N549">
        <f>VLOOKUP($A549,'Temprorary Data'!$A:$G,5,FALSE)</f>
        <v>3</v>
      </c>
      <c r="O549">
        <f>VLOOKUP($A549,'Temprorary Data'!$A:$G,6,FALSE)</f>
        <v>21</v>
      </c>
      <c r="P549">
        <f>VLOOKUP($A549,'Temprorary Data'!$A:$G,7,FALSE)</f>
        <v>24</v>
      </c>
    </row>
    <row r="550" spans="1:16" ht="15.75" thickBot="1">
      <c r="A550" s="1">
        <v>549</v>
      </c>
      <c r="B550" s="2">
        <v>40568</v>
      </c>
      <c r="C550" s="1">
        <v>1</v>
      </c>
      <c r="D550" s="1">
        <v>0</v>
      </c>
      <c r="E550" s="1">
        <v>1</v>
      </c>
      <c r="F550" s="1">
        <v>0</v>
      </c>
      <c r="G550" s="3" t="b">
        <v>0</v>
      </c>
      <c r="H550" s="1">
        <v>2</v>
      </c>
      <c r="I550" s="1">
        <v>2</v>
      </c>
      <c r="J550" s="1">
        <v>0.16</v>
      </c>
      <c r="K550">
        <f>VLOOKUP($A550,'Temprorary Data'!$A:$G,2,FALSE)</f>
        <v>0.13639999999999999</v>
      </c>
      <c r="L550">
        <f>VLOOKUP($A550,'Temprorary Data'!$A:$G,3,FALSE)</f>
        <v>0.69</v>
      </c>
      <c r="M550">
        <f>VLOOKUP($A550,'Temprorary Data'!$A:$G,4,FALSE)</f>
        <v>0.28360000000000002</v>
      </c>
      <c r="N550">
        <f>VLOOKUP($A550,'Temprorary Data'!$A:$G,5,FALSE)</f>
        <v>3</v>
      </c>
      <c r="O550">
        <f>VLOOKUP($A550,'Temprorary Data'!$A:$G,6,FALSE)</f>
        <v>6</v>
      </c>
      <c r="P550">
        <f>VLOOKUP($A550,'Temprorary Data'!$A:$G,7,FALSE)</f>
        <v>9</v>
      </c>
    </row>
    <row r="551" spans="1:16" ht="15.75" thickBot="1">
      <c r="A551" s="1">
        <v>550</v>
      </c>
      <c r="B551" s="2">
        <v>40568</v>
      </c>
      <c r="C551" s="1">
        <v>1</v>
      </c>
      <c r="D551" s="1">
        <v>0</v>
      </c>
      <c r="E551" s="1">
        <v>1</v>
      </c>
      <c r="F551" s="1">
        <v>1</v>
      </c>
      <c r="G551" s="3" t="b">
        <v>0</v>
      </c>
      <c r="H551" s="1">
        <v>2</v>
      </c>
      <c r="I551" s="1">
        <v>2</v>
      </c>
      <c r="J551" s="1">
        <v>0.16</v>
      </c>
      <c r="K551">
        <f>VLOOKUP($A551,'Temprorary Data'!$A:$G,2,FALSE)</f>
        <v>0.16669999999999999</v>
      </c>
      <c r="L551">
        <f>VLOOKUP($A551,'Temprorary Data'!$A:$G,3,FALSE)</f>
        <v>0.69</v>
      </c>
      <c r="M551">
        <f>VLOOKUP($A551,'Temprorary Data'!$A:$G,4,FALSE)</f>
        <v>0.16420000000000001</v>
      </c>
      <c r="N551">
        <f>VLOOKUP($A551,'Temprorary Data'!$A:$G,5,FALSE)</f>
        <v>0</v>
      </c>
      <c r="O551">
        <f>VLOOKUP($A551,'Temprorary Data'!$A:$G,6,FALSE)</f>
        <v>5</v>
      </c>
      <c r="P551">
        <f>VLOOKUP($A551,'Temprorary Data'!$A:$G,7,FALSE)</f>
        <v>5</v>
      </c>
    </row>
    <row r="552" spans="1:16" ht="15.75" thickBot="1">
      <c r="A552" s="1">
        <v>551</v>
      </c>
      <c r="B552" s="2">
        <v>40568</v>
      </c>
      <c r="C552" s="1">
        <v>1</v>
      </c>
      <c r="D552" s="1">
        <v>0</v>
      </c>
      <c r="E552" s="1">
        <v>1</v>
      </c>
      <c r="F552" s="1">
        <v>2</v>
      </c>
      <c r="G552" s="3" t="b">
        <v>0</v>
      </c>
      <c r="H552" s="1">
        <v>2</v>
      </c>
      <c r="I552" s="1">
        <v>1</v>
      </c>
      <c r="J552" s="1">
        <v>0.16</v>
      </c>
      <c r="K552">
        <f>VLOOKUP($A552,'Temprorary Data'!$A:$G,2,FALSE)</f>
        <v>0.1515</v>
      </c>
      <c r="L552">
        <f>VLOOKUP($A552,'Temprorary Data'!$A:$G,3,FALSE)</f>
        <v>0.69</v>
      </c>
      <c r="M552">
        <f>VLOOKUP($A552,'Temprorary Data'!$A:$G,4,FALSE)</f>
        <v>0.22389999999999999</v>
      </c>
      <c r="N552">
        <f>VLOOKUP($A552,'Temprorary Data'!$A:$G,5,FALSE)</f>
        <v>0</v>
      </c>
      <c r="O552">
        <f>VLOOKUP($A552,'Temprorary Data'!$A:$G,6,FALSE)</f>
        <v>2</v>
      </c>
      <c r="P552">
        <f>VLOOKUP($A552,'Temprorary Data'!$A:$G,7,FALSE)</f>
        <v>2</v>
      </c>
    </row>
    <row r="553" spans="1:16" ht="15.75" thickBot="1">
      <c r="A553" s="1">
        <v>552</v>
      </c>
      <c r="B553" s="2">
        <v>40568</v>
      </c>
      <c r="C553" s="1">
        <v>1</v>
      </c>
      <c r="D553" s="1">
        <v>0</v>
      </c>
      <c r="E553" s="1">
        <v>1</v>
      </c>
      <c r="F553" s="1">
        <v>4</v>
      </c>
      <c r="G553" s="3" t="b">
        <v>0</v>
      </c>
      <c r="H553" s="1">
        <v>2</v>
      </c>
      <c r="I553" s="1">
        <v>1</v>
      </c>
      <c r="J553" s="1">
        <v>0.14000000000000001</v>
      </c>
      <c r="K553">
        <f>VLOOKUP($A553,'Temprorary Data'!$A:$G,2,FALSE)</f>
        <v>0.16669999999999999</v>
      </c>
      <c r="L553">
        <f>VLOOKUP($A553,'Temprorary Data'!$A:$G,3,FALSE)</f>
        <v>0.74</v>
      </c>
      <c r="M553">
        <f>VLOOKUP($A553,'Temprorary Data'!$A:$G,4,FALSE)</f>
        <v>0.1045</v>
      </c>
      <c r="N553">
        <f>VLOOKUP($A553,'Temprorary Data'!$A:$G,5,FALSE)</f>
        <v>0</v>
      </c>
      <c r="O553">
        <f>VLOOKUP($A553,'Temprorary Data'!$A:$G,6,FALSE)</f>
        <v>1</v>
      </c>
      <c r="P553">
        <f>VLOOKUP($A553,'Temprorary Data'!$A:$G,7,FALSE)</f>
        <v>1</v>
      </c>
    </row>
    <row r="554" spans="1:16" ht="15.75" thickBot="1">
      <c r="A554" s="1">
        <v>553</v>
      </c>
      <c r="B554" s="2">
        <v>40568</v>
      </c>
      <c r="C554" s="1">
        <v>1</v>
      </c>
      <c r="D554" s="1">
        <v>0</v>
      </c>
      <c r="E554" s="1">
        <v>1</v>
      </c>
      <c r="F554" s="1">
        <v>5</v>
      </c>
      <c r="G554" s="3" t="b">
        <v>0</v>
      </c>
      <c r="H554" s="1">
        <v>2</v>
      </c>
      <c r="I554" s="1">
        <v>1</v>
      </c>
      <c r="J554" s="1">
        <v>0.14000000000000001</v>
      </c>
      <c r="K554">
        <f>VLOOKUP($A554,'Temprorary Data'!$A:$G,2,FALSE)</f>
        <v>0.13639999999999999</v>
      </c>
      <c r="L554">
        <f>VLOOKUP($A554,'Temprorary Data'!$A:$G,3,FALSE)</f>
        <v>0.74</v>
      </c>
      <c r="M554">
        <f>VLOOKUP($A554,'Temprorary Data'!$A:$G,4,FALSE)</f>
        <v>0.22389999999999999</v>
      </c>
      <c r="N554">
        <f>VLOOKUP($A554,'Temprorary Data'!$A:$G,5,FALSE)</f>
        <v>0</v>
      </c>
      <c r="O554">
        <f>VLOOKUP($A554,'Temprorary Data'!$A:$G,6,FALSE)</f>
        <v>9</v>
      </c>
      <c r="P554">
        <f>VLOOKUP($A554,'Temprorary Data'!$A:$G,7,FALSE)</f>
        <v>9</v>
      </c>
    </row>
    <row r="555" spans="1:16" ht="15.75" thickBot="1">
      <c r="A555" s="1">
        <v>554</v>
      </c>
      <c r="B555" s="2">
        <v>40568</v>
      </c>
      <c r="C555" s="1">
        <v>1</v>
      </c>
      <c r="D555" s="1">
        <v>0</v>
      </c>
      <c r="E555" s="1">
        <v>1</v>
      </c>
      <c r="F555" s="1">
        <v>6</v>
      </c>
      <c r="G555" s="3" t="b">
        <v>0</v>
      </c>
      <c r="H555" s="1">
        <v>2</v>
      </c>
      <c r="I555" s="1">
        <v>1</v>
      </c>
      <c r="J555" s="1">
        <v>0.16</v>
      </c>
      <c r="K555">
        <f>VLOOKUP($A555,'Temprorary Data'!$A:$G,2,FALSE)</f>
        <v>0.18179999999999999</v>
      </c>
      <c r="L555">
        <f>VLOOKUP($A555,'Temprorary Data'!$A:$G,3,FALSE)</f>
        <v>0.74</v>
      </c>
      <c r="M555">
        <f>VLOOKUP($A555,'Temprorary Data'!$A:$G,4,FALSE)</f>
        <v>0.1045</v>
      </c>
      <c r="N555">
        <f>VLOOKUP($A555,'Temprorary Data'!$A:$G,5,FALSE)</f>
        <v>1</v>
      </c>
      <c r="O555">
        <f>VLOOKUP($A555,'Temprorary Data'!$A:$G,6,FALSE)</f>
        <v>35</v>
      </c>
      <c r="P555">
        <f>VLOOKUP($A555,'Temprorary Data'!$A:$G,7,FALSE)</f>
        <v>36</v>
      </c>
    </row>
    <row r="556" spans="1:16" ht="15.75" thickBot="1">
      <c r="A556" s="1">
        <v>555</v>
      </c>
      <c r="B556" s="2">
        <v>40568</v>
      </c>
      <c r="C556" s="1">
        <v>1</v>
      </c>
      <c r="D556" s="1">
        <v>0</v>
      </c>
      <c r="E556" s="1">
        <v>1</v>
      </c>
      <c r="F556" s="1">
        <v>7</v>
      </c>
      <c r="G556" s="3" t="b">
        <v>0</v>
      </c>
      <c r="H556" s="1">
        <v>2</v>
      </c>
      <c r="I556" s="1">
        <v>1</v>
      </c>
      <c r="J556" s="1">
        <v>0.16</v>
      </c>
      <c r="K556">
        <f>VLOOKUP($A556,'Temprorary Data'!$A:$G,2,FALSE)</f>
        <v>0.1515</v>
      </c>
      <c r="L556">
        <f>VLOOKUP($A556,'Temprorary Data'!$A:$G,3,FALSE)</f>
        <v>0.74</v>
      </c>
      <c r="M556">
        <f>VLOOKUP($A556,'Temprorary Data'!$A:$G,4,FALSE)</f>
        <v>0.22389999999999999</v>
      </c>
      <c r="N556">
        <f>VLOOKUP($A556,'Temprorary Data'!$A:$G,5,FALSE)</f>
        <v>5</v>
      </c>
      <c r="O556">
        <f>VLOOKUP($A556,'Temprorary Data'!$A:$G,6,FALSE)</f>
        <v>103</v>
      </c>
      <c r="P556">
        <f>VLOOKUP($A556,'Temprorary Data'!$A:$G,7,FALSE)</f>
        <v>108</v>
      </c>
    </row>
    <row r="557" spans="1:16" ht="15.75" thickBot="1">
      <c r="A557" s="1">
        <v>556</v>
      </c>
      <c r="B557" s="2">
        <v>40568</v>
      </c>
      <c r="C557" s="1">
        <v>1</v>
      </c>
      <c r="D557" s="1">
        <v>0</v>
      </c>
      <c r="E557" s="1">
        <v>1</v>
      </c>
      <c r="F557" s="1">
        <v>8</v>
      </c>
      <c r="G557" s="3" t="b">
        <v>0</v>
      </c>
      <c r="H557" s="1">
        <v>2</v>
      </c>
      <c r="I557" s="1">
        <v>2</v>
      </c>
      <c r="J557" s="1">
        <v>0.16</v>
      </c>
      <c r="K557">
        <f>VLOOKUP($A557,'Temprorary Data'!$A:$G,2,FALSE)</f>
        <v>0.18179999999999999</v>
      </c>
      <c r="L557">
        <f>VLOOKUP($A557,'Temprorary Data'!$A:$G,3,FALSE)</f>
        <v>0.74</v>
      </c>
      <c r="M557">
        <f>VLOOKUP($A557,'Temprorary Data'!$A:$G,4,FALSE)</f>
        <v>0.1343</v>
      </c>
      <c r="N557">
        <f>VLOOKUP($A557,'Temprorary Data'!$A:$G,5,FALSE)</f>
        <v>5</v>
      </c>
      <c r="O557">
        <f>VLOOKUP($A557,'Temprorary Data'!$A:$G,6,FALSE)</f>
        <v>233</v>
      </c>
      <c r="P557">
        <f>VLOOKUP($A557,'Temprorary Data'!$A:$G,7,FALSE)</f>
        <v>238</v>
      </c>
    </row>
    <row r="558" spans="1:16" ht="15.75" thickBot="1">
      <c r="A558" s="1">
        <v>557</v>
      </c>
      <c r="B558" s="2">
        <v>40568</v>
      </c>
      <c r="C558" s="1">
        <v>1</v>
      </c>
      <c r="D558" s="1">
        <v>0</v>
      </c>
      <c r="E558" s="1">
        <v>1</v>
      </c>
      <c r="F558" s="1">
        <v>9</v>
      </c>
      <c r="G558" s="3" t="b">
        <v>0</v>
      </c>
      <c r="H558" s="1">
        <v>2</v>
      </c>
      <c r="I558" s="1">
        <v>2</v>
      </c>
      <c r="J558" s="1">
        <v>0.2</v>
      </c>
      <c r="K558">
        <f>VLOOKUP($A558,'Temprorary Data'!$A:$G,2,FALSE)</f>
        <v>0.2273</v>
      </c>
      <c r="L558">
        <f>VLOOKUP($A558,'Temprorary Data'!$A:$G,3,FALSE)</f>
        <v>0.64</v>
      </c>
      <c r="M558">
        <f>VLOOKUP($A558,'Temprorary Data'!$A:$G,4,FALSE)</f>
        <v>8.9599999999999999E-2</v>
      </c>
      <c r="N558">
        <f>VLOOKUP($A558,'Temprorary Data'!$A:$G,5,FALSE)</f>
        <v>10</v>
      </c>
      <c r="O558">
        <f>VLOOKUP($A558,'Temprorary Data'!$A:$G,6,FALSE)</f>
        <v>134</v>
      </c>
      <c r="P558">
        <f>VLOOKUP($A558,'Temprorary Data'!$A:$G,7,FALSE)</f>
        <v>144</v>
      </c>
    </row>
    <row r="559" spans="1:16" ht="15.75" thickBot="1">
      <c r="A559" s="1">
        <v>558</v>
      </c>
      <c r="B559" s="2">
        <v>40568</v>
      </c>
      <c r="C559" s="1">
        <v>1</v>
      </c>
      <c r="D559" s="1">
        <v>0</v>
      </c>
      <c r="E559" s="1">
        <v>1</v>
      </c>
      <c r="F559" s="1">
        <v>10</v>
      </c>
      <c r="G559" s="3" t="b">
        <v>0</v>
      </c>
      <c r="H559" s="1">
        <v>2</v>
      </c>
      <c r="I559" s="1">
        <v>2</v>
      </c>
      <c r="J559" s="1">
        <v>0.22</v>
      </c>
      <c r="K559">
        <f>VLOOKUP($A559,'Temprorary Data'!$A:$G,2,FALSE)</f>
        <v>0.2424</v>
      </c>
      <c r="L559">
        <f>VLOOKUP($A559,'Temprorary Data'!$A:$G,3,FALSE)</f>
        <v>0.6</v>
      </c>
      <c r="M559">
        <f>VLOOKUP($A559,'Temprorary Data'!$A:$G,4,FALSE)</f>
        <v>0.1045</v>
      </c>
      <c r="N559">
        <f>VLOOKUP($A559,'Temprorary Data'!$A:$G,5,FALSE)</f>
        <v>6</v>
      </c>
      <c r="O559">
        <f>VLOOKUP($A559,'Temprorary Data'!$A:$G,6,FALSE)</f>
        <v>49</v>
      </c>
      <c r="P559">
        <f>VLOOKUP($A559,'Temprorary Data'!$A:$G,7,FALSE)</f>
        <v>55</v>
      </c>
    </row>
    <row r="560" spans="1:16" ht="15.75" thickBot="1">
      <c r="A560" s="1">
        <v>559</v>
      </c>
      <c r="B560" s="2">
        <v>40568</v>
      </c>
      <c r="C560" s="1">
        <v>1</v>
      </c>
      <c r="D560" s="1">
        <v>0</v>
      </c>
      <c r="E560" s="1">
        <v>1</v>
      </c>
      <c r="F560" s="1">
        <v>11</v>
      </c>
      <c r="G560" s="3" t="b">
        <v>0</v>
      </c>
      <c r="H560" s="1">
        <v>2</v>
      </c>
      <c r="I560" s="1">
        <v>2</v>
      </c>
      <c r="J560" s="1">
        <v>0.24</v>
      </c>
      <c r="K560">
        <f>VLOOKUP($A560,'Temprorary Data'!$A:$G,2,FALSE)</f>
        <v>0.2424</v>
      </c>
      <c r="L560">
        <f>VLOOKUP($A560,'Temprorary Data'!$A:$G,3,FALSE)</f>
        <v>0.6</v>
      </c>
      <c r="M560">
        <f>VLOOKUP($A560,'Temprorary Data'!$A:$G,4,FALSE)</f>
        <v>0.1343</v>
      </c>
      <c r="N560">
        <f>VLOOKUP($A560,'Temprorary Data'!$A:$G,5,FALSE)</f>
        <v>6</v>
      </c>
      <c r="O560">
        <f>VLOOKUP($A560,'Temprorary Data'!$A:$G,6,FALSE)</f>
        <v>55</v>
      </c>
      <c r="P560">
        <f>VLOOKUP($A560,'Temprorary Data'!$A:$G,7,FALSE)</f>
        <v>61</v>
      </c>
    </row>
    <row r="561" spans="1:16" ht="15.75" thickBot="1">
      <c r="A561" s="1">
        <v>560</v>
      </c>
      <c r="B561" s="2">
        <v>40568</v>
      </c>
      <c r="C561" s="1">
        <v>1</v>
      </c>
      <c r="D561" s="1">
        <v>0</v>
      </c>
      <c r="E561" s="1">
        <v>1</v>
      </c>
      <c r="F561" s="1">
        <v>12</v>
      </c>
      <c r="G561" s="3" t="b">
        <v>0</v>
      </c>
      <c r="H561" s="1">
        <v>2</v>
      </c>
      <c r="I561" s="1">
        <v>2</v>
      </c>
      <c r="J561" s="1">
        <v>0.26</v>
      </c>
      <c r="K561">
        <f>VLOOKUP($A561,'Temprorary Data'!$A:$G,2,FALSE)</f>
        <v>0.28789999999999999</v>
      </c>
      <c r="L561">
        <f>VLOOKUP($A561,'Temprorary Data'!$A:$G,3,FALSE)</f>
        <v>0.56000000000000005</v>
      </c>
      <c r="M561">
        <f>VLOOKUP($A561,'Temprorary Data'!$A:$G,4,FALSE)</f>
        <v>8.9599999999999999E-2</v>
      </c>
      <c r="N561">
        <f>VLOOKUP($A561,'Temprorary Data'!$A:$G,5,FALSE)</f>
        <v>21</v>
      </c>
      <c r="O561">
        <f>VLOOKUP($A561,'Temprorary Data'!$A:$G,6,FALSE)</f>
        <v>85</v>
      </c>
      <c r="P561">
        <f>VLOOKUP($A561,'Temprorary Data'!$A:$G,7,FALSE)</f>
        <v>106</v>
      </c>
    </row>
    <row r="562" spans="1:16" ht="15.75" thickBot="1">
      <c r="A562" s="1">
        <v>561</v>
      </c>
      <c r="B562" s="2">
        <v>40568</v>
      </c>
      <c r="C562" s="1">
        <v>1</v>
      </c>
      <c r="D562" s="1">
        <v>0</v>
      </c>
      <c r="E562" s="1">
        <v>1</v>
      </c>
      <c r="F562" s="1">
        <v>13</v>
      </c>
      <c r="G562" s="3" t="b">
        <v>0</v>
      </c>
      <c r="H562" s="1">
        <v>2</v>
      </c>
      <c r="I562" s="1">
        <v>2</v>
      </c>
      <c r="J562" s="1">
        <v>0.26</v>
      </c>
      <c r="K562">
        <f>VLOOKUP($A562,'Temprorary Data'!$A:$G,2,FALSE)</f>
        <v>0.2727</v>
      </c>
      <c r="L562">
        <f>VLOOKUP($A562,'Temprorary Data'!$A:$G,3,FALSE)</f>
        <v>0.56000000000000005</v>
      </c>
      <c r="M562">
        <f>VLOOKUP($A562,'Temprorary Data'!$A:$G,4,FALSE)</f>
        <v>0.1343</v>
      </c>
      <c r="N562">
        <f>VLOOKUP($A562,'Temprorary Data'!$A:$G,5,FALSE)</f>
        <v>21</v>
      </c>
      <c r="O562">
        <f>VLOOKUP($A562,'Temprorary Data'!$A:$G,6,FALSE)</f>
        <v>72</v>
      </c>
      <c r="P562">
        <f>VLOOKUP($A562,'Temprorary Data'!$A:$G,7,FALSE)</f>
        <v>93</v>
      </c>
    </row>
    <row r="563" spans="1:16" ht="15.75" thickBot="1">
      <c r="A563" s="1">
        <v>562</v>
      </c>
      <c r="B563" s="2">
        <v>40568</v>
      </c>
      <c r="C563" s="1">
        <v>1</v>
      </c>
      <c r="D563" s="1">
        <v>0</v>
      </c>
      <c r="E563" s="1">
        <v>1</v>
      </c>
      <c r="F563" s="1">
        <v>14</v>
      </c>
      <c r="G563" s="3" t="b">
        <v>0</v>
      </c>
      <c r="H563" s="1">
        <v>2</v>
      </c>
      <c r="I563" s="1">
        <v>2</v>
      </c>
      <c r="J563" s="1">
        <v>0.3</v>
      </c>
      <c r="K563">
        <f>VLOOKUP($A563,'Temprorary Data'!$A:$G,2,FALSE)</f>
        <v>0.33329999999999999</v>
      </c>
      <c r="L563">
        <f>VLOOKUP($A563,'Temprorary Data'!$A:$G,3,FALSE)</f>
        <v>0.45</v>
      </c>
      <c r="M563">
        <f>VLOOKUP($A563,'Temprorary Data'!$A:$G,4,FALSE)</f>
        <v>0</v>
      </c>
      <c r="N563">
        <f>VLOOKUP($A563,'Temprorary Data'!$A:$G,5,FALSE)</f>
        <v>11</v>
      </c>
      <c r="O563">
        <f>VLOOKUP($A563,'Temprorary Data'!$A:$G,6,FALSE)</f>
        <v>57</v>
      </c>
      <c r="P563">
        <f>VLOOKUP($A563,'Temprorary Data'!$A:$G,7,FALSE)</f>
        <v>68</v>
      </c>
    </row>
    <row r="564" spans="1:16" ht="15.75" thickBot="1">
      <c r="A564" s="1">
        <v>563</v>
      </c>
      <c r="B564" s="2">
        <v>40568</v>
      </c>
      <c r="C564" s="1">
        <v>1</v>
      </c>
      <c r="D564" s="1">
        <v>0</v>
      </c>
      <c r="E564" s="1">
        <v>1</v>
      </c>
      <c r="F564" s="1">
        <v>15</v>
      </c>
      <c r="G564" s="3" t="b">
        <v>0</v>
      </c>
      <c r="H564" s="1">
        <v>2</v>
      </c>
      <c r="I564" s="1">
        <v>2</v>
      </c>
      <c r="J564" s="1">
        <v>0.32</v>
      </c>
      <c r="K564">
        <f>VLOOKUP($A564,'Temprorary Data'!$A:$G,2,FALSE)</f>
        <v>0.34849999999999998</v>
      </c>
      <c r="L564">
        <f>VLOOKUP($A564,'Temprorary Data'!$A:$G,3,FALSE)</f>
        <v>0.42</v>
      </c>
      <c r="M564">
        <f>VLOOKUP($A564,'Temprorary Data'!$A:$G,4,FALSE)</f>
        <v>0</v>
      </c>
      <c r="N564">
        <f>VLOOKUP($A564,'Temprorary Data'!$A:$G,5,FALSE)</f>
        <v>21</v>
      </c>
      <c r="O564">
        <f>VLOOKUP($A564,'Temprorary Data'!$A:$G,6,FALSE)</f>
        <v>63</v>
      </c>
      <c r="P564">
        <f>VLOOKUP($A564,'Temprorary Data'!$A:$G,7,FALSE)</f>
        <v>84</v>
      </c>
    </row>
    <row r="565" spans="1:16" ht="15.75" thickBot="1">
      <c r="A565" s="1">
        <v>564</v>
      </c>
      <c r="B565" s="2">
        <v>40568</v>
      </c>
      <c r="C565" s="1">
        <v>1</v>
      </c>
      <c r="D565" s="1">
        <v>0</v>
      </c>
      <c r="E565" s="1">
        <v>1</v>
      </c>
      <c r="F565" s="1">
        <v>16</v>
      </c>
      <c r="G565" s="3" t="b">
        <v>0</v>
      </c>
      <c r="H565" s="1">
        <v>2</v>
      </c>
      <c r="I565" s="1">
        <v>2</v>
      </c>
      <c r="J565" s="1">
        <v>0.32</v>
      </c>
      <c r="K565">
        <f>VLOOKUP($A565,'Temprorary Data'!$A:$G,2,FALSE)</f>
        <v>0.34849999999999998</v>
      </c>
      <c r="L565">
        <f>VLOOKUP($A565,'Temprorary Data'!$A:$G,3,FALSE)</f>
        <v>0.42</v>
      </c>
      <c r="M565">
        <f>VLOOKUP($A565,'Temprorary Data'!$A:$G,4,FALSE)</f>
        <v>0</v>
      </c>
      <c r="N565">
        <f>VLOOKUP($A565,'Temprorary Data'!$A:$G,5,FALSE)</f>
        <v>14</v>
      </c>
      <c r="O565">
        <f>VLOOKUP($A565,'Temprorary Data'!$A:$G,6,FALSE)</f>
        <v>102</v>
      </c>
      <c r="P565">
        <f>VLOOKUP($A565,'Temprorary Data'!$A:$G,7,FALSE)</f>
        <v>116</v>
      </c>
    </row>
    <row r="566" spans="1:16" ht="15.75" thickBot="1">
      <c r="A566" s="1">
        <v>565</v>
      </c>
      <c r="B566" s="2">
        <v>40568</v>
      </c>
      <c r="C566" s="1">
        <v>1</v>
      </c>
      <c r="D566" s="1">
        <v>0</v>
      </c>
      <c r="E566" s="1">
        <v>1</v>
      </c>
      <c r="F566" s="1">
        <v>17</v>
      </c>
      <c r="G566" s="3" t="b">
        <v>0</v>
      </c>
      <c r="H566" s="1">
        <v>2</v>
      </c>
      <c r="I566" s="1">
        <v>1</v>
      </c>
      <c r="J566" s="1">
        <v>0.3</v>
      </c>
      <c r="K566">
        <f>VLOOKUP($A566,'Temprorary Data'!$A:$G,2,FALSE)</f>
        <v>0.33329999999999999</v>
      </c>
      <c r="L566">
        <f>VLOOKUP($A566,'Temprorary Data'!$A:$G,3,FALSE)</f>
        <v>0.45</v>
      </c>
      <c r="M566">
        <f>VLOOKUP($A566,'Temprorary Data'!$A:$G,4,FALSE)</f>
        <v>0</v>
      </c>
      <c r="N566">
        <f>VLOOKUP($A566,'Temprorary Data'!$A:$G,5,FALSE)</f>
        <v>14</v>
      </c>
      <c r="O566">
        <f>VLOOKUP($A566,'Temprorary Data'!$A:$G,6,FALSE)</f>
        <v>208</v>
      </c>
      <c r="P566">
        <f>VLOOKUP($A566,'Temprorary Data'!$A:$G,7,FALSE)</f>
        <v>222</v>
      </c>
    </row>
    <row r="567" spans="1:16" ht="15.75" thickBot="1">
      <c r="A567" s="1">
        <v>566</v>
      </c>
      <c r="B567" s="2">
        <v>40568</v>
      </c>
      <c r="C567" s="1">
        <v>1</v>
      </c>
      <c r="D567" s="1">
        <v>0</v>
      </c>
      <c r="E567" s="1">
        <v>1</v>
      </c>
      <c r="F567" s="1">
        <v>18</v>
      </c>
      <c r="G567" s="3" t="b">
        <v>0</v>
      </c>
      <c r="H567" s="1">
        <v>2</v>
      </c>
      <c r="I567" s="1">
        <v>2</v>
      </c>
      <c r="J567" s="1">
        <v>0.3</v>
      </c>
      <c r="K567">
        <f>VLOOKUP($A567,'Temprorary Data'!$A:$G,2,FALSE)</f>
        <v>0.31819999999999998</v>
      </c>
      <c r="L567">
        <f>VLOOKUP($A567,'Temprorary Data'!$A:$G,3,FALSE)</f>
        <v>0.49</v>
      </c>
      <c r="M567">
        <f>VLOOKUP($A567,'Temprorary Data'!$A:$G,4,FALSE)</f>
        <v>8.9599999999999999E-2</v>
      </c>
      <c r="N567">
        <f>VLOOKUP($A567,'Temprorary Data'!$A:$G,5,FALSE)</f>
        <v>7</v>
      </c>
      <c r="O567">
        <f>VLOOKUP($A567,'Temprorary Data'!$A:$G,6,FALSE)</f>
        <v>218</v>
      </c>
      <c r="P567">
        <f>VLOOKUP($A567,'Temprorary Data'!$A:$G,7,FALSE)</f>
        <v>225</v>
      </c>
    </row>
    <row r="568" spans="1:16" ht="15.75" thickBot="1">
      <c r="A568" s="1">
        <v>567</v>
      </c>
      <c r="B568" s="2">
        <v>40568</v>
      </c>
      <c r="C568" s="1">
        <v>1</v>
      </c>
      <c r="D568" s="1">
        <v>0</v>
      </c>
      <c r="E568" s="1">
        <v>1</v>
      </c>
      <c r="F568" s="1">
        <v>19</v>
      </c>
      <c r="G568" s="3" t="b">
        <v>0</v>
      </c>
      <c r="H568" s="1">
        <v>2</v>
      </c>
      <c r="I568" s="1">
        <v>2</v>
      </c>
      <c r="J568" s="1">
        <v>0.26</v>
      </c>
      <c r="K568">
        <f>VLOOKUP($A568,'Temprorary Data'!$A:$G,2,FALSE)</f>
        <v>0.2576</v>
      </c>
      <c r="L568">
        <f>VLOOKUP($A568,'Temprorary Data'!$A:$G,3,FALSE)</f>
        <v>0.65</v>
      </c>
      <c r="M568">
        <f>VLOOKUP($A568,'Temprorary Data'!$A:$G,4,FALSE)</f>
        <v>0.16420000000000001</v>
      </c>
      <c r="N568">
        <f>VLOOKUP($A568,'Temprorary Data'!$A:$G,5,FALSE)</f>
        <v>13</v>
      </c>
      <c r="O568">
        <f>VLOOKUP($A568,'Temprorary Data'!$A:$G,6,FALSE)</f>
        <v>133</v>
      </c>
      <c r="P568">
        <f>VLOOKUP($A568,'Temprorary Data'!$A:$G,7,FALSE)</f>
        <v>146</v>
      </c>
    </row>
    <row r="569" spans="1:16" ht="15.75" thickBot="1">
      <c r="A569" s="1">
        <v>568</v>
      </c>
      <c r="B569" s="2">
        <v>40568</v>
      </c>
      <c r="C569" s="1">
        <v>1</v>
      </c>
      <c r="D569" s="1">
        <v>0</v>
      </c>
      <c r="E569" s="1">
        <v>1</v>
      </c>
      <c r="F569" s="1">
        <v>20</v>
      </c>
      <c r="G569" s="3" t="b">
        <v>0</v>
      </c>
      <c r="H569" s="1">
        <v>2</v>
      </c>
      <c r="I569" s="1">
        <v>1</v>
      </c>
      <c r="J569" s="1">
        <v>0.24</v>
      </c>
      <c r="K569">
        <f>VLOOKUP($A569,'Temprorary Data'!$A:$G,2,FALSE)</f>
        <v>0.2273</v>
      </c>
      <c r="L569">
        <f>VLOOKUP($A569,'Temprorary Data'!$A:$G,3,FALSE)</f>
        <v>0.65</v>
      </c>
      <c r="M569">
        <f>VLOOKUP($A569,'Temprorary Data'!$A:$G,4,FALSE)</f>
        <v>0.19400000000000001</v>
      </c>
      <c r="N569">
        <f>VLOOKUP($A569,'Temprorary Data'!$A:$G,5,FALSE)</f>
        <v>16</v>
      </c>
      <c r="O569">
        <f>VLOOKUP($A569,'Temprorary Data'!$A:$G,6,FALSE)</f>
        <v>103</v>
      </c>
      <c r="P569">
        <f>VLOOKUP($A569,'Temprorary Data'!$A:$G,7,FALSE)</f>
        <v>119</v>
      </c>
    </row>
    <row r="570" spans="1:16" ht="15.75" thickBot="1">
      <c r="A570" s="1">
        <v>569</v>
      </c>
      <c r="B570" s="2">
        <v>40568</v>
      </c>
      <c r="C570" s="1">
        <v>1</v>
      </c>
      <c r="D570" s="1">
        <v>0</v>
      </c>
      <c r="E570" s="1">
        <v>1</v>
      </c>
      <c r="F570" s="1">
        <v>21</v>
      </c>
      <c r="G570" s="3" t="b">
        <v>0</v>
      </c>
      <c r="H570" s="1">
        <v>2</v>
      </c>
      <c r="I570" s="1">
        <v>1</v>
      </c>
      <c r="J570" s="1">
        <v>0.24</v>
      </c>
      <c r="K570">
        <f>VLOOKUP($A570,'Temprorary Data'!$A:$G,2,FALSE)</f>
        <v>0.2273</v>
      </c>
      <c r="L570">
        <f>VLOOKUP($A570,'Temprorary Data'!$A:$G,3,FALSE)</f>
        <v>0.65</v>
      </c>
      <c r="M570">
        <f>VLOOKUP($A570,'Temprorary Data'!$A:$G,4,FALSE)</f>
        <v>0.19400000000000001</v>
      </c>
      <c r="N570">
        <f>VLOOKUP($A570,'Temprorary Data'!$A:$G,5,FALSE)</f>
        <v>5</v>
      </c>
      <c r="O570">
        <f>VLOOKUP($A570,'Temprorary Data'!$A:$G,6,FALSE)</f>
        <v>40</v>
      </c>
      <c r="P570">
        <f>VLOOKUP($A570,'Temprorary Data'!$A:$G,7,FALSE)</f>
        <v>45</v>
      </c>
    </row>
    <row r="571" spans="1:16" ht="15.75" thickBot="1">
      <c r="A571" s="1">
        <v>570</v>
      </c>
      <c r="B571" s="2">
        <v>40568</v>
      </c>
      <c r="C571" s="1">
        <v>1</v>
      </c>
      <c r="D571" s="1">
        <v>0</v>
      </c>
      <c r="E571" s="1">
        <v>1</v>
      </c>
      <c r="F571" s="1">
        <v>22</v>
      </c>
      <c r="G571" s="3" t="b">
        <v>0</v>
      </c>
      <c r="H571" s="1">
        <v>2</v>
      </c>
      <c r="I571" s="1">
        <v>1</v>
      </c>
      <c r="J571" s="1">
        <v>0.22</v>
      </c>
      <c r="K571">
        <f>VLOOKUP($A571,'Temprorary Data'!$A:$G,2,FALSE)</f>
        <v>0.2273</v>
      </c>
      <c r="L571">
        <f>VLOOKUP($A571,'Temprorary Data'!$A:$G,3,FALSE)</f>
        <v>0.64</v>
      </c>
      <c r="M571">
        <f>VLOOKUP($A571,'Temprorary Data'!$A:$G,4,FALSE)</f>
        <v>0.16420000000000001</v>
      </c>
      <c r="N571">
        <f>VLOOKUP($A571,'Temprorary Data'!$A:$G,5,FALSE)</f>
        <v>4</v>
      </c>
      <c r="O571">
        <f>VLOOKUP($A571,'Temprorary Data'!$A:$G,6,FALSE)</f>
        <v>49</v>
      </c>
      <c r="P571">
        <f>VLOOKUP($A571,'Temprorary Data'!$A:$G,7,FALSE)</f>
        <v>53</v>
      </c>
    </row>
    <row r="572" spans="1:16" ht="15.75" thickBot="1">
      <c r="A572" s="1">
        <v>571</v>
      </c>
      <c r="B572" s="2">
        <v>40568</v>
      </c>
      <c r="C572" s="1">
        <v>1</v>
      </c>
      <c r="D572" s="1">
        <v>0</v>
      </c>
      <c r="E572" s="1">
        <v>1</v>
      </c>
      <c r="F572" s="1">
        <v>23</v>
      </c>
      <c r="G572" s="3" t="b">
        <v>0</v>
      </c>
      <c r="H572" s="1">
        <v>2</v>
      </c>
      <c r="I572" s="1">
        <v>2</v>
      </c>
      <c r="J572" s="1">
        <v>0.22</v>
      </c>
      <c r="K572">
        <f>VLOOKUP($A572,'Temprorary Data'!$A:$G,2,FALSE)</f>
        <v>0.2273</v>
      </c>
      <c r="L572">
        <f>VLOOKUP($A572,'Temprorary Data'!$A:$G,3,FALSE)</f>
        <v>0.64</v>
      </c>
      <c r="M572">
        <f>VLOOKUP($A572,'Temprorary Data'!$A:$G,4,FALSE)</f>
        <v>0.16420000000000001</v>
      </c>
      <c r="N572">
        <f>VLOOKUP($A572,'Temprorary Data'!$A:$G,5,FALSE)</f>
        <v>3</v>
      </c>
      <c r="O572">
        <f>VLOOKUP($A572,'Temprorary Data'!$A:$G,6,FALSE)</f>
        <v>37</v>
      </c>
      <c r="P572">
        <f>VLOOKUP($A572,'Temprorary Data'!$A:$G,7,FALSE)</f>
        <v>40</v>
      </c>
    </row>
    <row r="573" spans="1:16" ht="15.75" thickBot="1">
      <c r="A573" s="1">
        <v>572</v>
      </c>
      <c r="B573" s="2">
        <v>40569</v>
      </c>
      <c r="C573" s="1">
        <v>1</v>
      </c>
      <c r="D573" s="1">
        <v>0</v>
      </c>
      <c r="E573" s="1">
        <v>1</v>
      </c>
      <c r="F573" s="1">
        <v>0</v>
      </c>
      <c r="G573" s="3" t="b">
        <v>0</v>
      </c>
      <c r="H573" s="1">
        <v>3</v>
      </c>
      <c r="I573" s="1">
        <v>2</v>
      </c>
      <c r="J573" s="1">
        <v>0.22</v>
      </c>
      <c r="K573">
        <f>VLOOKUP($A573,'Temprorary Data'!$A:$G,2,FALSE)</f>
        <v>0.2273</v>
      </c>
      <c r="L573">
        <f>VLOOKUP($A573,'Temprorary Data'!$A:$G,3,FALSE)</f>
        <v>0.69</v>
      </c>
      <c r="M573">
        <f>VLOOKUP($A573,'Temprorary Data'!$A:$G,4,FALSE)</f>
        <v>0.1343</v>
      </c>
      <c r="N573">
        <f>VLOOKUP($A573,'Temprorary Data'!$A:$G,5,FALSE)</f>
        <v>3</v>
      </c>
      <c r="O573">
        <f>VLOOKUP($A573,'Temprorary Data'!$A:$G,6,FALSE)</f>
        <v>14</v>
      </c>
      <c r="P573">
        <f>VLOOKUP($A573,'Temprorary Data'!$A:$G,7,FALSE)</f>
        <v>17</v>
      </c>
    </row>
    <row r="574" spans="1:16" ht="15.75" thickBot="1">
      <c r="A574" s="1">
        <v>573</v>
      </c>
      <c r="B574" s="2">
        <v>40569</v>
      </c>
      <c r="C574" s="1">
        <v>1</v>
      </c>
      <c r="D574" s="1">
        <v>0</v>
      </c>
      <c r="E574" s="1">
        <v>1</v>
      </c>
      <c r="F574" s="1">
        <v>1</v>
      </c>
      <c r="G574" s="3" t="b">
        <v>0</v>
      </c>
      <c r="H574" s="1">
        <v>3</v>
      </c>
      <c r="I574" s="1">
        <v>2</v>
      </c>
      <c r="J574" s="1">
        <v>0.24</v>
      </c>
      <c r="K574">
        <f>VLOOKUP($A574,'Temprorary Data'!$A:$G,2,FALSE)</f>
        <v>0.2424</v>
      </c>
      <c r="L574">
        <f>VLOOKUP($A574,'Temprorary Data'!$A:$G,3,FALSE)</f>
        <v>0.65</v>
      </c>
      <c r="M574">
        <f>VLOOKUP($A574,'Temprorary Data'!$A:$G,4,FALSE)</f>
        <v>0.1343</v>
      </c>
      <c r="N574">
        <f>VLOOKUP($A574,'Temprorary Data'!$A:$G,5,FALSE)</f>
        <v>0</v>
      </c>
      <c r="O574">
        <f>VLOOKUP($A574,'Temprorary Data'!$A:$G,6,FALSE)</f>
        <v>5</v>
      </c>
      <c r="P574">
        <f>VLOOKUP($A574,'Temprorary Data'!$A:$G,7,FALSE)</f>
        <v>5</v>
      </c>
    </row>
    <row r="575" spans="1:16" ht="15.75" thickBot="1">
      <c r="A575" s="1">
        <v>574</v>
      </c>
      <c r="B575" s="2">
        <v>40569</v>
      </c>
      <c r="C575" s="1">
        <v>1</v>
      </c>
      <c r="D575" s="1">
        <v>0</v>
      </c>
      <c r="E575" s="1">
        <v>1</v>
      </c>
      <c r="F575" s="1">
        <v>2</v>
      </c>
      <c r="G575" s="3" t="b">
        <v>0</v>
      </c>
      <c r="H575" s="1">
        <v>3</v>
      </c>
      <c r="I575" s="1">
        <v>3</v>
      </c>
      <c r="J575" s="1">
        <v>0.22</v>
      </c>
      <c r="K575">
        <f>VLOOKUP($A575,'Temprorary Data'!$A:$G,2,FALSE)</f>
        <v>0.2273</v>
      </c>
      <c r="L575">
        <f>VLOOKUP($A575,'Temprorary Data'!$A:$G,3,FALSE)</f>
        <v>0.69</v>
      </c>
      <c r="M575">
        <f>VLOOKUP($A575,'Temprorary Data'!$A:$G,4,FALSE)</f>
        <v>0.19400000000000001</v>
      </c>
      <c r="N575">
        <f>VLOOKUP($A575,'Temprorary Data'!$A:$G,5,FALSE)</f>
        <v>3</v>
      </c>
      <c r="O575">
        <f>VLOOKUP($A575,'Temprorary Data'!$A:$G,6,FALSE)</f>
        <v>7</v>
      </c>
      <c r="P575">
        <f>VLOOKUP($A575,'Temprorary Data'!$A:$G,7,FALSE)</f>
        <v>10</v>
      </c>
    </row>
    <row r="576" spans="1:16" ht="15.75" thickBot="1">
      <c r="A576" s="1">
        <v>575</v>
      </c>
      <c r="B576" s="2">
        <v>40569</v>
      </c>
      <c r="C576" s="1">
        <v>1</v>
      </c>
      <c r="D576" s="1">
        <v>0</v>
      </c>
      <c r="E576" s="1">
        <v>1</v>
      </c>
      <c r="F576" s="1">
        <v>5</v>
      </c>
      <c r="G576" s="3" t="b">
        <v>0</v>
      </c>
      <c r="H576" s="1">
        <v>3</v>
      </c>
      <c r="I576" s="1">
        <v>3</v>
      </c>
      <c r="J576" s="1">
        <v>0.2</v>
      </c>
      <c r="K576">
        <f>VLOOKUP($A576,'Temprorary Data'!$A:$G,2,FALSE)</f>
        <v>0.18179999999999999</v>
      </c>
      <c r="L576">
        <f>VLOOKUP($A576,'Temprorary Data'!$A:$G,3,FALSE)</f>
        <v>0.86</v>
      </c>
      <c r="M576">
        <f>VLOOKUP($A576,'Temprorary Data'!$A:$G,4,FALSE)</f>
        <v>0.28360000000000002</v>
      </c>
      <c r="N576">
        <f>VLOOKUP($A576,'Temprorary Data'!$A:$G,5,FALSE)</f>
        <v>0</v>
      </c>
      <c r="O576">
        <f>VLOOKUP($A576,'Temprorary Data'!$A:$G,6,FALSE)</f>
        <v>1</v>
      </c>
      <c r="P576">
        <f>VLOOKUP($A576,'Temprorary Data'!$A:$G,7,FALSE)</f>
        <v>1</v>
      </c>
    </row>
    <row r="577" spans="1:16" ht="15.75" thickBot="1">
      <c r="A577" s="1">
        <v>576</v>
      </c>
      <c r="B577" s="2">
        <v>40569</v>
      </c>
      <c r="C577" s="1">
        <v>1</v>
      </c>
      <c r="D577" s="1">
        <v>0</v>
      </c>
      <c r="E577" s="1">
        <v>1</v>
      </c>
      <c r="F577" s="1">
        <v>6</v>
      </c>
      <c r="G577" s="3" t="b">
        <v>0</v>
      </c>
      <c r="H577" s="1">
        <v>3</v>
      </c>
      <c r="I577" s="1">
        <v>3</v>
      </c>
      <c r="J577" s="1">
        <v>0.2</v>
      </c>
      <c r="K577">
        <f>VLOOKUP($A577,'Temprorary Data'!$A:$G,2,FALSE)</f>
        <v>0.18179999999999999</v>
      </c>
      <c r="L577">
        <f>VLOOKUP($A577,'Temprorary Data'!$A:$G,3,FALSE)</f>
        <v>0.86</v>
      </c>
      <c r="M577">
        <f>VLOOKUP($A577,'Temprorary Data'!$A:$G,4,FALSE)</f>
        <v>0.28360000000000002</v>
      </c>
      <c r="N577">
        <f>VLOOKUP($A577,'Temprorary Data'!$A:$G,5,FALSE)</f>
        <v>0</v>
      </c>
      <c r="O577">
        <f>VLOOKUP($A577,'Temprorary Data'!$A:$G,6,FALSE)</f>
        <v>8</v>
      </c>
      <c r="P577">
        <f>VLOOKUP($A577,'Temprorary Data'!$A:$G,7,FALSE)</f>
        <v>8</v>
      </c>
    </row>
    <row r="578" spans="1:16" ht="15.75" thickBot="1">
      <c r="A578" s="1">
        <v>577</v>
      </c>
      <c r="B578" s="2">
        <v>40569</v>
      </c>
      <c r="C578" s="1">
        <v>1</v>
      </c>
      <c r="D578" s="1">
        <v>0</v>
      </c>
      <c r="E578" s="1">
        <v>1</v>
      </c>
      <c r="F578" s="1">
        <v>7</v>
      </c>
      <c r="G578" s="3" t="b">
        <v>0</v>
      </c>
      <c r="H578" s="1">
        <v>3</v>
      </c>
      <c r="I578" s="1">
        <v>3</v>
      </c>
      <c r="J578" s="1">
        <v>0.22</v>
      </c>
      <c r="K578">
        <f>VLOOKUP($A578,'Temprorary Data'!$A:$G,2,FALSE)</f>
        <v>0.21210000000000001</v>
      </c>
      <c r="L578">
        <f>VLOOKUP($A578,'Temprorary Data'!$A:$G,3,FALSE)</f>
        <v>0.87</v>
      </c>
      <c r="M578">
        <f>VLOOKUP($A578,'Temprorary Data'!$A:$G,4,FALSE)</f>
        <v>0.29849999999999999</v>
      </c>
      <c r="N578">
        <f>VLOOKUP($A578,'Temprorary Data'!$A:$G,5,FALSE)</f>
        <v>1</v>
      </c>
      <c r="O578">
        <f>VLOOKUP($A578,'Temprorary Data'!$A:$G,6,FALSE)</f>
        <v>29</v>
      </c>
      <c r="P578">
        <f>VLOOKUP($A578,'Temprorary Data'!$A:$G,7,FALSE)</f>
        <v>30</v>
      </c>
    </row>
    <row r="579" spans="1:16" ht="15.75" thickBot="1">
      <c r="A579" s="1">
        <v>578</v>
      </c>
      <c r="B579" s="2">
        <v>40569</v>
      </c>
      <c r="C579" s="1">
        <v>1</v>
      </c>
      <c r="D579" s="1">
        <v>0</v>
      </c>
      <c r="E579" s="1">
        <v>1</v>
      </c>
      <c r="F579" s="1">
        <v>8</v>
      </c>
      <c r="G579" s="3" t="b">
        <v>0</v>
      </c>
      <c r="H579" s="1">
        <v>3</v>
      </c>
      <c r="I579" s="1">
        <v>3</v>
      </c>
      <c r="J579" s="1">
        <v>0.22</v>
      </c>
      <c r="K579">
        <f>VLOOKUP($A579,'Temprorary Data'!$A:$G,2,FALSE)</f>
        <v>0.21210000000000001</v>
      </c>
      <c r="L579">
        <f>VLOOKUP($A579,'Temprorary Data'!$A:$G,3,FALSE)</f>
        <v>0.87</v>
      </c>
      <c r="M579">
        <f>VLOOKUP($A579,'Temprorary Data'!$A:$G,4,FALSE)</f>
        <v>0.29849999999999999</v>
      </c>
      <c r="N579">
        <f>VLOOKUP($A579,'Temprorary Data'!$A:$G,5,FALSE)</f>
        <v>3</v>
      </c>
      <c r="O579">
        <f>VLOOKUP($A579,'Temprorary Data'!$A:$G,6,FALSE)</f>
        <v>69</v>
      </c>
      <c r="P579">
        <f>VLOOKUP($A579,'Temprorary Data'!$A:$G,7,FALSE)</f>
        <v>72</v>
      </c>
    </row>
    <row r="580" spans="1:16" ht="15.75" thickBot="1">
      <c r="A580" s="1">
        <v>579</v>
      </c>
      <c r="B580" s="2">
        <v>40569</v>
      </c>
      <c r="C580" s="1">
        <v>1</v>
      </c>
      <c r="D580" s="1">
        <v>0</v>
      </c>
      <c r="E580" s="1">
        <v>1</v>
      </c>
      <c r="F580" s="1">
        <v>9</v>
      </c>
      <c r="G580" s="3" t="b">
        <v>0</v>
      </c>
      <c r="H580" s="1">
        <v>3</v>
      </c>
      <c r="I580" s="1">
        <v>3</v>
      </c>
      <c r="J580" s="1">
        <v>0.22</v>
      </c>
      <c r="K580">
        <f>VLOOKUP($A580,'Temprorary Data'!$A:$G,2,FALSE)</f>
        <v>0.21210000000000001</v>
      </c>
      <c r="L580">
        <f>VLOOKUP($A580,'Temprorary Data'!$A:$G,3,FALSE)</f>
        <v>0.87</v>
      </c>
      <c r="M580">
        <f>VLOOKUP($A580,'Temprorary Data'!$A:$G,4,FALSE)</f>
        <v>0.29849999999999999</v>
      </c>
      <c r="N580">
        <f>VLOOKUP($A580,'Temprorary Data'!$A:$G,5,FALSE)</f>
        <v>3</v>
      </c>
      <c r="O580">
        <f>VLOOKUP($A580,'Temprorary Data'!$A:$G,6,FALSE)</f>
        <v>55</v>
      </c>
      <c r="P580">
        <f>VLOOKUP($A580,'Temprorary Data'!$A:$G,7,FALSE)</f>
        <v>58</v>
      </c>
    </row>
    <row r="581" spans="1:16" ht="15.75" thickBot="1">
      <c r="A581" s="1">
        <v>580</v>
      </c>
      <c r="B581" s="2">
        <v>40569</v>
      </c>
      <c r="C581" s="1">
        <v>1</v>
      </c>
      <c r="D581" s="1">
        <v>0</v>
      </c>
      <c r="E581" s="1">
        <v>1</v>
      </c>
      <c r="F581" s="1">
        <v>10</v>
      </c>
      <c r="G581" s="3" t="b">
        <v>0</v>
      </c>
      <c r="H581" s="1">
        <v>3</v>
      </c>
      <c r="I581" s="1">
        <v>3</v>
      </c>
      <c r="J581" s="1">
        <v>0.22</v>
      </c>
      <c r="K581">
        <f>VLOOKUP($A581,'Temprorary Data'!$A:$G,2,FALSE)</f>
        <v>0.21210000000000001</v>
      </c>
      <c r="L581">
        <f>VLOOKUP($A581,'Temprorary Data'!$A:$G,3,FALSE)</f>
        <v>0.93</v>
      </c>
      <c r="M581">
        <f>VLOOKUP($A581,'Temprorary Data'!$A:$G,4,FALSE)</f>
        <v>0.28360000000000002</v>
      </c>
      <c r="N581">
        <f>VLOOKUP($A581,'Temprorary Data'!$A:$G,5,FALSE)</f>
        <v>2</v>
      </c>
      <c r="O581">
        <f>VLOOKUP($A581,'Temprorary Data'!$A:$G,6,FALSE)</f>
        <v>26</v>
      </c>
      <c r="P581">
        <f>VLOOKUP($A581,'Temprorary Data'!$A:$G,7,FALSE)</f>
        <v>28</v>
      </c>
    </row>
    <row r="582" spans="1:16" ht="15.75" thickBot="1">
      <c r="A582" s="1">
        <v>581</v>
      </c>
      <c r="B582" s="2">
        <v>40569</v>
      </c>
      <c r="C582" s="1">
        <v>1</v>
      </c>
      <c r="D582" s="1">
        <v>0</v>
      </c>
      <c r="E582" s="1">
        <v>1</v>
      </c>
      <c r="F582" s="1">
        <v>11</v>
      </c>
      <c r="G582" s="3" t="b">
        <v>0</v>
      </c>
      <c r="H582" s="1">
        <v>3</v>
      </c>
      <c r="I582" s="1">
        <v>3</v>
      </c>
      <c r="J582" s="1">
        <v>0.22</v>
      </c>
      <c r="K582">
        <f>VLOOKUP($A582,'Temprorary Data'!$A:$G,2,FALSE)</f>
        <v>0.19700000000000001</v>
      </c>
      <c r="L582">
        <f>VLOOKUP($A582,'Temprorary Data'!$A:$G,3,FALSE)</f>
        <v>0.93</v>
      </c>
      <c r="M582">
        <f>VLOOKUP($A582,'Temprorary Data'!$A:$G,4,FALSE)</f>
        <v>0.32840000000000003</v>
      </c>
      <c r="N582">
        <f>VLOOKUP($A582,'Temprorary Data'!$A:$G,5,FALSE)</f>
        <v>6</v>
      </c>
      <c r="O582">
        <f>VLOOKUP($A582,'Temprorary Data'!$A:$G,6,FALSE)</f>
        <v>35</v>
      </c>
      <c r="P582">
        <f>VLOOKUP($A582,'Temprorary Data'!$A:$G,7,FALSE)</f>
        <v>41</v>
      </c>
    </row>
    <row r="583" spans="1:16" ht="15.75" thickBot="1">
      <c r="A583" s="1">
        <v>582</v>
      </c>
      <c r="B583" s="2">
        <v>40569</v>
      </c>
      <c r="C583" s="1">
        <v>1</v>
      </c>
      <c r="D583" s="1">
        <v>0</v>
      </c>
      <c r="E583" s="1">
        <v>1</v>
      </c>
      <c r="F583" s="1">
        <v>12</v>
      </c>
      <c r="G583" s="3" t="b">
        <v>0</v>
      </c>
      <c r="H583" s="1">
        <v>3</v>
      </c>
      <c r="I583" s="1">
        <v>3</v>
      </c>
      <c r="J583" s="1">
        <v>0.22</v>
      </c>
      <c r="K583">
        <f>VLOOKUP($A583,'Temprorary Data'!$A:$G,2,FALSE)</f>
        <v>0.19700000000000001</v>
      </c>
      <c r="L583">
        <f>VLOOKUP($A583,'Temprorary Data'!$A:$G,3,FALSE)</f>
        <v>0.93</v>
      </c>
      <c r="M583">
        <f>VLOOKUP($A583,'Temprorary Data'!$A:$G,4,FALSE)</f>
        <v>0.32840000000000003</v>
      </c>
      <c r="N583">
        <f>VLOOKUP($A583,'Temprorary Data'!$A:$G,5,FALSE)</f>
        <v>7</v>
      </c>
      <c r="O583">
        <f>VLOOKUP($A583,'Temprorary Data'!$A:$G,6,FALSE)</f>
        <v>41</v>
      </c>
      <c r="P583">
        <f>VLOOKUP($A583,'Temprorary Data'!$A:$G,7,FALSE)</f>
        <v>48</v>
      </c>
    </row>
    <row r="584" spans="1:16" ht="15.75" thickBot="1">
      <c r="A584" s="1">
        <v>583</v>
      </c>
      <c r="B584" s="2">
        <v>40569</v>
      </c>
      <c r="C584" s="1">
        <v>1</v>
      </c>
      <c r="D584" s="1">
        <v>0</v>
      </c>
      <c r="E584" s="1">
        <v>1</v>
      </c>
      <c r="F584" s="1">
        <v>13</v>
      </c>
      <c r="G584" s="3" t="b">
        <v>0</v>
      </c>
      <c r="H584" s="1">
        <v>3</v>
      </c>
      <c r="I584" s="1">
        <v>3</v>
      </c>
      <c r="J584" s="1">
        <v>0.22</v>
      </c>
      <c r="K584">
        <f>VLOOKUP($A584,'Temprorary Data'!$A:$G,2,FALSE)</f>
        <v>0.19700000000000001</v>
      </c>
      <c r="L584">
        <f>VLOOKUP($A584,'Temprorary Data'!$A:$G,3,FALSE)</f>
        <v>0.93</v>
      </c>
      <c r="M584">
        <f>VLOOKUP($A584,'Temprorary Data'!$A:$G,4,FALSE)</f>
        <v>0.32840000000000003</v>
      </c>
      <c r="N584">
        <f>VLOOKUP($A584,'Temprorary Data'!$A:$G,5,FALSE)</f>
        <v>4</v>
      </c>
      <c r="O584">
        <f>VLOOKUP($A584,'Temprorary Data'!$A:$G,6,FALSE)</f>
        <v>43</v>
      </c>
      <c r="P584">
        <f>VLOOKUP($A584,'Temprorary Data'!$A:$G,7,FALSE)</f>
        <v>47</v>
      </c>
    </row>
    <row r="585" spans="1:16" ht="15.75" thickBot="1">
      <c r="A585" s="1">
        <v>584</v>
      </c>
      <c r="B585" s="2">
        <v>40569</v>
      </c>
      <c r="C585" s="1">
        <v>1</v>
      </c>
      <c r="D585" s="1">
        <v>0</v>
      </c>
      <c r="E585" s="1">
        <v>1</v>
      </c>
      <c r="F585" s="1">
        <v>14</v>
      </c>
      <c r="G585" s="3" t="b">
        <v>0</v>
      </c>
      <c r="H585" s="1">
        <v>3</v>
      </c>
      <c r="I585" s="1">
        <v>3</v>
      </c>
      <c r="J585" s="1">
        <v>0.22</v>
      </c>
      <c r="K585">
        <f>VLOOKUP($A585,'Temprorary Data'!$A:$G,2,FALSE)</f>
        <v>0.19700000000000001</v>
      </c>
      <c r="L585">
        <f>VLOOKUP($A585,'Temprorary Data'!$A:$G,3,FALSE)</f>
        <v>0.93</v>
      </c>
      <c r="M585">
        <f>VLOOKUP($A585,'Temprorary Data'!$A:$G,4,FALSE)</f>
        <v>0.35820000000000002</v>
      </c>
      <c r="N585">
        <f>VLOOKUP($A585,'Temprorary Data'!$A:$G,5,FALSE)</f>
        <v>0</v>
      </c>
      <c r="O585">
        <f>VLOOKUP($A585,'Temprorary Data'!$A:$G,6,FALSE)</f>
        <v>36</v>
      </c>
      <c r="P585">
        <f>VLOOKUP($A585,'Temprorary Data'!$A:$G,7,FALSE)</f>
        <v>36</v>
      </c>
    </row>
    <row r="586" spans="1:16" ht="15.75" thickBot="1">
      <c r="A586" s="1">
        <v>585</v>
      </c>
      <c r="B586" s="2">
        <v>40569</v>
      </c>
      <c r="C586" s="1">
        <v>1</v>
      </c>
      <c r="D586" s="1">
        <v>0</v>
      </c>
      <c r="E586" s="1">
        <v>1</v>
      </c>
      <c r="F586" s="1">
        <v>15</v>
      </c>
      <c r="G586" s="3" t="b">
        <v>0</v>
      </c>
      <c r="H586" s="1">
        <v>3</v>
      </c>
      <c r="I586" s="1">
        <v>3</v>
      </c>
      <c r="J586" s="1">
        <v>0.22</v>
      </c>
      <c r="K586">
        <f>VLOOKUP($A586,'Temprorary Data'!$A:$G,2,FALSE)</f>
        <v>0.18179999999999999</v>
      </c>
      <c r="L586">
        <f>VLOOKUP($A586,'Temprorary Data'!$A:$G,3,FALSE)</f>
        <v>0.93</v>
      </c>
      <c r="M586">
        <f>VLOOKUP($A586,'Temprorary Data'!$A:$G,4,FALSE)</f>
        <v>0.4627</v>
      </c>
      <c r="N586">
        <f>VLOOKUP($A586,'Temprorary Data'!$A:$G,5,FALSE)</f>
        <v>1</v>
      </c>
      <c r="O586">
        <f>VLOOKUP($A586,'Temprorary Data'!$A:$G,6,FALSE)</f>
        <v>42</v>
      </c>
      <c r="P586">
        <f>VLOOKUP($A586,'Temprorary Data'!$A:$G,7,FALSE)</f>
        <v>43</v>
      </c>
    </row>
    <row r="587" spans="1:16" ht="15.75" thickBot="1">
      <c r="A587" s="1">
        <v>586</v>
      </c>
      <c r="B587" s="2">
        <v>40569</v>
      </c>
      <c r="C587" s="1">
        <v>1</v>
      </c>
      <c r="D587" s="1">
        <v>0</v>
      </c>
      <c r="E587" s="1">
        <v>1</v>
      </c>
      <c r="F587" s="1">
        <v>16</v>
      </c>
      <c r="G587" s="3" t="b">
        <v>0</v>
      </c>
      <c r="H587" s="1">
        <v>3</v>
      </c>
      <c r="I587" s="1">
        <v>4</v>
      </c>
      <c r="J587" s="1">
        <v>0.22</v>
      </c>
      <c r="K587">
        <f>VLOOKUP($A587,'Temprorary Data'!$A:$G,2,FALSE)</f>
        <v>0.19700000000000001</v>
      </c>
      <c r="L587">
        <f>VLOOKUP($A587,'Temprorary Data'!$A:$G,3,FALSE)</f>
        <v>0.93</v>
      </c>
      <c r="M587">
        <f>VLOOKUP($A587,'Temprorary Data'!$A:$G,4,FALSE)</f>
        <v>0.32840000000000003</v>
      </c>
      <c r="N587">
        <f>VLOOKUP($A587,'Temprorary Data'!$A:$G,5,FALSE)</f>
        <v>1</v>
      </c>
      <c r="O587">
        <f>VLOOKUP($A587,'Temprorary Data'!$A:$G,6,FALSE)</f>
        <v>35</v>
      </c>
      <c r="P587">
        <f>VLOOKUP($A587,'Temprorary Data'!$A:$G,7,FALSE)</f>
        <v>36</v>
      </c>
    </row>
    <row r="588" spans="1:16" ht="15.75" thickBot="1">
      <c r="A588" s="1">
        <v>587</v>
      </c>
      <c r="B588" s="2">
        <v>40569</v>
      </c>
      <c r="C588" s="1">
        <v>1</v>
      </c>
      <c r="D588" s="1">
        <v>0</v>
      </c>
      <c r="E588" s="1">
        <v>1</v>
      </c>
      <c r="F588" s="1">
        <v>17</v>
      </c>
      <c r="G588" s="3" t="b">
        <v>0</v>
      </c>
      <c r="H588" s="1">
        <v>3</v>
      </c>
      <c r="I588" s="1">
        <v>3</v>
      </c>
      <c r="J588" s="1">
        <v>0.2</v>
      </c>
      <c r="K588">
        <f>VLOOKUP($A588,'Temprorary Data'!$A:$G,2,FALSE)</f>
        <v>0.18179999999999999</v>
      </c>
      <c r="L588">
        <f>VLOOKUP($A588,'Temprorary Data'!$A:$G,3,FALSE)</f>
        <v>0.93</v>
      </c>
      <c r="M588">
        <f>VLOOKUP($A588,'Temprorary Data'!$A:$G,4,FALSE)</f>
        <v>0.35820000000000002</v>
      </c>
      <c r="N588">
        <f>VLOOKUP($A588,'Temprorary Data'!$A:$G,5,FALSE)</f>
        <v>0</v>
      </c>
      <c r="O588">
        <f>VLOOKUP($A588,'Temprorary Data'!$A:$G,6,FALSE)</f>
        <v>26</v>
      </c>
      <c r="P588">
        <f>VLOOKUP($A588,'Temprorary Data'!$A:$G,7,FALSE)</f>
        <v>26</v>
      </c>
    </row>
    <row r="589" spans="1:16" ht="15.75" thickBot="1">
      <c r="A589" s="1">
        <v>588</v>
      </c>
      <c r="B589" s="2">
        <v>40570</v>
      </c>
      <c r="C589" s="1">
        <v>1</v>
      </c>
      <c r="D589" s="1">
        <v>0</v>
      </c>
      <c r="E589" s="1">
        <v>1</v>
      </c>
      <c r="F589" s="1">
        <v>16</v>
      </c>
      <c r="G589" s="3" t="b">
        <v>0</v>
      </c>
      <c r="H589" s="1">
        <v>4</v>
      </c>
      <c r="I589" s="1">
        <v>1</v>
      </c>
      <c r="J589" s="1">
        <v>0.22</v>
      </c>
      <c r="K589">
        <f>VLOOKUP($A589,'Temprorary Data'!$A:$G,2,FALSE)</f>
        <v>0.2273</v>
      </c>
      <c r="L589">
        <f>VLOOKUP($A589,'Temprorary Data'!$A:$G,3,FALSE)</f>
        <v>0.55000000000000004</v>
      </c>
      <c r="M589">
        <f>VLOOKUP($A589,'Temprorary Data'!$A:$G,4,FALSE)</f>
        <v>0.19400000000000001</v>
      </c>
      <c r="N589">
        <f>VLOOKUP($A589,'Temprorary Data'!$A:$G,5,FALSE)</f>
        <v>1</v>
      </c>
      <c r="O589">
        <f>VLOOKUP($A589,'Temprorary Data'!$A:$G,6,FALSE)</f>
        <v>23</v>
      </c>
      <c r="P589">
        <f>VLOOKUP($A589,'Temprorary Data'!$A:$G,7,FALSE)</f>
        <v>24</v>
      </c>
    </row>
    <row r="590" spans="1:16" ht="15.75" thickBot="1">
      <c r="A590" s="1">
        <v>589</v>
      </c>
      <c r="B590" s="2">
        <v>40570</v>
      </c>
      <c r="C590" s="1">
        <v>1</v>
      </c>
      <c r="D590" s="1">
        <v>0</v>
      </c>
      <c r="E590" s="1">
        <v>1</v>
      </c>
      <c r="F590" s="1">
        <v>17</v>
      </c>
      <c r="G590" s="3" t="b">
        <v>0</v>
      </c>
      <c r="H590" s="1">
        <v>4</v>
      </c>
      <c r="I590" s="1">
        <v>1</v>
      </c>
      <c r="J590" s="1">
        <v>0.22</v>
      </c>
      <c r="K590">
        <f>VLOOKUP($A590,'Temprorary Data'!$A:$G,2,FALSE)</f>
        <v>0.2424</v>
      </c>
      <c r="L590">
        <f>VLOOKUP($A590,'Temprorary Data'!$A:$G,3,FALSE)</f>
        <v>0.55000000000000004</v>
      </c>
      <c r="M590">
        <f>VLOOKUP($A590,'Temprorary Data'!$A:$G,4,FALSE)</f>
        <v>0.1045</v>
      </c>
      <c r="N590">
        <f>VLOOKUP($A590,'Temprorary Data'!$A:$G,5,FALSE)</f>
        <v>2</v>
      </c>
      <c r="O590">
        <f>VLOOKUP($A590,'Temprorary Data'!$A:$G,6,FALSE)</f>
        <v>82</v>
      </c>
      <c r="P590">
        <f>VLOOKUP($A590,'Temprorary Data'!$A:$G,7,FALSE)</f>
        <v>84</v>
      </c>
    </row>
    <row r="591" spans="1:16" ht="15.75" thickBot="1">
      <c r="A591" s="1">
        <v>590</v>
      </c>
      <c r="B591" s="2">
        <v>40570</v>
      </c>
      <c r="C591" s="1">
        <v>1</v>
      </c>
      <c r="D591" s="1">
        <v>0</v>
      </c>
      <c r="E591" s="1">
        <v>1</v>
      </c>
      <c r="F591" s="1">
        <v>18</v>
      </c>
      <c r="G591" s="3" t="b">
        <v>0</v>
      </c>
      <c r="H591" s="1">
        <v>4</v>
      </c>
      <c r="I591" s="1">
        <v>1</v>
      </c>
      <c r="J591" s="1">
        <v>0.2</v>
      </c>
      <c r="K591">
        <f>VLOOKUP($A591,'Temprorary Data'!$A:$G,2,FALSE)</f>
        <v>0.2273</v>
      </c>
      <c r="L591">
        <f>VLOOKUP($A591,'Temprorary Data'!$A:$G,3,FALSE)</f>
        <v>0.69</v>
      </c>
      <c r="M591">
        <f>VLOOKUP($A591,'Temprorary Data'!$A:$G,4,FALSE)</f>
        <v>8.9599999999999999E-2</v>
      </c>
      <c r="N591">
        <f>VLOOKUP($A591,'Temprorary Data'!$A:$G,5,FALSE)</f>
        <v>3</v>
      </c>
      <c r="O591">
        <f>VLOOKUP($A591,'Temprorary Data'!$A:$G,6,FALSE)</f>
        <v>101</v>
      </c>
      <c r="P591">
        <f>VLOOKUP($A591,'Temprorary Data'!$A:$G,7,FALSE)</f>
        <v>104</v>
      </c>
    </row>
    <row r="592" spans="1:16" ht="15.75" thickBot="1">
      <c r="A592" s="1">
        <v>591</v>
      </c>
      <c r="B592" s="2">
        <v>40570</v>
      </c>
      <c r="C592" s="1">
        <v>1</v>
      </c>
      <c r="D592" s="1">
        <v>0</v>
      </c>
      <c r="E592" s="1">
        <v>1</v>
      </c>
      <c r="F592" s="1">
        <v>19</v>
      </c>
      <c r="G592" s="3" t="b">
        <v>0</v>
      </c>
      <c r="H592" s="1">
        <v>4</v>
      </c>
      <c r="I592" s="1">
        <v>1</v>
      </c>
      <c r="J592" s="1">
        <v>0.2</v>
      </c>
      <c r="K592">
        <f>VLOOKUP($A592,'Temprorary Data'!$A:$G,2,FALSE)</f>
        <v>0.2273</v>
      </c>
      <c r="L592">
        <f>VLOOKUP($A592,'Temprorary Data'!$A:$G,3,FALSE)</f>
        <v>0.69</v>
      </c>
      <c r="M592">
        <f>VLOOKUP($A592,'Temprorary Data'!$A:$G,4,FALSE)</f>
        <v>8.9599999999999999E-2</v>
      </c>
      <c r="N592">
        <f>VLOOKUP($A592,'Temprorary Data'!$A:$G,5,FALSE)</f>
        <v>3</v>
      </c>
      <c r="O592">
        <f>VLOOKUP($A592,'Temprorary Data'!$A:$G,6,FALSE)</f>
        <v>76</v>
      </c>
      <c r="P592">
        <f>VLOOKUP($A592,'Temprorary Data'!$A:$G,7,FALSE)</f>
        <v>79</v>
      </c>
    </row>
    <row r="593" spans="1:16" ht="15.75" thickBot="1">
      <c r="A593" s="1">
        <v>592</v>
      </c>
      <c r="B593" s="2">
        <v>40570</v>
      </c>
      <c r="C593" s="1">
        <v>1</v>
      </c>
      <c r="D593" s="1">
        <v>0</v>
      </c>
      <c r="E593" s="1">
        <v>1</v>
      </c>
      <c r="F593" s="1">
        <v>20</v>
      </c>
      <c r="G593" s="3" t="b">
        <v>0</v>
      </c>
      <c r="H593" s="1">
        <v>4</v>
      </c>
      <c r="I593" s="1">
        <v>1</v>
      </c>
      <c r="J593" s="1">
        <v>0.18</v>
      </c>
      <c r="K593">
        <f>VLOOKUP($A593,'Temprorary Data'!$A:$G,2,FALSE)</f>
        <v>0.21210000000000001</v>
      </c>
      <c r="L593">
        <f>VLOOKUP($A593,'Temprorary Data'!$A:$G,3,FALSE)</f>
        <v>0.74</v>
      </c>
      <c r="M593">
        <f>VLOOKUP($A593,'Temprorary Data'!$A:$G,4,FALSE)</f>
        <v>8.9599999999999999E-2</v>
      </c>
      <c r="N593">
        <f>VLOOKUP($A593,'Temprorary Data'!$A:$G,5,FALSE)</f>
        <v>4</v>
      </c>
      <c r="O593">
        <f>VLOOKUP($A593,'Temprorary Data'!$A:$G,6,FALSE)</f>
        <v>55</v>
      </c>
      <c r="P593">
        <f>VLOOKUP($A593,'Temprorary Data'!$A:$G,7,FALSE)</f>
        <v>59</v>
      </c>
    </row>
    <row r="594" spans="1:16" ht="15.75" thickBot="1">
      <c r="A594" s="1">
        <v>593</v>
      </c>
      <c r="B594" s="2">
        <v>40570</v>
      </c>
      <c r="C594" s="1">
        <v>1</v>
      </c>
      <c r="D594" s="1">
        <v>0</v>
      </c>
      <c r="E594" s="1">
        <v>1</v>
      </c>
      <c r="F594" s="1">
        <v>21</v>
      </c>
      <c r="G594" s="3" t="b">
        <v>0</v>
      </c>
      <c r="H594" s="1">
        <v>4</v>
      </c>
      <c r="I594" s="1">
        <v>1</v>
      </c>
      <c r="J594" s="1">
        <v>0.18</v>
      </c>
      <c r="K594">
        <f>VLOOKUP($A594,'Temprorary Data'!$A:$G,2,FALSE)</f>
        <v>0.21210000000000001</v>
      </c>
      <c r="L594">
        <f>VLOOKUP($A594,'Temprorary Data'!$A:$G,3,FALSE)</f>
        <v>0.74</v>
      </c>
      <c r="M594">
        <f>VLOOKUP($A594,'Temprorary Data'!$A:$G,4,FALSE)</f>
        <v>8.9599999999999999E-2</v>
      </c>
      <c r="N594">
        <f>VLOOKUP($A594,'Temprorary Data'!$A:$G,5,FALSE)</f>
        <v>2</v>
      </c>
      <c r="O594">
        <f>VLOOKUP($A594,'Temprorary Data'!$A:$G,6,FALSE)</f>
        <v>36</v>
      </c>
      <c r="P594">
        <f>VLOOKUP($A594,'Temprorary Data'!$A:$G,7,FALSE)</f>
        <v>38</v>
      </c>
    </row>
    <row r="595" spans="1:16" ht="15.75" thickBot="1">
      <c r="A595" s="1">
        <v>594</v>
      </c>
      <c r="B595" s="2">
        <v>40570</v>
      </c>
      <c r="C595" s="1">
        <v>1</v>
      </c>
      <c r="D595" s="1">
        <v>0</v>
      </c>
      <c r="E595" s="1">
        <v>1</v>
      </c>
      <c r="F595" s="1">
        <v>22</v>
      </c>
      <c r="G595" s="3" t="b">
        <v>0</v>
      </c>
      <c r="H595" s="1">
        <v>4</v>
      </c>
      <c r="I595" s="1">
        <v>1</v>
      </c>
      <c r="J595" s="1">
        <v>0.18</v>
      </c>
      <c r="K595">
        <f>VLOOKUP($A595,'Temprorary Data'!$A:$G,2,FALSE)</f>
        <v>0.21210000000000001</v>
      </c>
      <c r="L595">
        <f>VLOOKUP($A595,'Temprorary Data'!$A:$G,3,FALSE)</f>
        <v>0.74</v>
      </c>
      <c r="M595">
        <f>VLOOKUP($A595,'Temprorary Data'!$A:$G,4,FALSE)</f>
        <v>8.9599999999999999E-2</v>
      </c>
      <c r="N595">
        <f>VLOOKUP($A595,'Temprorary Data'!$A:$G,5,FALSE)</f>
        <v>0</v>
      </c>
      <c r="O595">
        <f>VLOOKUP($A595,'Temprorary Data'!$A:$G,6,FALSE)</f>
        <v>27</v>
      </c>
      <c r="P595">
        <f>VLOOKUP($A595,'Temprorary Data'!$A:$G,7,FALSE)</f>
        <v>27</v>
      </c>
    </row>
    <row r="596" spans="1:16" ht="15.75" thickBot="1">
      <c r="A596" s="1">
        <v>595</v>
      </c>
      <c r="B596" s="2">
        <v>40570</v>
      </c>
      <c r="C596" s="1">
        <v>1</v>
      </c>
      <c r="D596" s="1">
        <v>0</v>
      </c>
      <c r="E596" s="1">
        <v>1</v>
      </c>
      <c r="F596" s="1">
        <v>23</v>
      </c>
      <c r="G596" s="3" t="b">
        <v>0</v>
      </c>
      <c r="H596" s="1">
        <v>4</v>
      </c>
      <c r="I596" s="1">
        <v>1</v>
      </c>
      <c r="J596" s="1">
        <v>0.18</v>
      </c>
      <c r="K596">
        <f>VLOOKUP($A596,'Temprorary Data'!$A:$G,2,FALSE)</f>
        <v>0.19700000000000001</v>
      </c>
      <c r="L596">
        <f>VLOOKUP($A596,'Temprorary Data'!$A:$G,3,FALSE)</f>
        <v>0.8</v>
      </c>
      <c r="M596">
        <f>VLOOKUP($A596,'Temprorary Data'!$A:$G,4,FALSE)</f>
        <v>0.16420000000000001</v>
      </c>
      <c r="N596">
        <f>VLOOKUP($A596,'Temprorary Data'!$A:$G,5,FALSE)</f>
        <v>0</v>
      </c>
      <c r="O596">
        <f>VLOOKUP($A596,'Temprorary Data'!$A:$G,6,FALSE)</f>
        <v>16</v>
      </c>
      <c r="P596">
        <f>VLOOKUP($A596,'Temprorary Data'!$A:$G,7,FALSE)</f>
        <v>16</v>
      </c>
    </row>
    <row r="597" spans="1:16" ht="15.75" thickBot="1">
      <c r="A597" s="1">
        <v>596</v>
      </c>
      <c r="B597" s="2">
        <v>40571</v>
      </c>
      <c r="C597" s="1">
        <v>1</v>
      </c>
      <c r="D597" s="1">
        <v>0</v>
      </c>
      <c r="E597" s="1">
        <v>1</v>
      </c>
      <c r="F597" s="1">
        <v>0</v>
      </c>
      <c r="G597" s="3" t="b">
        <v>0</v>
      </c>
      <c r="H597" s="1">
        <v>5</v>
      </c>
      <c r="I597" s="1">
        <v>2</v>
      </c>
      <c r="J597" s="1">
        <v>0.2</v>
      </c>
      <c r="K597">
        <f>VLOOKUP($A597,'Temprorary Data'!$A:$G,2,FALSE)</f>
        <v>0.21210000000000001</v>
      </c>
      <c r="L597">
        <f>VLOOKUP($A597,'Temprorary Data'!$A:$G,3,FALSE)</f>
        <v>0.75</v>
      </c>
      <c r="M597">
        <f>VLOOKUP($A597,'Temprorary Data'!$A:$G,4,FALSE)</f>
        <v>0.1343</v>
      </c>
      <c r="N597">
        <f>VLOOKUP($A597,'Temprorary Data'!$A:$G,5,FALSE)</f>
        <v>0</v>
      </c>
      <c r="O597">
        <f>VLOOKUP($A597,'Temprorary Data'!$A:$G,6,FALSE)</f>
        <v>9</v>
      </c>
      <c r="P597">
        <f>VLOOKUP($A597,'Temprorary Data'!$A:$G,7,FALSE)</f>
        <v>9</v>
      </c>
    </row>
    <row r="598" spans="1:16" ht="15.75" thickBot="1">
      <c r="A598" s="1">
        <v>597</v>
      </c>
      <c r="B598" s="2">
        <v>40571</v>
      </c>
      <c r="C598" s="1">
        <v>1</v>
      </c>
      <c r="D598" s="1">
        <v>0</v>
      </c>
      <c r="E598" s="1">
        <v>1</v>
      </c>
      <c r="F598" s="1">
        <v>1</v>
      </c>
      <c r="G598" s="3" t="b">
        <v>0</v>
      </c>
      <c r="H598" s="1">
        <v>5</v>
      </c>
      <c r="I598" s="1">
        <v>2</v>
      </c>
      <c r="J598" s="1">
        <v>0.2</v>
      </c>
      <c r="K598">
        <f>VLOOKUP($A598,'Temprorary Data'!$A:$G,2,FALSE)</f>
        <v>0.21210000000000001</v>
      </c>
      <c r="L598">
        <f>VLOOKUP($A598,'Temprorary Data'!$A:$G,3,FALSE)</f>
        <v>0.75</v>
      </c>
      <c r="M598">
        <f>VLOOKUP($A598,'Temprorary Data'!$A:$G,4,FALSE)</f>
        <v>0.1343</v>
      </c>
      <c r="N598">
        <f>VLOOKUP($A598,'Temprorary Data'!$A:$G,5,FALSE)</f>
        <v>1</v>
      </c>
      <c r="O598">
        <f>VLOOKUP($A598,'Temprorary Data'!$A:$G,6,FALSE)</f>
        <v>2</v>
      </c>
      <c r="P598">
        <f>VLOOKUP($A598,'Temprorary Data'!$A:$G,7,FALSE)</f>
        <v>3</v>
      </c>
    </row>
    <row r="599" spans="1:16" ht="15.75" thickBot="1">
      <c r="A599" s="1">
        <v>598</v>
      </c>
      <c r="B599" s="2">
        <v>40571</v>
      </c>
      <c r="C599" s="1">
        <v>1</v>
      </c>
      <c r="D599" s="1">
        <v>0</v>
      </c>
      <c r="E599" s="1">
        <v>1</v>
      </c>
      <c r="F599" s="1">
        <v>2</v>
      </c>
      <c r="G599" s="3" t="b">
        <v>0</v>
      </c>
      <c r="H599" s="1">
        <v>5</v>
      </c>
      <c r="I599" s="1">
        <v>2</v>
      </c>
      <c r="J599" s="1">
        <v>0.2</v>
      </c>
      <c r="K599">
        <f>VLOOKUP($A599,'Temprorary Data'!$A:$G,2,FALSE)</f>
        <v>0.21210000000000001</v>
      </c>
      <c r="L599">
        <f>VLOOKUP($A599,'Temprorary Data'!$A:$G,3,FALSE)</f>
        <v>0.75</v>
      </c>
      <c r="M599">
        <f>VLOOKUP($A599,'Temprorary Data'!$A:$G,4,FALSE)</f>
        <v>0.16420000000000001</v>
      </c>
      <c r="N599">
        <f>VLOOKUP($A599,'Temprorary Data'!$A:$G,5,FALSE)</f>
        <v>0</v>
      </c>
      <c r="O599">
        <f>VLOOKUP($A599,'Temprorary Data'!$A:$G,6,FALSE)</f>
        <v>2</v>
      </c>
      <c r="P599">
        <f>VLOOKUP($A599,'Temprorary Data'!$A:$G,7,FALSE)</f>
        <v>2</v>
      </c>
    </row>
    <row r="600" spans="1:16" ht="15.75" thickBot="1">
      <c r="A600" s="1">
        <v>599</v>
      </c>
      <c r="B600" s="2">
        <v>40571</v>
      </c>
      <c r="C600" s="1">
        <v>1</v>
      </c>
      <c r="D600" s="1">
        <v>0</v>
      </c>
      <c r="E600" s="1">
        <v>1</v>
      </c>
      <c r="F600" s="1">
        <v>3</v>
      </c>
      <c r="G600" s="3" t="b">
        <v>0</v>
      </c>
      <c r="H600" s="1">
        <v>5</v>
      </c>
      <c r="I600" s="1">
        <v>2</v>
      </c>
      <c r="J600" s="1">
        <v>0.2</v>
      </c>
      <c r="K600">
        <f>VLOOKUP($A600,'Temprorary Data'!$A:$G,2,FALSE)</f>
        <v>0.2273</v>
      </c>
      <c r="L600">
        <f>VLOOKUP($A600,'Temprorary Data'!$A:$G,3,FALSE)</f>
        <v>0.75</v>
      </c>
      <c r="M600">
        <f>VLOOKUP($A600,'Temprorary Data'!$A:$G,4,FALSE)</f>
        <v>0.1045</v>
      </c>
      <c r="N600">
        <f>VLOOKUP($A600,'Temprorary Data'!$A:$G,5,FALSE)</f>
        <v>1</v>
      </c>
      <c r="O600">
        <f>VLOOKUP($A600,'Temprorary Data'!$A:$G,6,FALSE)</f>
        <v>0</v>
      </c>
      <c r="P600">
        <f>VLOOKUP($A600,'Temprorary Data'!$A:$G,7,FALSE)</f>
        <v>1</v>
      </c>
    </row>
    <row r="601" spans="1:16" ht="15.75" thickBot="1">
      <c r="A601" s="1">
        <v>600</v>
      </c>
      <c r="B601" s="2">
        <v>40571</v>
      </c>
      <c r="C601" s="1">
        <v>1</v>
      </c>
      <c r="D601" s="1">
        <v>0</v>
      </c>
      <c r="E601" s="1">
        <v>1</v>
      </c>
      <c r="F601" s="1">
        <v>5</v>
      </c>
      <c r="G601" s="3" t="b">
        <v>0</v>
      </c>
      <c r="H601" s="1">
        <v>5</v>
      </c>
      <c r="I601" s="1">
        <v>2</v>
      </c>
      <c r="J601" s="1">
        <v>0.18</v>
      </c>
      <c r="K601">
        <f>VLOOKUP($A601,'Temprorary Data'!$A:$G,2,FALSE)</f>
        <v>0.21210000000000001</v>
      </c>
      <c r="L601">
        <f>VLOOKUP($A601,'Temprorary Data'!$A:$G,3,FALSE)</f>
        <v>0.8</v>
      </c>
      <c r="M601">
        <f>VLOOKUP($A601,'Temprorary Data'!$A:$G,4,FALSE)</f>
        <v>0.1045</v>
      </c>
      <c r="N601">
        <f>VLOOKUP($A601,'Temprorary Data'!$A:$G,5,FALSE)</f>
        <v>0</v>
      </c>
      <c r="O601">
        <f>VLOOKUP($A601,'Temprorary Data'!$A:$G,6,FALSE)</f>
        <v>4</v>
      </c>
      <c r="P601">
        <f>VLOOKUP($A601,'Temprorary Data'!$A:$G,7,FALSE)</f>
        <v>4</v>
      </c>
    </row>
    <row r="602" spans="1:16" ht="15.75" thickBot="1">
      <c r="A602" s="1">
        <v>601</v>
      </c>
      <c r="B602" s="2">
        <v>40571</v>
      </c>
      <c r="C602" s="1">
        <v>1</v>
      </c>
      <c r="D602" s="1">
        <v>0</v>
      </c>
      <c r="E602" s="1">
        <v>1</v>
      </c>
      <c r="F602" s="1">
        <v>6</v>
      </c>
      <c r="G602" s="3" t="b">
        <v>0</v>
      </c>
      <c r="H602" s="1">
        <v>5</v>
      </c>
      <c r="I602" s="1">
        <v>2</v>
      </c>
      <c r="J602" s="1">
        <v>0.18</v>
      </c>
      <c r="K602">
        <f>VLOOKUP($A602,'Temprorary Data'!$A:$G,2,FALSE)</f>
        <v>0.19700000000000001</v>
      </c>
      <c r="L602">
        <f>VLOOKUP($A602,'Temprorary Data'!$A:$G,3,FALSE)</f>
        <v>0.8</v>
      </c>
      <c r="M602">
        <f>VLOOKUP($A602,'Temprorary Data'!$A:$G,4,FALSE)</f>
        <v>0.1343</v>
      </c>
      <c r="N602">
        <f>VLOOKUP($A602,'Temprorary Data'!$A:$G,5,FALSE)</f>
        <v>0</v>
      </c>
      <c r="O602">
        <f>VLOOKUP($A602,'Temprorary Data'!$A:$G,6,FALSE)</f>
        <v>16</v>
      </c>
      <c r="P602">
        <f>VLOOKUP($A602,'Temprorary Data'!$A:$G,7,FALSE)</f>
        <v>16</v>
      </c>
    </row>
    <row r="603" spans="1:16" ht="15.75" thickBot="1">
      <c r="A603" s="1">
        <v>602</v>
      </c>
      <c r="B603" s="2">
        <v>40571</v>
      </c>
      <c r="C603" s="1">
        <v>1</v>
      </c>
      <c r="D603" s="1">
        <v>0</v>
      </c>
      <c r="E603" s="1">
        <v>1</v>
      </c>
      <c r="F603" s="1">
        <v>7</v>
      </c>
      <c r="G603" s="3" t="b">
        <v>0</v>
      </c>
      <c r="H603" s="1">
        <v>5</v>
      </c>
      <c r="I603" s="1">
        <v>2</v>
      </c>
      <c r="J603" s="1">
        <v>0.16</v>
      </c>
      <c r="K603">
        <f>VLOOKUP($A603,'Temprorary Data'!$A:$G,2,FALSE)</f>
        <v>0.19700000000000001</v>
      </c>
      <c r="L603">
        <f>VLOOKUP($A603,'Temprorary Data'!$A:$G,3,FALSE)</f>
        <v>0.86</v>
      </c>
      <c r="M603">
        <f>VLOOKUP($A603,'Temprorary Data'!$A:$G,4,FALSE)</f>
        <v>8.9599999999999999E-2</v>
      </c>
      <c r="N603">
        <f>VLOOKUP($A603,'Temprorary Data'!$A:$G,5,FALSE)</f>
        <v>2</v>
      </c>
      <c r="O603">
        <f>VLOOKUP($A603,'Temprorary Data'!$A:$G,6,FALSE)</f>
        <v>58</v>
      </c>
      <c r="P603">
        <f>VLOOKUP($A603,'Temprorary Data'!$A:$G,7,FALSE)</f>
        <v>60</v>
      </c>
    </row>
    <row r="604" spans="1:16" ht="15.75" thickBot="1">
      <c r="A604" s="1">
        <v>603</v>
      </c>
      <c r="B604" s="2">
        <v>40571</v>
      </c>
      <c r="C604" s="1">
        <v>1</v>
      </c>
      <c r="D604" s="1">
        <v>0</v>
      </c>
      <c r="E604" s="1">
        <v>1</v>
      </c>
      <c r="F604" s="1">
        <v>8</v>
      </c>
      <c r="G604" s="3" t="b">
        <v>0</v>
      </c>
      <c r="H604" s="1">
        <v>5</v>
      </c>
      <c r="I604" s="1">
        <v>2</v>
      </c>
      <c r="J604" s="1">
        <v>0.16</v>
      </c>
      <c r="K604">
        <f>VLOOKUP($A604,'Temprorary Data'!$A:$G,2,FALSE)</f>
        <v>0.19700000000000001</v>
      </c>
      <c r="L604">
        <f>VLOOKUP($A604,'Temprorary Data'!$A:$G,3,FALSE)</f>
        <v>0.86</v>
      </c>
      <c r="M604">
        <f>VLOOKUP($A604,'Temprorary Data'!$A:$G,4,FALSE)</f>
        <v>8.9599999999999999E-2</v>
      </c>
      <c r="N604">
        <f>VLOOKUP($A604,'Temprorary Data'!$A:$G,5,FALSE)</f>
        <v>2</v>
      </c>
      <c r="O604">
        <f>VLOOKUP($A604,'Temprorary Data'!$A:$G,6,FALSE)</f>
        <v>155</v>
      </c>
      <c r="P604">
        <f>VLOOKUP($A604,'Temprorary Data'!$A:$G,7,FALSE)</f>
        <v>157</v>
      </c>
    </row>
    <row r="605" spans="1:16" ht="15.75" thickBot="1">
      <c r="A605" s="1">
        <v>604</v>
      </c>
      <c r="B605" s="2">
        <v>40571</v>
      </c>
      <c r="C605" s="1">
        <v>1</v>
      </c>
      <c r="D605" s="1">
        <v>0</v>
      </c>
      <c r="E605" s="1">
        <v>1</v>
      </c>
      <c r="F605" s="1">
        <v>9</v>
      </c>
      <c r="G605" s="3" t="b">
        <v>0</v>
      </c>
      <c r="H605" s="1">
        <v>5</v>
      </c>
      <c r="I605" s="1">
        <v>3</v>
      </c>
      <c r="J605" s="1">
        <v>0.18</v>
      </c>
      <c r="K605">
        <f>VLOOKUP($A605,'Temprorary Data'!$A:$G,2,FALSE)</f>
        <v>0.21210000000000001</v>
      </c>
      <c r="L605">
        <f>VLOOKUP($A605,'Temprorary Data'!$A:$G,3,FALSE)</f>
        <v>0.86</v>
      </c>
      <c r="M605">
        <f>VLOOKUP($A605,'Temprorary Data'!$A:$G,4,FALSE)</f>
        <v>8.9599999999999999E-2</v>
      </c>
      <c r="N605">
        <f>VLOOKUP($A605,'Temprorary Data'!$A:$G,5,FALSE)</f>
        <v>6</v>
      </c>
      <c r="O605">
        <f>VLOOKUP($A605,'Temprorary Data'!$A:$G,6,FALSE)</f>
        <v>95</v>
      </c>
      <c r="P605">
        <f>VLOOKUP($A605,'Temprorary Data'!$A:$G,7,FALSE)</f>
        <v>101</v>
      </c>
    </row>
    <row r="606" spans="1:16" ht="15.75" thickBot="1">
      <c r="A606" s="1">
        <v>605</v>
      </c>
      <c r="B606" s="2">
        <v>40571</v>
      </c>
      <c r="C606" s="1">
        <v>1</v>
      </c>
      <c r="D606" s="1">
        <v>0</v>
      </c>
      <c r="E606" s="1">
        <v>1</v>
      </c>
      <c r="F606" s="1">
        <v>10</v>
      </c>
      <c r="G606" s="3" t="b">
        <v>0</v>
      </c>
      <c r="H606" s="1">
        <v>5</v>
      </c>
      <c r="I606" s="1">
        <v>3</v>
      </c>
      <c r="J606" s="1">
        <v>0.18</v>
      </c>
      <c r="K606">
        <f>VLOOKUP($A606,'Temprorary Data'!$A:$G,2,FALSE)</f>
        <v>0.21210000000000001</v>
      </c>
      <c r="L606">
        <f>VLOOKUP($A606,'Temprorary Data'!$A:$G,3,FALSE)</f>
        <v>0.86</v>
      </c>
      <c r="M606">
        <f>VLOOKUP($A606,'Temprorary Data'!$A:$G,4,FALSE)</f>
        <v>0.1045</v>
      </c>
      <c r="N606">
        <f>VLOOKUP($A606,'Temprorary Data'!$A:$G,5,FALSE)</f>
        <v>0</v>
      </c>
      <c r="O606">
        <f>VLOOKUP($A606,'Temprorary Data'!$A:$G,6,FALSE)</f>
        <v>49</v>
      </c>
      <c r="P606">
        <f>VLOOKUP($A606,'Temprorary Data'!$A:$G,7,FALSE)</f>
        <v>49</v>
      </c>
    </row>
    <row r="607" spans="1:16" ht="15.75" thickBot="1">
      <c r="A607" s="1">
        <v>606</v>
      </c>
      <c r="B607" s="2">
        <v>40571</v>
      </c>
      <c r="C607" s="1">
        <v>1</v>
      </c>
      <c r="D607" s="1">
        <v>0</v>
      </c>
      <c r="E607" s="1">
        <v>1</v>
      </c>
      <c r="F607" s="1">
        <v>11</v>
      </c>
      <c r="G607" s="3" t="b">
        <v>0</v>
      </c>
      <c r="H607" s="1">
        <v>5</v>
      </c>
      <c r="I607" s="1">
        <v>3</v>
      </c>
      <c r="J607" s="1">
        <v>0.18</v>
      </c>
      <c r="K607">
        <f>VLOOKUP($A607,'Temprorary Data'!$A:$G,2,FALSE)</f>
        <v>0.21210000000000001</v>
      </c>
      <c r="L607">
        <f>VLOOKUP($A607,'Temprorary Data'!$A:$G,3,FALSE)</f>
        <v>0.93</v>
      </c>
      <c r="M607">
        <f>VLOOKUP($A607,'Temprorary Data'!$A:$G,4,FALSE)</f>
        <v>0.1045</v>
      </c>
      <c r="N607">
        <f>VLOOKUP($A607,'Temprorary Data'!$A:$G,5,FALSE)</f>
        <v>0</v>
      </c>
      <c r="O607">
        <f>VLOOKUP($A607,'Temprorary Data'!$A:$G,6,FALSE)</f>
        <v>30</v>
      </c>
      <c r="P607">
        <f>VLOOKUP($A607,'Temprorary Data'!$A:$G,7,FALSE)</f>
        <v>30</v>
      </c>
    </row>
    <row r="608" spans="1:16" ht="15.75" thickBot="1">
      <c r="A608" s="1">
        <v>607</v>
      </c>
      <c r="B608" s="2">
        <v>40571</v>
      </c>
      <c r="C608" s="1">
        <v>1</v>
      </c>
      <c r="D608" s="1">
        <v>0</v>
      </c>
      <c r="E608" s="1">
        <v>1</v>
      </c>
      <c r="F608" s="1">
        <v>12</v>
      </c>
      <c r="G608" s="3" t="b">
        <v>0</v>
      </c>
      <c r="H608" s="1">
        <v>5</v>
      </c>
      <c r="I608" s="1">
        <v>3</v>
      </c>
      <c r="J608" s="1">
        <v>0.18</v>
      </c>
      <c r="K608">
        <f>VLOOKUP($A608,'Temprorary Data'!$A:$G,2,FALSE)</f>
        <v>0.21210000000000001</v>
      </c>
      <c r="L608">
        <f>VLOOKUP($A608,'Temprorary Data'!$A:$G,3,FALSE)</f>
        <v>0.93</v>
      </c>
      <c r="M608">
        <f>VLOOKUP($A608,'Temprorary Data'!$A:$G,4,FALSE)</f>
        <v>0.1045</v>
      </c>
      <c r="N608">
        <f>VLOOKUP($A608,'Temprorary Data'!$A:$G,5,FALSE)</f>
        <v>1</v>
      </c>
      <c r="O608">
        <f>VLOOKUP($A608,'Temprorary Data'!$A:$G,6,FALSE)</f>
        <v>28</v>
      </c>
      <c r="P608">
        <f>VLOOKUP($A608,'Temprorary Data'!$A:$G,7,FALSE)</f>
        <v>29</v>
      </c>
    </row>
    <row r="609" spans="1:16" ht="15.75" thickBot="1">
      <c r="A609" s="1">
        <v>608</v>
      </c>
      <c r="B609" s="2">
        <v>40571</v>
      </c>
      <c r="C609" s="1">
        <v>1</v>
      </c>
      <c r="D609" s="1">
        <v>0</v>
      </c>
      <c r="E609" s="1">
        <v>1</v>
      </c>
      <c r="F609" s="1">
        <v>13</v>
      </c>
      <c r="G609" s="3" t="b">
        <v>0</v>
      </c>
      <c r="H609" s="1">
        <v>5</v>
      </c>
      <c r="I609" s="1">
        <v>3</v>
      </c>
      <c r="J609" s="1">
        <v>0.18</v>
      </c>
      <c r="K609">
        <f>VLOOKUP($A609,'Temprorary Data'!$A:$G,2,FALSE)</f>
        <v>0.21210000000000001</v>
      </c>
      <c r="L609">
        <f>VLOOKUP($A609,'Temprorary Data'!$A:$G,3,FALSE)</f>
        <v>0.93</v>
      </c>
      <c r="M609">
        <f>VLOOKUP($A609,'Temprorary Data'!$A:$G,4,FALSE)</f>
        <v>0.1045</v>
      </c>
      <c r="N609">
        <f>VLOOKUP($A609,'Temprorary Data'!$A:$G,5,FALSE)</f>
        <v>0</v>
      </c>
      <c r="O609">
        <f>VLOOKUP($A609,'Temprorary Data'!$A:$G,6,FALSE)</f>
        <v>31</v>
      </c>
      <c r="P609">
        <f>VLOOKUP($A609,'Temprorary Data'!$A:$G,7,FALSE)</f>
        <v>31</v>
      </c>
    </row>
    <row r="610" spans="1:16" ht="15.75" thickBot="1">
      <c r="A610" s="1">
        <v>609</v>
      </c>
      <c r="B610" s="2">
        <v>40571</v>
      </c>
      <c r="C610" s="1">
        <v>1</v>
      </c>
      <c r="D610" s="1">
        <v>0</v>
      </c>
      <c r="E610" s="1">
        <v>1</v>
      </c>
      <c r="F610" s="1">
        <v>14</v>
      </c>
      <c r="G610" s="3" t="b">
        <v>0</v>
      </c>
      <c r="H610" s="1">
        <v>5</v>
      </c>
      <c r="I610" s="1">
        <v>3</v>
      </c>
      <c r="J610" s="1">
        <v>0.22</v>
      </c>
      <c r="K610">
        <f>VLOOKUP($A610,'Temprorary Data'!$A:$G,2,FALSE)</f>
        <v>0.2727</v>
      </c>
      <c r="L610">
        <f>VLOOKUP($A610,'Temprorary Data'!$A:$G,3,FALSE)</f>
        <v>0.8</v>
      </c>
      <c r="M610">
        <f>VLOOKUP($A610,'Temprorary Data'!$A:$G,4,FALSE)</f>
        <v>0</v>
      </c>
      <c r="N610">
        <f>VLOOKUP($A610,'Temprorary Data'!$A:$G,5,FALSE)</f>
        <v>2</v>
      </c>
      <c r="O610">
        <f>VLOOKUP($A610,'Temprorary Data'!$A:$G,6,FALSE)</f>
        <v>36</v>
      </c>
      <c r="P610">
        <f>VLOOKUP($A610,'Temprorary Data'!$A:$G,7,FALSE)</f>
        <v>38</v>
      </c>
    </row>
    <row r="611" spans="1:16" ht="15.75" thickBot="1">
      <c r="A611" s="1">
        <v>610</v>
      </c>
      <c r="B611" s="2">
        <v>40571</v>
      </c>
      <c r="C611" s="1">
        <v>1</v>
      </c>
      <c r="D611" s="1">
        <v>0</v>
      </c>
      <c r="E611" s="1">
        <v>1</v>
      </c>
      <c r="F611" s="1">
        <v>15</v>
      </c>
      <c r="G611" s="3" t="b">
        <v>0</v>
      </c>
      <c r="H611" s="1">
        <v>5</v>
      </c>
      <c r="I611" s="1">
        <v>2</v>
      </c>
      <c r="J611" s="1">
        <v>0.2</v>
      </c>
      <c r="K611">
        <f>VLOOKUP($A611,'Temprorary Data'!$A:$G,2,FALSE)</f>
        <v>0.2576</v>
      </c>
      <c r="L611">
        <f>VLOOKUP($A611,'Temprorary Data'!$A:$G,3,FALSE)</f>
        <v>0.86</v>
      </c>
      <c r="M611">
        <f>VLOOKUP($A611,'Temprorary Data'!$A:$G,4,FALSE)</f>
        <v>0</v>
      </c>
      <c r="N611">
        <f>VLOOKUP($A611,'Temprorary Data'!$A:$G,5,FALSE)</f>
        <v>1</v>
      </c>
      <c r="O611">
        <f>VLOOKUP($A611,'Temprorary Data'!$A:$G,6,FALSE)</f>
        <v>40</v>
      </c>
      <c r="P611">
        <f>VLOOKUP($A611,'Temprorary Data'!$A:$G,7,FALSE)</f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11"/>
  <sheetViews>
    <sheetView topLeftCell="M1" workbookViewId="0">
      <selection sqref="A1:XFD1048576"/>
    </sheetView>
  </sheetViews>
  <sheetFormatPr defaultRowHeight="15"/>
  <cols>
    <col min="2" max="2" width="10.85546875" style="4" customWidth="1"/>
    <col min="9" max="9" width="10.5703125" customWidth="1"/>
    <col min="10" max="13" width="18.42578125" style="8" customWidth="1"/>
    <col min="14" max="16" width="18.42578125" style="9" customWidth="1"/>
    <col min="17" max="26" width="18.42578125" customWidth="1"/>
  </cols>
  <sheetData>
    <row r="1" spans="1:25" s="11" customFormat="1" ht="13.5" thickBo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</row>
    <row r="2" spans="1:25" ht="15.75" thickBot="1">
      <c r="A2" s="1">
        <v>1</v>
      </c>
      <c r="B2" s="2">
        <v>40544</v>
      </c>
      <c r="C2" s="1">
        <v>1</v>
      </c>
      <c r="D2" s="1">
        <v>0</v>
      </c>
      <c r="E2" s="1">
        <v>1</v>
      </c>
      <c r="F2" s="1">
        <v>0</v>
      </c>
      <c r="G2" s="3" t="b">
        <v>0</v>
      </c>
      <c r="H2" s="1">
        <v>6</v>
      </c>
      <c r="I2" s="1">
        <v>1</v>
      </c>
      <c r="J2" s="7">
        <v>0.24</v>
      </c>
      <c r="K2" s="8">
        <f>VLOOKUP($A2,'Temprorary Data'!$A:$G,2,FALSE)</f>
        <v>0.28789999999999999</v>
      </c>
      <c r="L2" s="8">
        <f>VLOOKUP($A2,'Temprorary Data'!$A:$G,3,FALSE)</f>
        <v>0.81</v>
      </c>
      <c r="M2" s="8">
        <f>VLOOKUP($A2,'Temprorary Data'!$A:$G,4,FALSE)</f>
        <v>0</v>
      </c>
      <c r="N2" s="9">
        <f>VLOOKUP($A2,'Temprorary Data'!$A:$G,5,FALSE)</f>
        <v>3</v>
      </c>
      <c r="O2" s="9">
        <f>VLOOKUP($A2,'Temprorary Data'!$A:$G,6,FALSE)</f>
        <v>13</v>
      </c>
      <c r="P2" s="9">
        <f>VLOOKUP($A2,'Temprorary Data'!$A:$G,7,FALSE)</f>
        <v>16</v>
      </c>
      <c r="Q2" t="b">
        <f>N2+O2=P2</f>
        <v>1</v>
      </c>
      <c r="R2" t="str">
        <f>TEXT(B2,"mmmm")</f>
        <v>January</v>
      </c>
      <c r="S2" t="str">
        <f>TEXT(B2,"dddd")</f>
        <v>Saturday</v>
      </c>
      <c r="T2" t="str">
        <f>IF(OR(H2=0,H2=6),"Weekend","Weekday")</f>
        <v>Weekend</v>
      </c>
      <c r="U2" t="str">
        <f>IF(C2=1,"Spring",IF(C2=2,"Summer",IF(C2=3,"Fall","Winter")))</f>
        <v>Spring</v>
      </c>
      <c r="V2" t="str">
        <f>IF(I2=1,"Clear",IF(I2=2,"Mist",IF(I2=3,"Light Rain","Heavy Rain")))</f>
        <v>Clear</v>
      </c>
      <c r="W2" t="str">
        <f>IF(AND(F2&gt;=7,F2&lt;=9),"Morning Peak",IF(AND(F2&gt;=17,F2&lt;=20),"Evening Peak","Off Peak"))</f>
        <v>Off Peak</v>
      </c>
      <c r="X2" t="str">
        <f>IF(J2&lt;0.3,"Low",IF(J2&lt;0.6,"Medium","High"))</f>
        <v>Low</v>
      </c>
      <c r="Y2" t="str">
        <f>IF(L2&lt;0.4,"Low",IF(L2&lt;0.7,"Medium","High"))</f>
        <v>High</v>
      </c>
    </row>
    <row r="3" spans="1:25" ht="15.75" thickBot="1">
      <c r="A3" s="1">
        <v>2</v>
      </c>
      <c r="B3" s="2">
        <v>40544</v>
      </c>
      <c r="C3" s="1">
        <v>1</v>
      </c>
      <c r="D3" s="1">
        <v>0</v>
      </c>
      <c r="E3" s="1">
        <v>1</v>
      </c>
      <c r="F3" s="1">
        <v>1</v>
      </c>
      <c r="G3" s="3" t="b">
        <v>0</v>
      </c>
      <c r="H3" s="1">
        <v>6</v>
      </c>
      <c r="I3" s="1">
        <v>1</v>
      </c>
      <c r="J3" s="7">
        <v>0.22</v>
      </c>
      <c r="K3" s="8">
        <f>VLOOKUP($A3,'Temprorary Data'!$A:$G,2,FALSE)</f>
        <v>0.2727</v>
      </c>
      <c r="L3" s="8">
        <f>VLOOKUP($A3,'Temprorary Data'!$A:$G,3,FALSE)</f>
        <v>0.8</v>
      </c>
      <c r="M3" s="8">
        <f>VLOOKUP($A3,'Temprorary Data'!$A:$G,4,FALSE)</f>
        <v>0</v>
      </c>
      <c r="N3" s="9">
        <f>VLOOKUP($A3,'Temprorary Data'!$A:$G,5,FALSE)</f>
        <v>8</v>
      </c>
      <c r="O3" s="9">
        <f>VLOOKUP($A3,'Temprorary Data'!$A:$G,6,FALSE)</f>
        <v>32</v>
      </c>
      <c r="P3" s="9">
        <f>VLOOKUP($A3,'Temprorary Data'!$A:$G,7,FALSE)</f>
        <v>40</v>
      </c>
      <c r="Q3" t="b">
        <f t="shared" ref="Q3:Q66" si="0">N3+O3=P3</f>
        <v>1</v>
      </c>
      <c r="R3" t="str">
        <f t="shared" ref="R3:R66" si="1">TEXT(B3,"mmmm")</f>
        <v>January</v>
      </c>
      <c r="S3" t="str">
        <f t="shared" ref="S3:S66" si="2">TEXT(B3,"dddd")</f>
        <v>Saturday</v>
      </c>
      <c r="T3" t="str">
        <f t="shared" ref="T3:T66" si="3">IF(OR(H3=0,H3=6),"Weekend","Weekday")</f>
        <v>Weekend</v>
      </c>
      <c r="U3" t="str">
        <f t="shared" ref="U3:U66" si="4">IF(C3=1,"Spring",IF(C3=2,"Summer",IF(C3=3,"Fall","Winter")))</f>
        <v>Spring</v>
      </c>
      <c r="V3" t="str">
        <f t="shared" ref="V3:V66" si="5">IF(I3=1,"Clear",IF(I3=2,"Mist",IF(I3=3,"Light Rain","Heavy Rain")))</f>
        <v>Clear</v>
      </c>
      <c r="W3" t="str">
        <f t="shared" ref="W3:W66" si="6">IF(AND(F3&gt;=7,F3&lt;=9),"Morning Peak",IF(AND(F3&gt;=17,F3&lt;=20),"Evening Peak","Off Peak"))</f>
        <v>Off Peak</v>
      </c>
      <c r="X3" t="str">
        <f t="shared" ref="X3:X66" si="7">IF(J3&lt;0.3,"Low",IF(J3&lt;0.6,"Medium","High"))</f>
        <v>Low</v>
      </c>
      <c r="Y3" t="str">
        <f t="shared" ref="Y3:Y66" si="8">IF(L3&lt;0.4,"Low",IF(L3&lt;0.7,"Medium","High"))</f>
        <v>High</v>
      </c>
    </row>
    <row r="4" spans="1:25" ht="15.75" thickBot="1">
      <c r="A4" s="1">
        <v>3</v>
      </c>
      <c r="B4" s="2">
        <v>40544</v>
      </c>
      <c r="C4" s="1">
        <v>1</v>
      </c>
      <c r="D4" s="1">
        <v>0</v>
      </c>
      <c r="E4" s="1">
        <v>1</v>
      </c>
      <c r="F4" s="1">
        <v>2</v>
      </c>
      <c r="G4" s="3" t="b">
        <v>0</v>
      </c>
      <c r="H4" s="1">
        <v>6</v>
      </c>
      <c r="I4" s="1">
        <v>1</v>
      </c>
      <c r="J4" s="7">
        <v>0.22</v>
      </c>
      <c r="K4" s="8">
        <f>VLOOKUP($A4,'Temprorary Data'!$A:$G,2,FALSE)</f>
        <v>0.2727</v>
      </c>
      <c r="L4" s="8">
        <f>VLOOKUP($A4,'Temprorary Data'!$A:$G,3,FALSE)</f>
        <v>0.8</v>
      </c>
      <c r="M4" s="8">
        <f>VLOOKUP($A4,'Temprorary Data'!$A:$G,4,FALSE)</f>
        <v>0</v>
      </c>
      <c r="N4" s="9">
        <f>VLOOKUP($A4,'Temprorary Data'!$A:$G,5,FALSE)</f>
        <v>5</v>
      </c>
      <c r="O4" s="9">
        <f>VLOOKUP($A4,'Temprorary Data'!$A:$G,6,FALSE)</f>
        <v>27</v>
      </c>
      <c r="P4" s="9">
        <f>VLOOKUP($A4,'Temprorary Data'!$A:$G,7,FALSE)</f>
        <v>32</v>
      </c>
      <c r="Q4" t="b">
        <f t="shared" si="0"/>
        <v>1</v>
      </c>
      <c r="R4" t="str">
        <f t="shared" si="1"/>
        <v>January</v>
      </c>
      <c r="S4" t="str">
        <f t="shared" si="2"/>
        <v>Saturday</v>
      </c>
      <c r="T4" t="str">
        <f t="shared" si="3"/>
        <v>Weekend</v>
      </c>
      <c r="U4" t="str">
        <f t="shared" si="4"/>
        <v>Spring</v>
      </c>
      <c r="V4" t="str">
        <f t="shared" si="5"/>
        <v>Clear</v>
      </c>
      <c r="W4" t="str">
        <f t="shared" si="6"/>
        <v>Off Peak</v>
      </c>
      <c r="X4" t="str">
        <f t="shared" si="7"/>
        <v>Low</v>
      </c>
      <c r="Y4" t="str">
        <f t="shared" si="8"/>
        <v>High</v>
      </c>
    </row>
    <row r="5" spans="1:25" ht="15.75" thickBot="1">
      <c r="A5" s="1">
        <v>4</v>
      </c>
      <c r="B5" s="2">
        <v>40544</v>
      </c>
      <c r="C5" s="1">
        <v>1</v>
      </c>
      <c r="D5" s="1">
        <v>0</v>
      </c>
      <c r="E5" s="1">
        <v>1</v>
      </c>
      <c r="F5" s="1">
        <v>3</v>
      </c>
      <c r="G5" s="3" t="b">
        <v>0</v>
      </c>
      <c r="H5" s="1">
        <v>6</v>
      </c>
      <c r="I5" s="1">
        <v>1</v>
      </c>
      <c r="J5" s="7">
        <v>0.24</v>
      </c>
      <c r="K5" s="8">
        <f>VLOOKUP($A5,'Temprorary Data'!$A:$G,2,FALSE)</f>
        <v>0.28789999999999999</v>
      </c>
      <c r="L5" s="8">
        <f>VLOOKUP($A5,'Temprorary Data'!$A:$G,3,FALSE)</f>
        <v>0.75</v>
      </c>
      <c r="M5" s="8">
        <f>VLOOKUP($A5,'Temprorary Data'!$A:$G,4,FALSE)</f>
        <v>0</v>
      </c>
      <c r="N5" s="9">
        <f>VLOOKUP($A5,'Temprorary Data'!$A:$G,5,FALSE)</f>
        <v>3</v>
      </c>
      <c r="O5" s="9">
        <f>VLOOKUP($A5,'Temprorary Data'!$A:$G,6,FALSE)</f>
        <v>10</v>
      </c>
      <c r="P5" s="9">
        <f>VLOOKUP($A5,'Temprorary Data'!$A:$G,7,FALSE)</f>
        <v>13</v>
      </c>
      <c r="Q5" t="b">
        <f t="shared" si="0"/>
        <v>1</v>
      </c>
      <c r="R5" t="str">
        <f t="shared" si="1"/>
        <v>January</v>
      </c>
      <c r="S5" t="str">
        <f t="shared" si="2"/>
        <v>Saturday</v>
      </c>
      <c r="T5" t="str">
        <f t="shared" si="3"/>
        <v>Weekend</v>
      </c>
      <c r="U5" t="str">
        <f t="shared" si="4"/>
        <v>Spring</v>
      </c>
      <c r="V5" t="str">
        <f t="shared" si="5"/>
        <v>Clear</v>
      </c>
      <c r="W5" t="str">
        <f t="shared" si="6"/>
        <v>Off Peak</v>
      </c>
      <c r="X5" t="str">
        <f t="shared" si="7"/>
        <v>Low</v>
      </c>
      <c r="Y5" t="str">
        <f t="shared" si="8"/>
        <v>High</v>
      </c>
    </row>
    <row r="6" spans="1:25" ht="15.75" thickBot="1">
      <c r="A6" s="1">
        <v>5</v>
      </c>
      <c r="B6" s="2">
        <v>40544</v>
      </c>
      <c r="C6" s="1">
        <v>1</v>
      </c>
      <c r="D6" s="1">
        <v>0</v>
      </c>
      <c r="E6" s="1">
        <v>1</v>
      </c>
      <c r="F6" s="1">
        <v>4</v>
      </c>
      <c r="G6" s="3" t="b">
        <v>0</v>
      </c>
      <c r="H6" s="1">
        <v>6</v>
      </c>
      <c r="I6" s="1">
        <v>1</v>
      </c>
      <c r="J6" s="7">
        <v>0.24</v>
      </c>
      <c r="K6" s="8">
        <f>VLOOKUP($A6,'Temprorary Data'!$A:$G,2,FALSE)</f>
        <v>0.28789999999999999</v>
      </c>
      <c r="L6" s="8">
        <f>VLOOKUP($A6,'Temprorary Data'!$A:$G,3,FALSE)</f>
        <v>0.75</v>
      </c>
      <c r="M6" s="8">
        <f>VLOOKUP($A6,'Temprorary Data'!$A:$G,4,FALSE)</f>
        <v>0</v>
      </c>
      <c r="N6" s="9">
        <f>VLOOKUP($A6,'Temprorary Data'!$A:$G,5,FALSE)</f>
        <v>0</v>
      </c>
      <c r="O6" s="9">
        <f>VLOOKUP($A6,'Temprorary Data'!$A:$G,6,FALSE)</f>
        <v>1</v>
      </c>
      <c r="P6" s="9">
        <f>VLOOKUP($A6,'Temprorary Data'!$A:$G,7,FALSE)</f>
        <v>1</v>
      </c>
      <c r="Q6" t="b">
        <f t="shared" si="0"/>
        <v>1</v>
      </c>
      <c r="R6" t="str">
        <f t="shared" si="1"/>
        <v>January</v>
      </c>
      <c r="S6" t="str">
        <f t="shared" si="2"/>
        <v>Saturday</v>
      </c>
      <c r="T6" t="str">
        <f t="shared" si="3"/>
        <v>Weekend</v>
      </c>
      <c r="U6" t="str">
        <f t="shared" si="4"/>
        <v>Spring</v>
      </c>
      <c r="V6" t="str">
        <f t="shared" si="5"/>
        <v>Clear</v>
      </c>
      <c r="W6" t="str">
        <f t="shared" si="6"/>
        <v>Off Peak</v>
      </c>
      <c r="X6" t="str">
        <f t="shared" si="7"/>
        <v>Low</v>
      </c>
      <c r="Y6" t="str">
        <f t="shared" si="8"/>
        <v>High</v>
      </c>
    </row>
    <row r="7" spans="1:25" ht="15.75" thickBot="1">
      <c r="A7" s="1">
        <v>6</v>
      </c>
      <c r="B7" s="2">
        <v>40544</v>
      </c>
      <c r="C7" s="1">
        <v>1</v>
      </c>
      <c r="D7" s="1">
        <v>0</v>
      </c>
      <c r="E7" s="1">
        <v>1</v>
      </c>
      <c r="F7" s="1">
        <v>5</v>
      </c>
      <c r="G7" s="3" t="b">
        <v>0</v>
      </c>
      <c r="H7" s="1">
        <v>6</v>
      </c>
      <c r="I7" s="1">
        <v>2</v>
      </c>
      <c r="J7" s="7">
        <v>0.24</v>
      </c>
      <c r="K7" s="8">
        <f>VLOOKUP($A7,'Temprorary Data'!$A:$G,2,FALSE)</f>
        <v>0.2576</v>
      </c>
      <c r="L7" s="8">
        <f>VLOOKUP($A7,'Temprorary Data'!$A:$G,3,FALSE)</f>
        <v>0.75</v>
      </c>
      <c r="M7" s="8">
        <f>VLOOKUP($A7,'Temprorary Data'!$A:$G,4,FALSE)</f>
        <v>8.9599999999999999E-2</v>
      </c>
      <c r="N7" s="9">
        <f>VLOOKUP($A7,'Temprorary Data'!$A:$G,5,FALSE)</f>
        <v>0</v>
      </c>
      <c r="O7" s="9">
        <f>VLOOKUP($A7,'Temprorary Data'!$A:$G,6,FALSE)</f>
        <v>1</v>
      </c>
      <c r="P7" s="9">
        <f>VLOOKUP($A7,'Temprorary Data'!$A:$G,7,FALSE)</f>
        <v>1</v>
      </c>
      <c r="Q7" t="b">
        <f t="shared" si="0"/>
        <v>1</v>
      </c>
      <c r="R7" t="str">
        <f t="shared" si="1"/>
        <v>January</v>
      </c>
      <c r="S7" t="str">
        <f t="shared" si="2"/>
        <v>Saturday</v>
      </c>
      <c r="T7" t="str">
        <f t="shared" si="3"/>
        <v>Weekend</v>
      </c>
      <c r="U7" t="str">
        <f t="shared" si="4"/>
        <v>Spring</v>
      </c>
      <c r="V7" t="str">
        <f t="shared" si="5"/>
        <v>Mist</v>
      </c>
      <c r="W7" t="str">
        <f t="shared" si="6"/>
        <v>Off Peak</v>
      </c>
      <c r="X7" t="str">
        <f t="shared" si="7"/>
        <v>Low</v>
      </c>
      <c r="Y7" t="str">
        <f t="shared" si="8"/>
        <v>High</v>
      </c>
    </row>
    <row r="8" spans="1:25" ht="15.75" thickBot="1">
      <c r="A8" s="1">
        <v>7</v>
      </c>
      <c r="B8" s="2">
        <v>40544</v>
      </c>
      <c r="C8" s="1">
        <v>1</v>
      </c>
      <c r="D8" s="1">
        <v>0</v>
      </c>
      <c r="E8" s="1">
        <v>1</v>
      </c>
      <c r="F8" s="1">
        <v>6</v>
      </c>
      <c r="G8" s="3" t="b">
        <v>0</v>
      </c>
      <c r="H8" s="1">
        <v>6</v>
      </c>
      <c r="I8" s="1">
        <v>1</v>
      </c>
      <c r="J8" s="7">
        <v>0.22</v>
      </c>
      <c r="K8" s="8">
        <f>VLOOKUP($A8,'Temprorary Data'!$A:$G,2,FALSE)</f>
        <v>0.2727</v>
      </c>
      <c r="L8" s="8">
        <f>VLOOKUP($A8,'Temprorary Data'!$A:$G,3,FALSE)</f>
        <v>0.8</v>
      </c>
      <c r="M8" s="8">
        <f>VLOOKUP($A8,'Temprorary Data'!$A:$G,4,FALSE)</f>
        <v>0</v>
      </c>
      <c r="N8" s="9">
        <f>VLOOKUP($A8,'Temprorary Data'!$A:$G,5,FALSE)</f>
        <v>2</v>
      </c>
      <c r="O8" s="9">
        <f>VLOOKUP($A8,'Temprorary Data'!$A:$G,6,FALSE)</f>
        <v>0</v>
      </c>
      <c r="P8" s="9">
        <f>VLOOKUP($A8,'Temprorary Data'!$A:$G,7,FALSE)</f>
        <v>2</v>
      </c>
      <c r="Q8" t="b">
        <f t="shared" si="0"/>
        <v>1</v>
      </c>
      <c r="R8" t="str">
        <f t="shared" si="1"/>
        <v>January</v>
      </c>
      <c r="S8" t="str">
        <f t="shared" si="2"/>
        <v>Saturday</v>
      </c>
      <c r="T8" t="str">
        <f t="shared" si="3"/>
        <v>Weekend</v>
      </c>
      <c r="U8" t="str">
        <f t="shared" si="4"/>
        <v>Spring</v>
      </c>
      <c r="V8" t="str">
        <f t="shared" si="5"/>
        <v>Clear</v>
      </c>
      <c r="W8" t="str">
        <f t="shared" si="6"/>
        <v>Off Peak</v>
      </c>
      <c r="X8" t="str">
        <f t="shared" si="7"/>
        <v>Low</v>
      </c>
      <c r="Y8" t="str">
        <f t="shared" si="8"/>
        <v>High</v>
      </c>
    </row>
    <row r="9" spans="1:25" ht="15.75" thickBot="1">
      <c r="A9" s="1">
        <v>8</v>
      </c>
      <c r="B9" s="2">
        <v>40544</v>
      </c>
      <c r="C9" s="1">
        <v>1</v>
      </c>
      <c r="D9" s="1">
        <v>0</v>
      </c>
      <c r="E9" s="1">
        <v>1</v>
      </c>
      <c r="F9" s="1">
        <v>7</v>
      </c>
      <c r="G9" s="3" t="b">
        <v>0</v>
      </c>
      <c r="H9" s="1">
        <v>6</v>
      </c>
      <c r="I9" s="1">
        <v>1</v>
      </c>
      <c r="J9" s="7">
        <v>0.2</v>
      </c>
      <c r="K9" s="8">
        <f>VLOOKUP($A9,'Temprorary Data'!$A:$G,2,FALSE)</f>
        <v>0.2576</v>
      </c>
      <c r="L9" s="8">
        <f>VLOOKUP($A9,'Temprorary Data'!$A:$G,3,FALSE)</f>
        <v>0.86</v>
      </c>
      <c r="M9" s="8">
        <f>VLOOKUP($A9,'Temprorary Data'!$A:$G,4,FALSE)</f>
        <v>0</v>
      </c>
      <c r="N9" s="9">
        <f>VLOOKUP($A9,'Temprorary Data'!$A:$G,5,FALSE)</f>
        <v>1</v>
      </c>
      <c r="O9" s="9">
        <f>VLOOKUP($A9,'Temprorary Data'!$A:$G,6,FALSE)</f>
        <v>2</v>
      </c>
      <c r="P9" s="9">
        <f>VLOOKUP($A9,'Temprorary Data'!$A:$G,7,FALSE)</f>
        <v>3</v>
      </c>
      <c r="Q9" t="b">
        <f t="shared" si="0"/>
        <v>1</v>
      </c>
      <c r="R9" t="str">
        <f t="shared" si="1"/>
        <v>January</v>
      </c>
      <c r="S9" t="str">
        <f t="shared" si="2"/>
        <v>Saturday</v>
      </c>
      <c r="T9" t="str">
        <f t="shared" si="3"/>
        <v>Weekend</v>
      </c>
      <c r="U9" t="str">
        <f t="shared" si="4"/>
        <v>Spring</v>
      </c>
      <c r="V9" t="str">
        <f t="shared" si="5"/>
        <v>Clear</v>
      </c>
      <c r="W9" t="str">
        <f t="shared" si="6"/>
        <v>Morning Peak</v>
      </c>
      <c r="X9" t="str">
        <f t="shared" si="7"/>
        <v>Low</v>
      </c>
      <c r="Y9" t="str">
        <f t="shared" si="8"/>
        <v>High</v>
      </c>
    </row>
    <row r="10" spans="1:25" ht="15.75" thickBot="1">
      <c r="A10" s="1">
        <v>9</v>
      </c>
      <c r="B10" s="2">
        <v>40544</v>
      </c>
      <c r="C10" s="1">
        <v>1</v>
      </c>
      <c r="D10" s="1">
        <v>0</v>
      </c>
      <c r="E10" s="1">
        <v>1</v>
      </c>
      <c r="F10" s="1">
        <v>8</v>
      </c>
      <c r="G10" s="3" t="b">
        <v>0</v>
      </c>
      <c r="H10" s="1">
        <v>6</v>
      </c>
      <c r="I10" s="1">
        <v>1</v>
      </c>
      <c r="J10" s="7">
        <v>0.24</v>
      </c>
      <c r="K10" s="8">
        <f>VLOOKUP($A10,'Temprorary Data'!$A:$G,2,FALSE)</f>
        <v>0</v>
      </c>
      <c r="L10" s="8">
        <f>VLOOKUP($A10,'Temprorary Data'!$A:$G,3,FALSE)</f>
        <v>0.75</v>
      </c>
      <c r="M10" s="8">
        <f>VLOOKUP($A10,'Temprorary Data'!$A:$G,4,FALSE)</f>
        <v>0</v>
      </c>
      <c r="N10" s="9">
        <f>VLOOKUP($A10,'Temprorary Data'!$A:$G,5,FALSE)</f>
        <v>1</v>
      </c>
      <c r="O10" s="9">
        <f>VLOOKUP($A10,'Temprorary Data'!$A:$G,6,FALSE)</f>
        <v>7</v>
      </c>
      <c r="P10" s="9">
        <f>VLOOKUP($A10,'Temprorary Data'!$A:$G,7,FALSE)</f>
        <v>8</v>
      </c>
      <c r="Q10" t="b">
        <f t="shared" si="0"/>
        <v>1</v>
      </c>
      <c r="R10" t="str">
        <f t="shared" si="1"/>
        <v>January</v>
      </c>
      <c r="S10" t="str">
        <f t="shared" si="2"/>
        <v>Saturday</v>
      </c>
      <c r="T10" t="str">
        <f t="shared" si="3"/>
        <v>Weekend</v>
      </c>
      <c r="U10" t="str">
        <f t="shared" si="4"/>
        <v>Spring</v>
      </c>
      <c r="V10" t="str">
        <f t="shared" si="5"/>
        <v>Clear</v>
      </c>
      <c r="W10" t="str">
        <f t="shared" si="6"/>
        <v>Morning Peak</v>
      </c>
      <c r="X10" t="str">
        <f t="shared" si="7"/>
        <v>Low</v>
      </c>
      <c r="Y10" t="str">
        <f t="shared" si="8"/>
        <v>High</v>
      </c>
    </row>
    <row r="11" spans="1:25" ht="15.75" thickBot="1">
      <c r="A11" s="1">
        <v>10</v>
      </c>
      <c r="B11" s="2">
        <v>40544</v>
      </c>
      <c r="C11" s="1">
        <v>1</v>
      </c>
      <c r="D11" s="1">
        <v>0</v>
      </c>
      <c r="E11" s="1">
        <v>1</v>
      </c>
      <c r="F11" s="1">
        <v>9</v>
      </c>
      <c r="G11" s="3" t="b">
        <v>0</v>
      </c>
      <c r="H11" s="1">
        <v>6</v>
      </c>
      <c r="I11" s="1">
        <v>1</v>
      </c>
      <c r="J11" s="7">
        <v>0.32</v>
      </c>
      <c r="K11" s="8">
        <f>VLOOKUP($A11,'Temprorary Data'!$A:$G,2,FALSE)</f>
        <v>0.34849999999999998</v>
      </c>
      <c r="L11" s="8">
        <f>VLOOKUP($A11,'Temprorary Data'!$A:$G,3,FALSE)</f>
        <v>0.76</v>
      </c>
      <c r="M11" s="8">
        <f>VLOOKUP($A11,'Temprorary Data'!$A:$G,4,FALSE)</f>
        <v>0</v>
      </c>
      <c r="N11" s="9">
        <f>VLOOKUP($A11,'Temprorary Data'!$A:$G,5,FALSE)</f>
        <v>8</v>
      </c>
      <c r="O11" s="9">
        <f>VLOOKUP($A11,'Temprorary Data'!$A:$G,6,FALSE)</f>
        <v>6</v>
      </c>
      <c r="P11" s="9">
        <f>VLOOKUP($A11,'Temprorary Data'!$A:$G,7,FALSE)</f>
        <v>14</v>
      </c>
      <c r="Q11" t="b">
        <f t="shared" si="0"/>
        <v>1</v>
      </c>
      <c r="R11" t="str">
        <f t="shared" si="1"/>
        <v>January</v>
      </c>
      <c r="S11" t="str">
        <f t="shared" si="2"/>
        <v>Saturday</v>
      </c>
      <c r="T11" t="str">
        <f t="shared" si="3"/>
        <v>Weekend</v>
      </c>
      <c r="U11" t="str">
        <f t="shared" si="4"/>
        <v>Spring</v>
      </c>
      <c r="V11" t="str">
        <f t="shared" si="5"/>
        <v>Clear</v>
      </c>
      <c r="W11" t="str">
        <f t="shared" si="6"/>
        <v>Morning Peak</v>
      </c>
      <c r="X11" t="str">
        <f t="shared" si="7"/>
        <v>Medium</v>
      </c>
      <c r="Y11" t="str">
        <f t="shared" si="8"/>
        <v>High</v>
      </c>
    </row>
    <row r="12" spans="1:25" ht="15.75" thickBot="1">
      <c r="A12" s="1">
        <v>11</v>
      </c>
      <c r="B12" s="2">
        <v>40544</v>
      </c>
      <c r="C12" s="1">
        <v>1</v>
      </c>
      <c r="D12" s="1">
        <v>0</v>
      </c>
      <c r="E12" s="1">
        <v>1</v>
      </c>
      <c r="F12" s="1">
        <v>10</v>
      </c>
      <c r="G12" s="3" t="b">
        <v>0</v>
      </c>
      <c r="H12" s="1">
        <v>6</v>
      </c>
      <c r="I12" s="1">
        <v>1</v>
      </c>
      <c r="J12" s="7">
        <v>0.38</v>
      </c>
      <c r="K12" s="8">
        <f>VLOOKUP($A12,'Temprorary Data'!$A:$G,2,FALSE)</f>
        <v>0.39389999999999997</v>
      </c>
      <c r="L12" s="8">
        <f>VLOOKUP($A12,'Temprorary Data'!$A:$G,3,FALSE)</f>
        <v>0.76</v>
      </c>
      <c r="M12" s="8">
        <f>VLOOKUP($A12,'Temprorary Data'!$A:$G,4,FALSE)</f>
        <v>0.25369999999999998</v>
      </c>
      <c r="N12" s="9">
        <f>VLOOKUP($A12,'Temprorary Data'!$A:$G,5,FALSE)</f>
        <v>12</v>
      </c>
      <c r="O12" s="9">
        <f>VLOOKUP($A12,'Temprorary Data'!$A:$G,6,FALSE)</f>
        <v>24</v>
      </c>
      <c r="P12" s="9">
        <f>VLOOKUP($A12,'Temprorary Data'!$A:$G,7,FALSE)</f>
        <v>36</v>
      </c>
      <c r="Q12" t="b">
        <f t="shared" si="0"/>
        <v>1</v>
      </c>
      <c r="R12" t="str">
        <f t="shared" si="1"/>
        <v>January</v>
      </c>
      <c r="S12" t="str">
        <f t="shared" si="2"/>
        <v>Saturday</v>
      </c>
      <c r="T12" t="str">
        <f t="shared" si="3"/>
        <v>Weekend</v>
      </c>
      <c r="U12" t="str">
        <f t="shared" si="4"/>
        <v>Spring</v>
      </c>
      <c r="V12" t="str">
        <f t="shared" si="5"/>
        <v>Clear</v>
      </c>
      <c r="W12" t="str">
        <f t="shared" si="6"/>
        <v>Off Peak</v>
      </c>
      <c r="X12" t="str">
        <f t="shared" si="7"/>
        <v>Medium</v>
      </c>
      <c r="Y12" t="str">
        <f t="shared" si="8"/>
        <v>High</v>
      </c>
    </row>
    <row r="13" spans="1:25" ht="15.75" thickBot="1">
      <c r="A13" s="1">
        <v>12</v>
      </c>
      <c r="B13" s="2">
        <v>40544</v>
      </c>
      <c r="C13" s="1">
        <v>1</v>
      </c>
      <c r="D13" s="1">
        <v>0</v>
      </c>
      <c r="E13" s="1">
        <v>1</v>
      </c>
      <c r="F13" s="1">
        <v>11</v>
      </c>
      <c r="G13" s="3" t="b">
        <v>0</v>
      </c>
      <c r="H13" s="1">
        <v>6</v>
      </c>
      <c r="I13" s="1">
        <v>1</v>
      </c>
      <c r="J13" s="7">
        <v>0.36</v>
      </c>
      <c r="K13" s="8">
        <f>VLOOKUP($A13,'Temprorary Data'!$A:$G,2,FALSE)</f>
        <v>0.33329999999999999</v>
      </c>
      <c r="L13" s="8">
        <f>VLOOKUP($A13,'Temprorary Data'!$A:$G,3,FALSE)</f>
        <v>0.81</v>
      </c>
      <c r="M13" s="8">
        <f>VLOOKUP($A13,'Temprorary Data'!$A:$G,4,FALSE)</f>
        <v>0.28360000000000002</v>
      </c>
      <c r="N13" s="9">
        <f>VLOOKUP($A13,'Temprorary Data'!$A:$G,5,FALSE)</f>
        <v>26</v>
      </c>
      <c r="O13" s="9">
        <f>VLOOKUP($A13,'Temprorary Data'!$A:$G,6,FALSE)</f>
        <v>30</v>
      </c>
      <c r="P13" s="9">
        <f>VLOOKUP($A13,'Temprorary Data'!$A:$G,7,FALSE)</f>
        <v>56</v>
      </c>
      <c r="Q13" t="b">
        <f t="shared" si="0"/>
        <v>1</v>
      </c>
      <c r="R13" t="str">
        <f t="shared" si="1"/>
        <v>January</v>
      </c>
      <c r="S13" t="str">
        <f t="shared" si="2"/>
        <v>Saturday</v>
      </c>
      <c r="T13" t="str">
        <f t="shared" si="3"/>
        <v>Weekend</v>
      </c>
      <c r="U13" t="str">
        <f t="shared" si="4"/>
        <v>Spring</v>
      </c>
      <c r="V13" t="str">
        <f t="shared" si="5"/>
        <v>Clear</v>
      </c>
      <c r="W13" t="str">
        <f t="shared" si="6"/>
        <v>Off Peak</v>
      </c>
      <c r="X13" t="str">
        <f t="shared" si="7"/>
        <v>Medium</v>
      </c>
      <c r="Y13" t="str">
        <f t="shared" si="8"/>
        <v>High</v>
      </c>
    </row>
    <row r="14" spans="1:25" ht="15.75" thickBot="1">
      <c r="A14" s="1">
        <v>13</v>
      </c>
      <c r="B14" s="2">
        <v>40544</v>
      </c>
      <c r="C14" s="1">
        <v>1</v>
      </c>
      <c r="D14" s="1">
        <v>0</v>
      </c>
      <c r="E14" s="1">
        <v>1</v>
      </c>
      <c r="F14" s="1">
        <v>12</v>
      </c>
      <c r="G14" s="3" t="b">
        <v>0</v>
      </c>
      <c r="H14" s="1">
        <v>6</v>
      </c>
      <c r="I14" s="1">
        <v>1</v>
      </c>
      <c r="J14" s="7">
        <v>0.42</v>
      </c>
      <c r="K14" s="8">
        <f>VLOOKUP($A14,'Temprorary Data'!$A:$G,2,FALSE)</f>
        <v>0.42420000000000002</v>
      </c>
      <c r="L14" s="8">
        <f>VLOOKUP($A14,'Temprorary Data'!$A:$G,3,FALSE)</f>
        <v>0.77</v>
      </c>
      <c r="M14" s="8">
        <f>VLOOKUP($A14,'Temprorary Data'!$A:$G,4,FALSE)</f>
        <v>0.28360000000000002</v>
      </c>
      <c r="N14" s="9">
        <f>VLOOKUP($A14,'Temprorary Data'!$A:$G,5,FALSE)</f>
        <v>29</v>
      </c>
      <c r="O14" s="9">
        <f>VLOOKUP($A14,'Temprorary Data'!$A:$G,6,FALSE)</f>
        <v>55</v>
      </c>
      <c r="P14" s="9">
        <f>VLOOKUP($A14,'Temprorary Data'!$A:$G,7,FALSE)</f>
        <v>84</v>
      </c>
      <c r="Q14" t="b">
        <f t="shared" si="0"/>
        <v>1</v>
      </c>
      <c r="R14" t="str">
        <f t="shared" si="1"/>
        <v>January</v>
      </c>
      <c r="S14" t="str">
        <f t="shared" si="2"/>
        <v>Saturday</v>
      </c>
      <c r="T14" t="str">
        <f t="shared" si="3"/>
        <v>Weekend</v>
      </c>
      <c r="U14" t="str">
        <f t="shared" si="4"/>
        <v>Spring</v>
      </c>
      <c r="V14" t="str">
        <f t="shared" si="5"/>
        <v>Clear</v>
      </c>
      <c r="W14" t="str">
        <f t="shared" si="6"/>
        <v>Off Peak</v>
      </c>
      <c r="X14" t="str">
        <f t="shared" si="7"/>
        <v>Medium</v>
      </c>
      <c r="Y14" t="str">
        <f t="shared" si="8"/>
        <v>High</v>
      </c>
    </row>
    <row r="15" spans="1:25" ht="15.75" thickBot="1">
      <c r="A15" s="1">
        <v>14</v>
      </c>
      <c r="B15" s="2">
        <v>40544</v>
      </c>
      <c r="C15" s="1">
        <v>1</v>
      </c>
      <c r="D15" s="1">
        <v>0</v>
      </c>
      <c r="E15" s="1">
        <v>1</v>
      </c>
      <c r="F15" s="1">
        <v>13</v>
      </c>
      <c r="G15" s="3" t="b">
        <v>0</v>
      </c>
      <c r="H15" s="1">
        <v>6</v>
      </c>
      <c r="I15" s="1">
        <v>2</v>
      </c>
      <c r="J15" s="7">
        <v>0.46</v>
      </c>
      <c r="K15" s="8">
        <f>VLOOKUP($A15,'Temprorary Data'!$A:$G,2,FALSE)</f>
        <v>0.45450000000000002</v>
      </c>
      <c r="L15" s="8">
        <f>VLOOKUP($A15,'Temprorary Data'!$A:$G,3,FALSE)</f>
        <v>0.72</v>
      </c>
      <c r="M15" s="8">
        <f>VLOOKUP($A15,'Temprorary Data'!$A:$G,4,FALSE)</f>
        <v>0.29849999999999999</v>
      </c>
      <c r="N15" s="9">
        <f>VLOOKUP($A15,'Temprorary Data'!$A:$G,5,FALSE)</f>
        <v>47</v>
      </c>
      <c r="O15" s="9">
        <f>VLOOKUP($A15,'Temprorary Data'!$A:$G,6,FALSE)</f>
        <v>47</v>
      </c>
      <c r="P15" s="9">
        <f>VLOOKUP($A15,'Temprorary Data'!$A:$G,7,FALSE)</f>
        <v>94</v>
      </c>
      <c r="Q15" t="b">
        <f t="shared" si="0"/>
        <v>1</v>
      </c>
      <c r="R15" t="str">
        <f t="shared" si="1"/>
        <v>January</v>
      </c>
      <c r="S15" t="str">
        <f t="shared" si="2"/>
        <v>Saturday</v>
      </c>
      <c r="T15" t="str">
        <f t="shared" si="3"/>
        <v>Weekend</v>
      </c>
      <c r="U15" t="str">
        <f t="shared" si="4"/>
        <v>Spring</v>
      </c>
      <c r="V15" t="str">
        <f t="shared" si="5"/>
        <v>Mist</v>
      </c>
      <c r="W15" t="str">
        <f t="shared" si="6"/>
        <v>Off Peak</v>
      </c>
      <c r="X15" t="str">
        <f t="shared" si="7"/>
        <v>Medium</v>
      </c>
      <c r="Y15" t="str">
        <f t="shared" si="8"/>
        <v>High</v>
      </c>
    </row>
    <row r="16" spans="1:25" ht="15.75" thickBot="1">
      <c r="A16" s="1">
        <v>15</v>
      </c>
      <c r="B16" s="2">
        <v>40544</v>
      </c>
      <c r="C16" s="1">
        <v>1</v>
      </c>
      <c r="D16" s="1">
        <v>0</v>
      </c>
      <c r="E16" s="1">
        <v>1</v>
      </c>
      <c r="F16" s="1">
        <v>14</v>
      </c>
      <c r="G16" s="3" t="b">
        <v>0</v>
      </c>
      <c r="H16" s="1">
        <v>6</v>
      </c>
      <c r="I16" s="1">
        <v>2</v>
      </c>
      <c r="J16" s="7">
        <v>0.46</v>
      </c>
      <c r="K16" s="8">
        <f>VLOOKUP($A16,'Temprorary Data'!$A:$G,2,FALSE)</f>
        <v>0.45450000000000002</v>
      </c>
      <c r="L16" s="8">
        <f>VLOOKUP($A16,'Temprorary Data'!$A:$G,3,FALSE)</f>
        <v>0.72</v>
      </c>
      <c r="M16" s="8">
        <f>VLOOKUP($A16,'Temprorary Data'!$A:$G,4,FALSE)</f>
        <v>0.28360000000000002</v>
      </c>
      <c r="N16" s="9">
        <f>VLOOKUP($A16,'Temprorary Data'!$A:$G,5,FALSE)</f>
        <v>35</v>
      </c>
      <c r="O16" s="9">
        <f>VLOOKUP($A16,'Temprorary Data'!$A:$G,6,FALSE)</f>
        <v>71</v>
      </c>
      <c r="P16" s="9">
        <f>VLOOKUP($A16,'Temprorary Data'!$A:$G,7,FALSE)</f>
        <v>106</v>
      </c>
      <c r="Q16" t="b">
        <f t="shared" si="0"/>
        <v>1</v>
      </c>
      <c r="R16" t="str">
        <f t="shared" si="1"/>
        <v>January</v>
      </c>
      <c r="S16" t="str">
        <f t="shared" si="2"/>
        <v>Saturday</v>
      </c>
      <c r="T16" t="str">
        <f t="shared" si="3"/>
        <v>Weekend</v>
      </c>
      <c r="U16" t="str">
        <f t="shared" si="4"/>
        <v>Spring</v>
      </c>
      <c r="V16" t="str">
        <f t="shared" si="5"/>
        <v>Mist</v>
      </c>
      <c r="W16" t="str">
        <f t="shared" si="6"/>
        <v>Off Peak</v>
      </c>
      <c r="X16" t="str">
        <f t="shared" si="7"/>
        <v>Medium</v>
      </c>
      <c r="Y16" t="str">
        <f t="shared" si="8"/>
        <v>High</v>
      </c>
    </row>
    <row r="17" spans="1:25" ht="15.75" thickBot="1">
      <c r="A17" s="1">
        <v>16</v>
      </c>
      <c r="B17" s="2">
        <v>40544</v>
      </c>
      <c r="C17" s="1">
        <v>1</v>
      </c>
      <c r="D17" s="1">
        <v>0</v>
      </c>
      <c r="E17" s="1">
        <v>1</v>
      </c>
      <c r="F17" s="1">
        <v>15</v>
      </c>
      <c r="G17" s="3" t="b">
        <v>0</v>
      </c>
      <c r="H17" s="1">
        <v>6</v>
      </c>
      <c r="I17" s="1">
        <v>2</v>
      </c>
      <c r="J17" s="7">
        <v>0.44</v>
      </c>
      <c r="K17" s="8">
        <f>VLOOKUP($A17,'Temprorary Data'!$A:$G,2,FALSE)</f>
        <v>0.43940000000000001</v>
      </c>
      <c r="L17" s="8">
        <f>VLOOKUP($A17,'Temprorary Data'!$A:$G,3,FALSE)</f>
        <v>0.77</v>
      </c>
      <c r="M17" s="8">
        <f>VLOOKUP($A17,'Temprorary Data'!$A:$G,4,FALSE)</f>
        <v>0.29849999999999999</v>
      </c>
      <c r="N17" s="9">
        <f>VLOOKUP($A17,'Temprorary Data'!$A:$G,5,FALSE)</f>
        <v>40</v>
      </c>
      <c r="O17" s="9">
        <f>VLOOKUP($A17,'Temprorary Data'!$A:$G,6,FALSE)</f>
        <v>70</v>
      </c>
      <c r="P17" s="9">
        <f>VLOOKUP($A17,'Temprorary Data'!$A:$G,7,FALSE)</f>
        <v>110</v>
      </c>
      <c r="Q17" t="b">
        <f t="shared" si="0"/>
        <v>1</v>
      </c>
      <c r="R17" t="str">
        <f t="shared" si="1"/>
        <v>January</v>
      </c>
      <c r="S17" t="str">
        <f t="shared" si="2"/>
        <v>Saturday</v>
      </c>
      <c r="T17" t="str">
        <f t="shared" si="3"/>
        <v>Weekend</v>
      </c>
      <c r="U17" t="str">
        <f t="shared" si="4"/>
        <v>Spring</v>
      </c>
      <c r="V17" t="str">
        <f t="shared" si="5"/>
        <v>Mist</v>
      </c>
      <c r="W17" t="str">
        <f t="shared" si="6"/>
        <v>Off Peak</v>
      </c>
      <c r="X17" t="str">
        <f t="shared" si="7"/>
        <v>Medium</v>
      </c>
      <c r="Y17" t="str">
        <f t="shared" si="8"/>
        <v>High</v>
      </c>
    </row>
    <row r="18" spans="1:25" ht="15.75" thickBot="1">
      <c r="A18" s="1">
        <v>17</v>
      </c>
      <c r="B18" s="2">
        <v>40544</v>
      </c>
      <c r="C18" s="1">
        <v>1</v>
      </c>
      <c r="D18" s="1">
        <v>0</v>
      </c>
      <c r="E18" s="1">
        <v>1</v>
      </c>
      <c r="F18" s="1">
        <v>16</v>
      </c>
      <c r="G18" s="3" t="b">
        <v>0</v>
      </c>
      <c r="H18" s="1">
        <v>6</v>
      </c>
      <c r="I18" s="1">
        <v>2</v>
      </c>
      <c r="J18" s="7">
        <v>0.42</v>
      </c>
      <c r="K18" s="8">
        <f>VLOOKUP($A18,'Temprorary Data'!$A:$G,2,FALSE)</f>
        <v>0.42420000000000002</v>
      </c>
      <c r="L18" s="8">
        <f>VLOOKUP($A18,'Temprorary Data'!$A:$G,3,FALSE)</f>
        <v>0.82</v>
      </c>
      <c r="M18" s="8">
        <f>VLOOKUP($A18,'Temprorary Data'!$A:$G,4,FALSE)</f>
        <v>0.29849999999999999</v>
      </c>
      <c r="N18" s="9">
        <f>VLOOKUP($A18,'Temprorary Data'!$A:$G,5,FALSE)</f>
        <v>41</v>
      </c>
      <c r="O18" s="9">
        <f>VLOOKUP($A18,'Temprorary Data'!$A:$G,6,FALSE)</f>
        <v>52</v>
      </c>
      <c r="P18" s="9">
        <f>VLOOKUP($A18,'Temprorary Data'!$A:$G,7,FALSE)</f>
        <v>93</v>
      </c>
      <c r="Q18" t="b">
        <f t="shared" si="0"/>
        <v>1</v>
      </c>
      <c r="R18" t="str">
        <f t="shared" si="1"/>
        <v>January</v>
      </c>
      <c r="S18" t="str">
        <f t="shared" si="2"/>
        <v>Saturday</v>
      </c>
      <c r="T18" t="str">
        <f t="shared" si="3"/>
        <v>Weekend</v>
      </c>
      <c r="U18" t="str">
        <f t="shared" si="4"/>
        <v>Spring</v>
      </c>
      <c r="V18" t="str">
        <f t="shared" si="5"/>
        <v>Mist</v>
      </c>
      <c r="W18" t="str">
        <f t="shared" si="6"/>
        <v>Off Peak</v>
      </c>
      <c r="X18" t="str">
        <f t="shared" si="7"/>
        <v>Medium</v>
      </c>
      <c r="Y18" t="str">
        <f t="shared" si="8"/>
        <v>High</v>
      </c>
    </row>
    <row r="19" spans="1:25" ht="15.75" thickBot="1">
      <c r="A19" s="1">
        <v>18</v>
      </c>
      <c r="B19" s="2">
        <v>40544</v>
      </c>
      <c r="C19" s="1">
        <v>1</v>
      </c>
      <c r="D19" s="1">
        <v>0</v>
      </c>
      <c r="E19" s="1">
        <v>1</v>
      </c>
      <c r="F19" s="1">
        <v>17</v>
      </c>
      <c r="G19" s="3" t="b">
        <v>0</v>
      </c>
      <c r="H19" s="1">
        <v>6</v>
      </c>
      <c r="I19" s="1">
        <v>2</v>
      </c>
      <c r="J19" s="7">
        <v>0.44</v>
      </c>
      <c r="K19" s="8">
        <f>VLOOKUP($A19,'Temprorary Data'!$A:$G,2,FALSE)</f>
        <v>0</v>
      </c>
      <c r="L19" s="8">
        <f>VLOOKUP($A19,'Temprorary Data'!$A:$G,3,FALSE)</f>
        <v>0.82</v>
      </c>
      <c r="M19" s="8">
        <f>VLOOKUP($A19,'Temprorary Data'!$A:$G,4,FALSE)</f>
        <v>0.28360000000000002</v>
      </c>
      <c r="N19" s="9">
        <f>VLOOKUP($A19,'Temprorary Data'!$A:$G,5,FALSE)</f>
        <v>15</v>
      </c>
      <c r="O19" s="9">
        <f>VLOOKUP($A19,'Temprorary Data'!$A:$G,6,FALSE)</f>
        <v>52</v>
      </c>
      <c r="P19" s="9">
        <f>VLOOKUP($A19,'Temprorary Data'!$A:$G,7,FALSE)</f>
        <v>67</v>
      </c>
      <c r="Q19" t="b">
        <f t="shared" si="0"/>
        <v>1</v>
      </c>
      <c r="R19" t="str">
        <f t="shared" si="1"/>
        <v>January</v>
      </c>
      <c r="S19" t="str">
        <f t="shared" si="2"/>
        <v>Saturday</v>
      </c>
      <c r="T19" t="str">
        <f t="shared" si="3"/>
        <v>Weekend</v>
      </c>
      <c r="U19" t="str">
        <f t="shared" si="4"/>
        <v>Spring</v>
      </c>
      <c r="V19" t="str">
        <f t="shared" si="5"/>
        <v>Mist</v>
      </c>
      <c r="W19" t="str">
        <f t="shared" si="6"/>
        <v>Evening Peak</v>
      </c>
      <c r="X19" t="str">
        <f t="shared" si="7"/>
        <v>Medium</v>
      </c>
      <c r="Y19" t="str">
        <f t="shared" si="8"/>
        <v>High</v>
      </c>
    </row>
    <row r="20" spans="1:25" ht="15.75" thickBot="1">
      <c r="A20" s="1">
        <v>19</v>
      </c>
      <c r="B20" s="2">
        <v>40544</v>
      </c>
      <c r="C20" s="1">
        <v>1</v>
      </c>
      <c r="D20" s="1">
        <v>0</v>
      </c>
      <c r="E20" s="1">
        <v>1</v>
      </c>
      <c r="F20" s="1">
        <v>18</v>
      </c>
      <c r="G20" s="3" t="b">
        <v>0</v>
      </c>
      <c r="H20" s="1">
        <v>6</v>
      </c>
      <c r="I20" s="1">
        <v>3</v>
      </c>
      <c r="J20" s="7">
        <v>0.42</v>
      </c>
      <c r="K20" s="8">
        <f>VLOOKUP($A20,'Temprorary Data'!$A:$G,2,FALSE)</f>
        <v>0.42420000000000002</v>
      </c>
      <c r="L20" s="8">
        <f>VLOOKUP($A20,'Temprorary Data'!$A:$G,3,FALSE)</f>
        <v>0.88</v>
      </c>
      <c r="M20" s="8">
        <f>VLOOKUP($A20,'Temprorary Data'!$A:$G,4,FALSE)</f>
        <v>0.25369999999999998</v>
      </c>
      <c r="N20" s="9">
        <f>VLOOKUP($A20,'Temprorary Data'!$A:$G,5,FALSE)</f>
        <v>9</v>
      </c>
      <c r="O20" s="9">
        <f>VLOOKUP($A20,'Temprorary Data'!$A:$G,6,FALSE)</f>
        <v>26</v>
      </c>
      <c r="P20" s="9">
        <f>VLOOKUP($A20,'Temprorary Data'!$A:$G,7,FALSE)</f>
        <v>35</v>
      </c>
      <c r="Q20" t="b">
        <f t="shared" si="0"/>
        <v>1</v>
      </c>
      <c r="R20" t="str">
        <f t="shared" si="1"/>
        <v>January</v>
      </c>
      <c r="S20" t="str">
        <f t="shared" si="2"/>
        <v>Saturday</v>
      </c>
      <c r="T20" t="str">
        <f t="shared" si="3"/>
        <v>Weekend</v>
      </c>
      <c r="U20" t="str">
        <f t="shared" si="4"/>
        <v>Spring</v>
      </c>
      <c r="V20" t="str">
        <f t="shared" si="5"/>
        <v>Light Rain</v>
      </c>
      <c r="W20" t="str">
        <f t="shared" si="6"/>
        <v>Evening Peak</v>
      </c>
      <c r="X20" t="str">
        <f t="shared" si="7"/>
        <v>Medium</v>
      </c>
      <c r="Y20" t="str">
        <f t="shared" si="8"/>
        <v>High</v>
      </c>
    </row>
    <row r="21" spans="1:25" ht="15.75" thickBot="1">
      <c r="A21" s="1">
        <v>20</v>
      </c>
      <c r="B21" s="2">
        <v>40544</v>
      </c>
      <c r="C21" s="1">
        <v>1</v>
      </c>
      <c r="D21" s="1">
        <v>0</v>
      </c>
      <c r="E21" s="1">
        <v>1</v>
      </c>
      <c r="F21" s="1">
        <v>19</v>
      </c>
      <c r="G21" s="3" t="b">
        <v>0</v>
      </c>
      <c r="H21" s="1">
        <v>6</v>
      </c>
      <c r="I21" s="1">
        <v>3</v>
      </c>
      <c r="J21" s="7">
        <v>0.42</v>
      </c>
      <c r="K21" s="8">
        <f>VLOOKUP($A21,'Temprorary Data'!$A:$G,2,FALSE)</f>
        <v>0.42420000000000002</v>
      </c>
      <c r="L21" s="8">
        <f>VLOOKUP($A21,'Temprorary Data'!$A:$G,3,FALSE)</f>
        <v>0.88</v>
      </c>
      <c r="M21" s="8">
        <f>VLOOKUP($A21,'Temprorary Data'!$A:$G,4,FALSE)</f>
        <v>0.25369999999999998</v>
      </c>
      <c r="N21" s="9">
        <f>VLOOKUP($A21,'Temprorary Data'!$A:$G,5,FALSE)</f>
        <v>6</v>
      </c>
      <c r="O21" s="9">
        <f>VLOOKUP($A21,'Temprorary Data'!$A:$G,6,FALSE)</f>
        <v>31</v>
      </c>
      <c r="P21" s="9">
        <f>VLOOKUP($A21,'Temprorary Data'!$A:$G,7,FALSE)</f>
        <v>37</v>
      </c>
      <c r="Q21" t="b">
        <f t="shared" si="0"/>
        <v>1</v>
      </c>
      <c r="R21" t="str">
        <f t="shared" si="1"/>
        <v>January</v>
      </c>
      <c r="S21" t="str">
        <f t="shared" si="2"/>
        <v>Saturday</v>
      </c>
      <c r="T21" t="str">
        <f t="shared" si="3"/>
        <v>Weekend</v>
      </c>
      <c r="U21" t="str">
        <f t="shared" si="4"/>
        <v>Spring</v>
      </c>
      <c r="V21" t="str">
        <f t="shared" si="5"/>
        <v>Light Rain</v>
      </c>
      <c r="W21" t="str">
        <f t="shared" si="6"/>
        <v>Evening Peak</v>
      </c>
      <c r="X21" t="str">
        <f t="shared" si="7"/>
        <v>Medium</v>
      </c>
      <c r="Y21" t="str">
        <f t="shared" si="8"/>
        <v>High</v>
      </c>
    </row>
    <row r="22" spans="1:25" ht="15.75" thickBot="1">
      <c r="A22" s="1">
        <v>21</v>
      </c>
      <c r="B22" s="2">
        <v>40544</v>
      </c>
      <c r="C22" s="1">
        <v>1</v>
      </c>
      <c r="D22" s="1">
        <v>0</v>
      </c>
      <c r="E22" s="1">
        <v>1</v>
      </c>
      <c r="F22" s="1">
        <v>20</v>
      </c>
      <c r="G22" s="3" t="b">
        <v>0</v>
      </c>
      <c r="H22" s="1">
        <v>6</v>
      </c>
      <c r="I22" s="1">
        <v>2</v>
      </c>
      <c r="J22" s="7">
        <v>0.4</v>
      </c>
      <c r="K22" s="8">
        <f>VLOOKUP($A22,'Temprorary Data'!$A:$G,2,FALSE)</f>
        <v>0.40910000000000002</v>
      </c>
      <c r="L22" s="8">
        <f>VLOOKUP($A22,'Temprorary Data'!$A:$G,3,FALSE)</f>
        <v>0.87</v>
      </c>
      <c r="M22" s="8">
        <f>VLOOKUP($A22,'Temprorary Data'!$A:$G,4,FALSE)</f>
        <v>0.25369999999999998</v>
      </c>
      <c r="N22" s="9">
        <f>VLOOKUP($A22,'Temprorary Data'!$A:$G,5,FALSE)</f>
        <v>11</v>
      </c>
      <c r="O22" s="9">
        <f>VLOOKUP($A22,'Temprorary Data'!$A:$G,6,FALSE)</f>
        <v>25</v>
      </c>
      <c r="P22" s="9">
        <f>VLOOKUP($A22,'Temprorary Data'!$A:$G,7,FALSE)</f>
        <v>36</v>
      </c>
      <c r="Q22" t="b">
        <f t="shared" si="0"/>
        <v>1</v>
      </c>
      <c r="R22" t="str">
        <f t="shared" si="1"/>
        <v>January</v>
      </c>
      <c r="S22" t="str">
        <f t="shared" si="2"/>
        <v>Saturday</v>
      </c>
      <c r="T22" t="str">
        <f t="shared" si="3"/>
        <v>Weekend</v>
      </c>
      <c r="U22" t="str">
        <f t="shared" si="4"/>
        <v>Spring</v>
      </c>
      <c r="V22" t="str">
        <f t="shared" si="5"/>
        <v>Mist</v>
      </c>
      <c r="W22" t="str">
        <f t="shared" si="6"/>
        <v>Evening Peak</v>
      </c>
      <c r="X22" t="str">
        <f t="shared" si="7"/>
        <v>Medium</v>
      </c>
      <c r="Y22" t="str">
        <f t="shared" si="8"/>
        <v>High</v>
      </c>
    </row>
    <row r="23" spans="1:25" ht="15.75" thickBot="1">
      <c r="A23" s="1">
        <v>22</v>
      </c>
      <c r="B23" s="2">
        <v>40544</v>
      </c>
      <c r="C23" s="1">
        <v>1</v>
      </c>
      <c r="D23" s="1">
        <v>0</v>
      </c>
      <c r="E23" s="1">
        <v>1</v>
      </c>
      <c r="F23" s="1">
        <v>21</v>
      </c>
      <c r="G23" s="3" t="b">
        <v>0</v>
      </c>
      <c r="H23" s="1">
        <v>6</v>
      </c>
      <c r="I23" s="1">
        <v>2</v>
      </c>
      <c r="J23" s="7">
        <v>0.4</v>
      </c>
      <c r="K23" s="8">
        <f>VLOOKUP($A23,'Temprorary Data'!$A:$G,2,FALSE)</f>
        <v>0.40910000000000002</v>
      </c>
      <c r="L23" s="8">
        <f>VLOOKUP($A23,'Temprorary Data'!$A:$G,3,FALSE)</f>
        <v>0.87</v>
      </c>
      <c r="M23" s="8">
        <f>VLOOKUP($A23,'Temprorary Data'!$A:$G,4,FALSE)</f>
        <v>0.19400000000000001</v>
      </c>
      <c r="N23" s="9">
        <f>VLOOKUP($A23,'Temprorary Data'!$A:$G,5,FALSE)</f>
        <v>3</v>
      </c>
      <c r="O23" s="9">
        <f>VLOOKUP($A23,'Temprorary Data'!$A:$G,6,FALSE)</f>
        <v>31</v>
      </c>
      <c r="P23" s="9">
        <f>VLOOKUP($A23,'Temprorary Data'!$A:$G,7,FALSE)</f>
        <v>34</v>
      </c>
      <c r="Q23" t="b">
        <f t="shared" si="0"/>
        <v>1</v>
      </c>
      <c r="R23" t="str">
        <f t="shared" si="1"/>
        <v>January</v>
      </c>
      <c r="S23" t="str">
        <f t="shared" si="2"/>
        <v>Saturday</v>
      </c>
      <c r="T23" t="str">
        <f t="shared" si="3"/>
        <v>Weekend</v>
      </c>
      <c r="U23" t="str">
        <f t="shared" si="4"/>
        <v>Spring</v>
      </c>
      <c r="V23" t="str">
        <f t="shared" si="5"/>
        <v>Mist</v>
      </c>
      <c r="W23" t="str">
        <f t="shared" si="6"/>
        <v>Off Peak</v>
      </c>
      <c r="X23" t="str">
        <f t="shared" si="7"/>
        <v>Medium</v>
      </c>
      <c r="Y23" t="str">
        <f t="shared" si="8"/>
        <v>High</v>
      </c>
    </row>
    <row r="24" spans="1:25" ht="15.75" thickBot="1">
      <c r="A24" s="1">
        <v>23</v>
      </c>
      <c r="B24" s="2">
        <v>40544</v>
      </c>
      <c r="C24" s="1">
        <v>1</v>
      </c>
      <c r="D24" s="1">
        <v>0</v>
      </c>
      <c r="E24" s="1">
        <v>1</v>
      </c>
      <c r="F24" s="1">
        <v>22</v>
      </c>
      <c r="G24" s="3" t="b">
        <v>0</v>
      </c>
      <c r="H24" s="1">
        <v>6</v>
      </c>
      <c r="I24" s="1">
        <v>2</v>
      </c>
      <c r="J24" s="7">
        <v>0.4</v>
      </c>
      <c r="K24" s="8">
        <f>VLOOKUP($A24,'Temprorary Data'!$A:$G,2,FALSE)</f>
        <v>0.40910000000000002</v>
      </c>
      <c r="L24" s="8">
        <f>VLOOKUP($A24,'Temprorary Data'!$A:$G,3,FALSE)</f>
        <v>0.94</v>
      </c>
      <c r="M24" s="8">
        <f>VLOOKUP($A24,'Temprorary Data'!$A:$G,4,FALSE)</f>
        <v>0.22389999999999999</v>
      </c>
      <c r="N24" s="9">
        <f>VLOOKUP($A24,'Temprorary Data'!$A:$G,5,FALSE)</f>
        <v>11</v>
      </c>
      <c r="O24" s="9">
        <f>VLOOKUP($A24,'Temprorary Data'!$A:$G,6,FALSE)</f>
        <v>17</v>
      </c>
      <c r="P24" s="9">
        <f>VLOOKUP($A24,'Temprorary Data'!$A:$G,7,FALSE)</f>
        <v>28</v>
      </c>
      <c r="Q24" t="b">
        <f t="shared" si="0"/>
        <v>1</v>
      </c>
      <c r="R24" t="str">
        <f t="shared" si="1"/>
        <v>January</v>
      </c>
      <c r="S24" t="str">
        <f t="shared" si="2"/>
        <v>Saturday</v>
      </c>
      <c r="T24" t="str">
        <f t="shared" si="3"/>
        <v>Weekend</v>
      </c>
      <c r="U24" t="str">
        <f t="shared" si="4"/>
        <v>Spring</v>
      </c>
      <c r="V24" t="str">
        <f t="shared" si="5"/>
        <v>Mist</v>
      </c>
      <c r="W24" t="str">
        <f t="shared" si="6"/>
        <v>Off Peak</v>
      </c>
      <c r="X24" t="str">
        <f t="shared" si="7"/>
        <v>Medium</v>
      </c>
      <c r="Y24" t="str">
        <f t="shared" si="8"/>
        <v>High</v>
      </c>
    </row>
    <row r="25" spans="1:25" ht="15.75" thickBot="1">
      <c r="A25" s="1">
        <v>24</v>
      </c>
      <c r="B25" s="2">
        <v>40544</v>
      </c>
      <c r="C25" s="1">
        <v>1</v>
      </c>
      <c r="D25" s="1">
        <v>0</v>
      </c>
      <c r="E25" s="1">
        <v>1</v>
      </c>
      <c r="F25" s="1">
        <v>23</v>
      </c>
      <c r="G25" s="3" t="b">
        <v>0</v>
      </c>
      <c r="H25" s="1">
        <v>6</v>
      </c>
      <c r="I25" s="1">
        <v>2</v>
      </c>
      <c r="J25" s="7">
        <v>0.46</v>
      </c>
      <c r="K25" s="8">
        <f>VLOOKUP($A25,'Temprorary Data'!$A:$G,2,FALSE)</f>
        <v>0</v>
      </c>
      <c r="L25" s="8">
        <f>VLOOKUP($A25,'Temprorary Data'!$A:$G,3,FALSE)</f>
        <v>0.88</v>
      </c>
      <c r="M25" s="8">
        <f>VLOOKUP($A25,'Temprorary Data'!$A:$G,4,FALSE)</f>
        <v>0.29849999999999999</v>
      </c>
      <c r="N25" s="9">
        <f>VLOOKUP($A25,'Temprorary Data'!$A:$G,5,FALSE)</f>
        <v>15</v>
      </c>
      <c r="O25" s="9">
        <f>VLOOKUP($A25,'Temprorary Data'!$A:$G,6,FALSE)</f>
        <v>24</v>
      </c>
      <c r="P25" s="9">
        <f>VLOOKUP($A25,'Temprorary Data'!$A:$G,7,FALSE)</f>
        <v>39</v>
      </c>
      <c r="Q25" t="b">
        <f t="shared" si="0"/>
        <v>1</v>
      </c>
      <c r="R25" t="str">
        <f t="shared" si="1"/>
        <v>January</v>
      </c>
      <c r="S25" t="str">
        <f t="shared" si="2"/>
        <v>Saturday</v>
      </c>
      <c r="T25" t="str">
        <f t="shared" si="3"/>
        <v>Weekend</v>
      </c>
      <c r="U25" t="str">
        <f t="shared" si="4"/>
        <v>Spring</v>
      </c>
      <c r="V25" t="str">
        <f t="shared" si="5"/>
        <v>Mist</v>
      </c>
      <c r="W25" t="str">
        <f t="shared" si="6"/>
        <v>Off Peak</v>
      </c>
      <c r="X25" t="str">
        <f t="shared" si="7"/>
        <v>Medium</v>
      </c>
      <c r="Y25" t="str">
        <f t="shared" si="8"/>
        <v>High</v>
      </c>
    </row>
    <row r="26" spans="1:25" ht="15.75" thickBot="1">
      <c r="A26" s="1">
        <v>25</v>
      </c>
      <c r="B26" s="2">
        <v>40545</v>
      </c>
      <c r="C26" s="1">
        <v>1</v>
      </c>
      <c r="D26" s="1">
        <v>0</v>
      </c>
      <c r="E26" s="1">
        <v>1</v>
      </c>
      <c r="F26" s="1">
        <v>0</v>
      </c>
      <c r="G26" s="3" t="b">
        <v>0</v>
      </c>
      <c r="H26" s="1">
        <v>0</v>
      </c>
      <c r="I26" s="1">
        <v>2</v>
      </c>
      <c r="J26" s="7">
        <v>0.46</v>
      </c>
      <c r="K26" s="8">
        <f>VLOOKUP($A26,'Temprorary Data'!$A:$G,2,FALSE)</f>
        <v>0.45450000000000002</v>
      </c>
      <c r="L26" s="8">
        <f>VLOOKUP($A26,'Temprorary Data'!$A:$G,3,FALSE)</f>
        <v>0.88</v>
      </c>
      <c r="M26" s="8">
        <f>VLOOKUP($A26,'Temprorary Data'!$A:$G,4,FALSE)</f>
        <v>0.29849999999999999</v>
      </c>
      <c r="N26" s="9">
        <f>VLOOKUP($A26,'Temprorary Data'!$A:$G,5,FALSE)</f>
        <v>4</v>
      </c>
      <c r="O26" s="9">
        <f>VLOOKUP($A26,'Temprorary Data'!$A:$G,6,FALSE)</f>
        <v>13</v>
      </c>
      <c r="P26" s="9">
        <f>VLOOKUP($A26,'Temprorary Data'!$A:$G,7,FALSE)</f>
        <v>17</v>
      </c>
      <c r="Q26" t="b">
        <f t="shared" si="0"/>
        <v>1</v>
      </c>
      <c r="R26" t="str">
        <f t="shared" si="1"/>
        <v>January</v>
      </c>
      <c r="S26" t="str">
        <f t="shared" si="2"/>
        <v>Sunday</v>
      </c>
      <c r="T26" t="str">
        <f t="shared" si="3"/>
        <v>Weekend</v>
      </c>
      <c r="U26" t="str">
        <f t="shared" si="4"/>
        <v>Spring</v>
      </c>
      <c r="V26" t="str">
        <f t="shared" si="5"/>
        <v>Mist</v>
      </c>
      <c r="W26" t="str">
        <f t="shared" si="6"/>
        <v>Off Peak</v>
      </c>
      <c r="X26" t="str">
        <f t="shared" si="7"/>
        <v>Medium</v>
      </c>
      <c r="Y26" t="str">
        <f t="shared" si="8"/>
        <v>High</v>
      </c>
    </row>
    <row r="27" spans="1:25" ht="15.75" thickBot="1">
      <c r="A27" s="1">
        <v>26</v>
      </c>
      <c r="B27" s="2">
        <v>40545</v>
      </c>
      <c r="C27" s="1">
        <v>1</v>
      </c>
      <c r="D27" s="1">
        <v>0</v>
      </c>
      <c r="E27" s="1">
        <v>1</v>
      </c>
      <c r="F27" s="1">
        <v>1</v>
      </c>
      <c r="G27" s="3" t="b">
        <v>0</v>
      </c>
      <c r="H27" s="1">
        <v>0</v>
      </c>
      <c r="I27" s="1">
        <v>2</v>
      </c>
      <c r="J27" s="7">
        <v>0.44</v>
      </c>
      <c r="K27" s="8">
        <f>VLOOKUP($A27,'Temprorary Data'!$A:$G,2,FALSE)</f>
        <v>0.43940000000000001</v>
      </c>
      <c r="L27" s="8">
        <f>VLOOKUP($A27,'Temprorary Data'!$A:$G,3,FALSE)</f>
        <v>0.94</v>
      </c>
      <c r="M27" s="8">
        <f>VLOOKUP($A27,'Temprorary Data'!$A:$G,4,FALSE)</f>
        <v>0.25369999999999998</v>
      </c>
      <c r="N27" s="9">
        <f>VLOOKUP($A27,'Temprorary Data'!$A:$G,5,FALSE)</f>
        <v>1</v>
      </c>
      <c r="O27" s="9">
        <f>VLOOKUP($A27,'Temprorary Data'!$A:$G,6,FALSE)</f>
        <v>16</v>
      </c>
      <c r="P27" s="9">
        <f>VLOOKUP($A27,'Temprorary Data'!$A:$G,7,FALSE)</f>
        <v>17</v>
      </c>
      <c r="Q27" t="b">
        <f t="shared" si="0"/>
        <v>1</v>
      </c>
      <c r="R27" t="str">
        <f t="shared" si="1"/>
        <v>January</v>
      </c>
      <c r="S27" t="str">
        <f t="shared" si="2"/>
        <v>Sunday</v>
      </c>
      <c r="T27" t="str">
        <f t="shared" si="3"/>
        <v>Weekend</v>
      </c>
      <c r="U27" t="str">
        <f t="shared" si="4"/>
        <v>Spring</v>
      </c>
      <c r="V27" t="str">
        <f t="shared" si="5"/>
        <v>Mist</v>
      </c>
      <c r="W27" t="str">
        <f t="shared" si="6"/>
        <v>Off Peak</v>
      </c>
      <c r="X27" t="str">
        <f t="shared" si="7"/>
        <v>Medium</v>
      </c>
      <c r="Y27" t="str">
        <f t="shared" si="8"/>
        <v>High</v>
      </c>
    </row>
    <row r="28" spans="1:25" ht="15.75" thickBot="1">
      <c r="A28" s="1">
        <v>27</v>
      </c>
      <c r="B28" s="2">
        <v>40545</v>
      </c>
      <c r="C28" s="1">
        <v>1</v>
      </c>
      <c r="D28" s="1">
        <v>0</v>
      </c>
      <c r="E28" s="1">
        <v>1</v>
      </c>
      <c r="F28" s="1">
        <v>2</v>
      </c>
      <c r="G28" s="3" t="b">
        <v>0</v>
      </c>
      <c r="H28" s="1">
        <v>0</v>
      </c>
      <c r="I28" s="1">
        <v>2</v>
      </c>
      <c r="J28" s="7">
        <v>0.42</v>
      </c>
      <c r="K28" s="8">
        <f>VLOOKUP($A28,'Temprorary Data'!$A:$G,2,FALSE)</f>
        <v>0.42420000000000002</v>
      </c>
      <c r="L28" s="8">
        <f>VLOOKUP($A28,'Temprorary Data'!$A:$G,3,FALSE)</f>
        <v>1</v>
      </c>
      <c r="M28" s="8">
        <f>VLOOKUP($A28,'Temprorary Data'!$A:$G,4,FALSE)</f>
        <v>0.28360000000000002</v>
      </c>
      <c r="N28" s="9">
        <f>VLOOKUP($A28,'Temprorary Data'!$A:$G,5,FALSE)</f>
        <v>1</v>
      </c>
      <c r="O28" s="9">
        <f>VLOOKUP($A28,'Temprorary Data'!$A:$G,6,FALSE)</f>
        <v>8</v>
      </c>
      <c r="P28" s="9">
        <f>VLOOKUP($A28,'Temprorary Data'!$A:$G,7,FALSE)</f>
        <v>9</v>
      </c>
      <c r="Q28" t="b">
        <f t="shared" si="0"/>
        <v>1</v>
      </c>
      <c r="R28" t="str">
        <f t="shared" si="1"/>
        <v>January</v>
      </c>
      <c r="S28" t="str">
        <f t="shared" si="2"/>
        <v>Sunday</v>
      </c>
      <c r="T28" t="str">
        <f t="shared" si="3"/>
        <v>Weekend</v>
      </c>
      <c r="U28" t="str">
        <f t="shared" si="4"/>
        <v>Spring</v>
      </c>
      <c r="V28" t="str">
        <f t="shared" si="5"/>
        <v>Mist</v>
      </c>
      <c r="W28" t="str">
        <f t="shared" si="6"/>
        <v>Off Peak</v>
      </c>
      <c r="X28" t="str">
        <f t="shared" si="7"/>
        <v>Medium</v>
      </c>
      <c r="Y28" t="str">
        <f t="shared" si="8"/>
        <v>High</v>
      </c>
    </row>
    <row r="29" spans="1:25" ht="15.75" thickBot="1">
      <c r="A29" s="1">
        <v>28</v>
      </c>
      <c r="B29" s="2">
        <v>40545</v>
      </c>
      <c r="C29" s="1">
        <v>1</v>
      </c>
      <c r="D29" s="1">
        <v>0</v>
      </c>
      <c r="E29" s="1">
        <v>1</v>
      </c>
      <c r="F29" s="1">
        <v>3</v>
      </c>
      <c r="G29" s="3" t="b">
        <v>0</v>
      </c>
      <c r="H29" s="1">
        <v>0</v>
      </c>
      <c r="I29" s="1">
        <v>2</v>
      </c>
      <c r="J29" s="7">
        <v>0.46</v>
      </c>
      <c r="K29" s="8">
        <f>VLOOKUP($A29,'Temprorary Data'!$A:$G,2,FALSE)</f>
        <v>0.45450000000000002</v>
      </c>
      <c r="L29" s="8">
        <f>VLOOKUP($A29,'Temprorary Data'!$A:$G,3,FALSE)</f>
        <v>0.94</v>
      </c>
      <c r="M29" s="8">
        <f>VLOOKUP($A29,'Temprorary Data'!$A:$G,4,FALSE)</f>
        <v>0.19400000000000001</v>
      </c>
      <c r="N29" s="9">
        <f>VLOOKUP($A29,'Temprorary Data'!$A:$G,5,FALSE)</f>
        <v>2</v>
      </c>
      <c r="O29" s="9">
        <f>VLOOKUP($A29,'Temprorary Data'!$A:$G,6,FALSE)</f>
        <v>4</v>
      </c>
      <c r="P29" s="9">
        <f>VLOOKUP($A29,'Temprorary Data'!$A:$G,7,FALSE)</f>
        <v>6</v>
      </c>
      <c r="Q29" t="b">
        <f t="shared" si="0"/>
        <v>1</v>
      </c>
      <c r="R29" t="str">
        <f t="shared" si="1"/>
        <v>January</v>
      </c>
      <c r="S29" t="str">
        <f t="shared" si="2"/>
        <v>Sunday</v>
      </c>
      <c r="T29" t="str">
        <f t="shared" si="3"/>
        <v>Weekend</v>
      </c>
      <c r="U29" t="str">
        <f t="shared" si="4"/>
        <v>Spring</v>
      </c>
      <c r="V29" t="str">
        <f t="shared" si="5"/>
        <v>Mist</v>
      </c>
      <c r="W29" t="str">
        <f t="shared" si="6"/>
        <v>Off Peak</v>
      </c>
      <c r="X29" t="str">
        <f t="shared" si="7"/>
        <v>Medium</v>
      </c>
      <c r="Y29" t="str">
        <f t="shared" si="8"/>
        <v>High</v>
      </c>
    </row>
    <row r="30" spans="1:25" ht="15.75" thickBot="1">
      <c r="A30" s="1">
        <v>29</v>
      </c>
      <c r="B30" s="2">
        <v>40545</v>
      </c>
      <c r="C30" s="1">
        <v>1</v>
      </c>
      <c r="D30" s="1">
        <v>0</v>
      </c>
      <c r="E30" s="1">
        <v>1</v>
      </c>
      <c r="F30" s="1">
        <v>4</v>
      </c>
      <c r="G30" s="3" t="b">
        <v>0</v>
      </c>
      <c r="H30" s="1">
        <v>0</v>
      </c>
      <c r="I30" s="1">
        <v>2</v>
      </c>
      <c r="J30" s="7">
        <v>0.46</v>
      </c>
      <c r="K30" s="8">
        <f>VLOOKUP($A30,'Temprorary Data'!$A:$G,2,FALSE)</f>
        <v>0</v>
      </c>
      <c r="L30" s="8">
        <f>VLOOKUP($A30,'Temprorary Data'!$A:$G,3,FALSE)</f>
        <v>0.94</v>
      </c>
      <c r="M30" s="8">
        <f>VLOOKUP($A30,'Temprorary Data'!$A:$G,4,FALSE)</f>
        <v>0.19400000000000001</v>
      </c>
      <c r="N30" s="9">
        <f>VLOOKUP($A30,'Temprorary Data'!$A:$G,5,FALSE)</f>
        <v>2</v>
      </c>
      <c r="O30" s="9">
        <f>VLOOKUP($A30,'Temprorary Data'!$A:$G,6,FALSE)</f>
        <v>1</v>
      </c>
      <c r="P30" s="9">
        <f>VLOOKUP($A30,'Temprorary Data'!$A:$G,7,FALSE)</f>
        <v>3</v>
      </c>
      <c r="Q30" t="b">
        <f t="shared" si="0"/>
        <v>1</v>
      </c>
      <c r="R30" t="str">
        <f t="shared" si="1"/>
        <v>January</v>
      </c>
      <c r="S30" t="str">
        <f t="shared" si="2"/>
        <v>Sunday</v>
      </c>
      <c r="T30" t="str">
        <f t="shared" si="3"/>
        <v>Weekend</v>
      </c>
      <c r="U30" t="str">
        <f t="shared" si="4"/>
        <v>Spring</v>
      </c>
      <c r="V30" t="str">
        <f t="shared" si="5"/>
        <v>Mist</v>
      </c>
      <c r="W30" t="str">
        <f t="shared" si="6"/>
        <v>Off Peak</v>
      </c>
      <c r="X30" t="str">
        <f t="shared" si="7"/>
        <v>Medium</v>
      </c>
      <c r="Y30" t="str">
        <f t="shared" si="8"/>
        <v>High</v>
      </c>
    </row>
    <row r="31" spans="1:25" ht="15.75" thickBot="1">
      <c r="A31" s="1">
        <v>30</v>
      </c>
      <c r="B31" s="2">
        <v>40545</v>
      </c>
      <c r="C31" s="1">
        <v>1</v>
      </c>
      <c r="D31" s="1">
        <v>0</v>
      </c>
      <c r="E31" s="1">
        <v>1</v>
      </c>
      <c r="F31" s="1">
        <v>6</v>
      </c>
      <c r="G31" s="3" t="b">
        <v>0</v>
      </c>
      <c r="H31" s="1">
        <v>0</v>
      </c>
      <c r="I31" s="1">
        <v>3</v>
      </c>
      <c r="J31" s="7">
        <v>0.42</v>
      </c>
      <c r="K31" s="8">
        <f>VLOOKUP($A31,'Temprorary Data'!$A:$G,2,FALSE)</f>
        <v>0.42420000000000002</v>
      </c>
      <c r="L31" s="8">
        <f>VLOOKUP($A31,'Temprorary Data'!$A:$G,3,FALSE)</f>
        <v>0.77</v>
      </c>
      <c r="M31" s="8">
        <f>VLOOKUP($A31,'Temprorary Data'!$A:$G,4,FALSE)</f>
        <v>0.29849999999999999</v>
      </c>
      <c r="N31" s="9">
        <f>VLOOKUP($A31,'Temprorary Data'!$A:$G,5,FALSE)</f>
        <v>0</v>
      </c>
      <c r="O31" s="9">
        <f>VLOOKUP($A31,'Temprorary Data'!$A:$G,6,FALSE)</f>
        <v>2</v>
      </c>
      <c r="P31" s="9">
        <f>VLOOKUP($A31,'Temprorary Data'!$A:$G,7,FALSE)</f>
        <v>2</v>
      </c>
      <c r="Q31" t="b">
        <f t="shared" si="0"/>
        <v>1</v>
      </c>
      <c r="R31" t="str">
        <f t="shared" si="1"/>
        <v>January</v>
      </c>
      <c r="S31" t="str">
        <f t="shared" si="2"/>
        <v>Sunday</v>
      </c>
      <c r="T31" t="str">
        <f t="shared" si="3"/>
        <v>Weekend</v>
      </c>
      <c r="U31" t="str">
        <f t="shared" si="4"/>
        <v>Spring</v>
      </c>
      <c r="V31" t="str">
        <f t="shared" si="5"/>
        <v>Light Rain</v>
      </c>
      <c r="W31" t="str">
        <f t="shared" si="6"/>
        <v>Off Peak</v>
      </c>
      <c r="X31" t="str">
        <f t="shared" si="7"/>
        <v>Medium</v>
      </c>
      <c r="Y31" t="str">
        <f t="shared" si="8"/>
        <v>High</v>
      </c>
    </row>
    <row r="32" spans="1:25" ht="15.75" thickBot="1">
      <c r="A32" s="1">
        <v>31</v>
      </c>
      <c r="B32" s="2">
        <v>40545</v>
      </c>
      <c r="C32" s="1">
        <v>1</v>
      </c>
      <c r="D32" s="1">
        <v>0</v>
      </c>
      <c r="E32" s="1">
        <v>1</v>
      </c>
      <c r="F32" s="1">
        <v>7</v>
      </c>
      <c r="G32" s="3" t="b">
        <v>0</v>
      </c>
      <c r="H32" s="1">
        <v>0</v>
      </c>
      <c r="I32" s="1">
        <v>2</v>
      </c>
      <c r="J32" s="7">
        <v>0.4</v>
      </c>
      <c r="K32" s="8">
        <f>VLOOKUP($A32,'Temprorary Data'!$A:$G,2,FALSE)</f>
        <v>0.40910000000000002</v>
      </c>
      <c r="L32" s="8">
        <f>VLOOKUP($A32,'Temprorary Data'!$A:$G,3,FALSE)</f>
        <v>0.76</v>
      </c>
      <c r="M32" s="8">
        <f>VLOOKUP($A32,'Temprorary Data'!$A:$G,4,FALSE)</f>
        <v>0.19400000000000001</v>
      </c>
      <c r="N32" s="9">
        <f>VLOOKUP($A32,'Temprorary Data'!$A:$G,5,FALSE)</f>
        <v>0</v>
      </c>
      <c r="O32" s="9">
        <f>VLOOKUP($A32,'Temprorary Data'!$A:$G,6,FALSE)</f>
        <v>1</v>
      </c>
      <c r="P32" s="9">
        <f>VLOOKUP($A32,'Temprorary Data'!$A:$G,7,FALSE)</f>
        <v>1</v>
      </c>
      <c r="Q32" t="b">
        <f t="shared" si="0"/>
        <v>1</v>
      </c>
      <c r="R32" t="str">
        <f t="shared" si="1"/>
        <v>January</v>
      </c>
      <c r="S32" t="str">
        <f t="shared" si="2"/>
        <v>Sunday</v>
      </c>
      <c r="T32" t="str">
        <f t="shared" si="3"/>
        <v>Weekend</v>
      </c>
      <c r="U32" t="str">
        <f t="shared" si="4"/>
        <v>Spring</v>
      </c>
      <c r="V32" t="str">
        <f t="shared" si="5"/>
        <v>Mist</v>
      </c>
      <c r="W32" t="str">
        <f t="shared" si="6"/>
        <v>Morning Peak</v>
      </c>
      <c r="X32" t="str">
        <f t="shared" si="7"/>
        <v>Medium</v>
      </c>
      <c r="Y32" t="str">
        <f t="shared" si="8"/>
        <v>High</v>
      </c>
    </row>
    <row r="33" spans="1:25" ht="15.75" thickBot="1">
      <c r="A33" s="1">
        <v>32</v>
      </c>
      <c r="B33" s="2">
        <v>40545</v>
      </c>
      <c r="C33" s="1">
        <v>1</v>
      </c>
      <c r="D33" s="1">
        <v>0</v>
      </c>
      <c r="E33" s="1">
        <v>1</v>
      </c>
      <c r="F33" s="1">
        <v>8</v>
      </c>
      <c r="G33" s="3" t="b">
        <v>0</v>
      </c>
      <c r="H33" s="1">
        <v>0</v>
      </c>
      <c r="I33" s="1">
        <v>3</v>
      </c>
      <c r="J33" s="7">
        <v>0.4</v>
      </c>
      <c r="K33" s="8">
        <f>VLOOKUP($A33,'Temprorary Data'!$A:$G,2,FALSE)</f>
        <v>0.40910000000000002</v>
      </c>
      <c r="L33" s="8">
        <f>VLOOKUP($A33,'Temprorary Data'!$A:$G,3,FALSE)</f>
        <v>0.71</v>
      </c>
      <c r="M33" s="8">
        <f>VLOOKUP($A33,'Temprorary Data'!$A:$G,4,FALSE)</f>
        <v>0.22389999999999999</v>
      </c>
      <c r="N33" s="9">
        <f>VLOOKUP($A33,'Temprorary Data'!$A:$G,5,FALSE)</f>
        <v>0</v>
      </c>
      <c r="O33" s="9">
        <f>VLOOKUP($A33,'Temprorary Data'!$A:$G,6,FALSE)</f>
        <v>8</v>
      </c>
      <c r="P33" s="9">
        <f>VLOOKUP($A33,'Temprorary Data'!$A:$G,7,FALSE)</f>
        <v>8</v>
      </c>
      <c r="Q33" t="b">
        <f t="shared" si="0"/>
        <v>1</v>
      </c>
      <c r="R33" t="str">
        <f t="shared" si="1"/>
        <v>January</v>
      </c>
      <c r="S33" t="str">
        <f t="shared" si="2"/>
        <v>Sunday</v>
      </c>
      <c r="T33" t="str">
        <f t="shared" si="3"/>
        <v>Weekend</v>
      </c>
      <c r="U33" t="str">
        <f t="shared" si="4"/>
        <v>Spring</v>
      </c>
      <c r="V33" t="str">
        <f t="shared" si="5"/>
        <v>Light Rain</v>
      </c>
      <c r="W33" t="str">
        <f t="shared" si="6"/>
        <v>Morning Peak</v>
      </c>
      <c r="X33" t="str">
        <f t="shared" si="7"/>
        <v>Medium</v>
      </c>
      <c r="Y33" t="str">
        <f t="shared" si="8"/>
        <v>High</v>
      </c>
    </row>
    <row r="34" spans="1:25" ht="15.75" thickBot="1">
      <c r="A34" s="1">
        <v>33</v>
      </c>
      <c r="B34" s="2">
        <v>40545</v>
      </c>
      <c r="C34" s="1">
        <v>1</v>
      </c>
      <c r="D34" s="1">
        <v>0</v>
      </c>
      <c r="E34" s="1">
        <v>1</v>
      </c>
      <c r="F34" s="1">
        <v>9</v>
      </c>
      <c r="G34" s="3" t="b">
        <v>0</v>
      </c>
      <c r="H34" s="1">
        <v>0</v>
      </c>
      <c r="I34" s="1">
        <v>2</v>
      </c>
      <c r="J34" s="7">
        <v>0.38</v>
      </c>
      <c r="K34" s="8">
        <f>VLOOKUP($A34,'Temprorary Data'!$A:$G,2,FALSE)</f>
        <v>0</v>
      </c>
      <c r="L34" s="8">
        <f>VLOOKUP($A34,'Temprorary Data'!$A:$G,3,FALSE)</f>
        <v>0.76</v>
      </c>
      <c r="M34" s="8">
        <f>VLOOKUP($A34,'Temprorary Data'!$A:$G,4,FALSE)</f>
        <v>0.22389999999999999</v>
      </c>
      <c r="N34" s="9">
        <f>VLOOKUP($A34,'Temprorary Data'!$A:$G,5,FALSE)</f>
        <v>1</v>
      </c>
      <c r="O34" s="9">
        <f>VLOOKUP($A34,'Temprorary Data'!$A:$G,6,FALSE)</f>
        <v>19</v>
      </c>
      <c r="P34" s="9">
        <f>VLOOKUP($A34,'Temprorary Data'!$A:$G,7,FALSE)</f>
        <v>20</v>
      </c>
      <c r="Q34" t="b">
        <f t="shared" si="0"/>
        <v>1</v>
      </c>
      <c r="R34" t="str">
        <f t="shared" si="1"/>
        <v>January</v>
      </c>
      <c r="S34" t="str">
        <f t="shared" si="2"/>
        <v>Sunday</v>
      </c>
      <c r="T34" t="str">
        <f t="shared" si="3"/>
        <v>Weekend</v>
      </c>
      <c r="U34" t="str">
        <f t="shared" si="4"/>
        <v>Spring</v>
      </c>
      <c r="V34" t="str">
        <f t="shared" si="5"/>
        <v>Mist</v>
      </c>
      <c r="W34" t="str">
        <f t="shared" si="6"/>
        <v>Morning Peak</v>
      </c>
      <c r="X34" t="str">
        <f t="shared" si="7"/>
        <v>Medium</v>
      </c>
      <c r="Y34" t="str">
        <f t="shared" si="8"/>
        <v>High</v>
      </c>
    </row>
    <row r="35" spans="1:25" ht="15.75" thickBot="1">
      <c r="A35" s="1">
        <v>34</v>
      </c>
      <c r="B35" s="2">
        <v>40545</v>
      </c>
      <c r="C35" s="1">
        <v>1</v>
      </c>
      <c r="D35" s="1">
        <v>0</v>
      </c>
      <c r="E35" s="1">
        <v>1</v>
      </c>
      <c r="F35" s="1">
        <v>10</v>
      </c>
      <c r="G35" s="3" t="b">
        <v>0</v>
      </c>
      <c r="H35" s="1">
        <v>0</v>
      </c>
      <c r="I35" s="1">
        <v>2</v>
      </c>
      <c r="J35" s="7">
        <v>0.36</v>
      </c>
      <c r="K35" s="8">
        <f>VLOOKUP($A35,'Temprorary Data'!$A:$G,2,FALSE)</f>
        <v>0.34849999999999998</v>
      </c>
      <c r="L35" s="8">
        <f>VLOOKUP($A35,'Temprorary Data'!$A:$G,3,FALSE)</f>
        <v>0.81</v>
      </c>
      <c r="M35" s="8">
        <f>VLOOKUP($A35,'Temprorary Data'!$A:$G,4,FALSE)</f>
        <v>0.22389999999999999</v>
      </c>
      <c r="N35" s="9">
        <f>VLOOKUP($A35,'Temprorary Data'!$A:$G,5,FALSE)</f>
        <v>7</v>
      </c>
      <c r="O35" s="9">
        <f>VLOOKUP($A35,'Temprorary Data'!$A:$G,6,FALSE)</f>
        <v>46</v>
      </c>
      <c r="P35" s="9">
        <f>VLOOKUP($A35,'Temprorary Data'!$A:$G,7,FALSE)</f>
        <v>53</v>
      </c>
      <c r="Q35" t="b">
        <f t="shared" si="0"/>
        <v>1</v>
      </c>
      <c r="R35" t="str">
        <f t="shared" si="1"/>
        <v>January</v>
      </c>
      <c r="S35" t="str">
        <f t="shared" si="2"/>
        <v>Sunday</v>
      </c>
      <c r="T35" t="str">
        <f t="shared" si="3"/>
        <v>Weekend</v>
      </c>
      <c r="U35" t="str">
        <f t="shared" si="4"/>
        <v>Spring</v>
      </c>
      <c r="V35" t="str">
        <f t="shared" si="5"/>
        <v>Mist</v>
      </c>
      <c r="W35" t="str">
        <f t="shared" si="6"/>
        <v>Off Peak</v>
      </c>
      <c r="X35" t="str">
        <f t="shared" si="7"/>
        <v>Medium</v>
      </c>
      <c r="Y35" t="str">
        <f t="shared" si="8"/>
        <v>High</v>
      </c>
    </row>
    <row r="36" spans="1:25" ht="15.75" thickBot="1">
      <c r="A36" s="1">
        <v>35</v>
      </c>
      <c r="B36" s="2">
        <v>40545</v>
      </c>
      <c r="C36" s="1">
        <v>1</v>
      </c>
      <c r="D36" s="1">
        <v>0</v>
      </c>
      <c r="E36" s="1">
        <v>1</v>
      </c>
      <c r="F36" s="1">
        <v>11</v>
      </c>
      <c r="G36" s="3" t="b">
        <v>0</v>
      </c>
      <c r="H36" s="1">
        <v>0</v>
      </c>
      <c r="I36" s="1">
        <v>2</v>
      </c>
      <c r="J36" s="7">
        <v>0.36</v>
      </c>
      <c r="K36" s="8">
        <f>VLOOKUP($A36,'Temprorary Data'!$A:$G,2,FALSE)</f>
        <v>0.33329999999999999</v>
      </c>
      <c r="L36" s="8">
        <f>VLOOKUP($A36,'Temprorary Data'!$A:$G,3,FALSE)</f>
        <v>0.71</v>
      </c>
      <c r="M36" s="8">
        <f>VLOOKUP($A36,'Temprorary Data'!$A:$G,4,FALSE)</f>
        <v>0.25369999999999998</v>
      </c>
      <c r="N36" s="9">
        <f>VLOOKUP($A36,'Temprorary Data'!$A:$G,5,FALSE)</f>
        <v>16</v>
      </c>
      <c r="O36" s="9">
        <f>VLOOKUP($A36,'Temprorary Data'!$A:$G,6,FALSE)</f>
        <v>54</v>
      </c>
      <c r="P36" s="9">
        <f>VLOOKUP($A36,'Temprorary Data'!$A:$G,7,FALSE)</f>
        <v>70</v>
      </c>
      <c r="Q36" t="b">
        <f t="shared" si="0"/>
        <v>1</v>
      </c>
      <c r="R36" t="str">
        <f t="shared" si="1"/>
        <v>January</v>
      </c>
      <c r="S36" t="str">
        <f t="shared" si="2"/>
        <v>Sunday</v>
      </c>
      <c r="T36" t="str">
        <f t="shared" si="3"/>
        <v>Weekend</v>
      </c>
      <c r="U36" t="str">
        <f t="shared" si="4"/>
        <v>Spring</v>
      </c>
      <c r="V36" t="str">
        <f t="shared" si="5"/>
        <v>Mist</v>
      </c>
      <c r="W36" t="str">
        <f t="shared" si="6"/>
        <v>Off Peak</v>
      </c>
      <c r="X36" t="str">
        <f t="shared" si="7"/>
        <v>Medium</v>
      </c>
      <c r="Y36" t="str">
        <f t="shared" si="8"/>
        <v>High</v>
      </c>
    </row>
    <row r="37" spans="1:25" ht="15.75" thickBot="1">
      <c r="A37" s="1">
        <v>36</v>
      </c>
      <c r="B37" s="2">
        <v>40545</v>
      </c>
      <c r="C37" s="1">
        <v>1</v>
      </c>
      <c r="D37" s="1">
        <v>0</v>
      </c>
      <c r="E37" s="1">
        <v>1</v>
      </c>
      <c r="F37" s="1">
        <v>12</v>
      </c>
      <c r="G37" s="3" t="b">
        <v>0</v>
      </c>
      <c r="H37" s="1">
        <v>0</v>
      </c>
      <c r="I37" s="1">
        <v>2</v>
      </c>
      <c r="J37" s="7">
        <v>0.36</v>
      </c>
      <c r="K37" s="8">
        <f>VLOOKUP($A37,'Temprorary Data'!$A:$G,2,FALSE)</f>
        <v>0.33329999999999999</v>
      </c>
      <c r="L37" s="8">
        <f>VLOOKUP($A37,'Temprorary Data'!$A:$G,3,FALSE)</f>
        <v>0.66</v>
      </c>
      <c r="M37" s="8">
        <f>VLOOKUP($A37,'Temprorary Data'!$A:$G,4,FALSE)</f>
        <v>0.29849999999999999</v>
      </c>
      <c r="N37" s="9">
        <f>VLOOKUP($A37,'Temprorary Data'!$A:$G,5,FALSE)</f>
        <v>20</v>
      </c>
      <c r="O37" s="9">
        <f>VLOOKUP($A37,'Temprorary Data'!$A:$G,6,FALSE)</f>
        <v>73</v>
      </c>
      <c r="P37" s="9">
        <f>VLOOKUP($A37,'Temprorary Data'!$A:$G,7,FALSE)</f>
        <v>93</v>
      </c>
      <c r="Q37" t="b">
        <f t="shared" si="0"/>
        <v>1</v>
      </c>
      <c r="R37" t="str">
        <f t="shared" si="1"/>
        <v>January</v>
      </c>
      <c r="S37" t="str">
        <f t="shared" si="2"/>
        <v>Sunday</v>
      </c>
      <c r="T37" t="str">
        <f t="shared" si="3"/>
        <v>Weekend</v>
      </c>
      <c r="U37" t="str">
        <f t="shared" si="4"/>
        <v>Spring</v>
      </c>
      <c r="V37" t="str">
        <f t="shared" si="5"/>
        <v>Mist</v>
      </c>
      <c r="W37" t="str">
        <f t="shared" si="6"/>
        <v>Off Peak</v>
      </c>
      <c r="X37" t="str">
        <f t="shared" si="7"/>
        <v>Medium</v>
      </c>
      <c r="Y37" t="str">
        <f t="shared" si="8"/>
        <v>Medium</v>
      </c>
    </row>
    <row r="38" spans="1:25" ht="15.75" thickBot="1">
      <c r="A38" s="1">
        <v>37</v>
      </c>
      <c r="B38" s="2">
        <v>40545</v>
      </c>
      <c r="C38" s="1">
        <v>1</v>
      </c>
      <c r="D38" s="1">
        <v>0</v>
      </c>
      <c r="E38" s="1">
        <v>1</v>
      </c>
      <c r="F38" s="1">
        <v>13</v>
      </c>
      <c r="G38" s="3" t="b">
        <v>0</v>
      </c>
      <c r="H38" s="1">
        <v>0</v>
      </c>
      <c r="I38" s="1">
        <v>2</v>
      </c>
      <c r="J38" s="7">
        <v>0.36</v>
      </c>
      <c r="K38" s="8">
        <f>VLOOKUP($A38,'Temprorary Data'!$A:$G,2,FALSE)</f>
        <v>0.34849999999999998</v>
      </c>
      <c r="L38" s="8">
        <f>VLOOKUP($A38,'Temprorary Data'!$A:$G,3,FALSE)</f>
        <v>0.66</v>
      </c>
      <c r="M38" s="8">
        <f>VLOOKUP($A38,'Temprorary Data'!$A:$G,4,FALSE)</f>
        <v>0.1343</v>
      </c>
      <c r="N38" s="9">
        <f>VLOOKUP($A38,'Temprorary Data'!$A:$G,5,FALSE)</f>
        <v>11</v>
      </c>
      <c r="O38" s="9">
        <f>VLOOKUP($A38,'Temprorary Data'!$A:$G,6,FALSE)</f>
        <v>64</v>
      </c>
      <c r="P38" s="9">
        <f>VLOOKUP($A38,'Temprorary Data'!$A:$G,7,FALSE)</f>
        <v>75</v>
      </c>
      <c r="Q38" t="b">
        <f t="shared" si="0"/>
        <v>1</v>
      </c>
      <c r="R38" t="str">
        <f t="shared" si="1"/>
        <v>January</v>
      </c>
      <c r="S38" t="str">
        <f t="shared" si="2"/>
        <v>Sunday</v>
      </c>
      <c r="T38" t="str">
        <f t="shared" si="3"/>
        <v>Weekend</v>
      </c>
      <c r="U38" t="str">
        <f t="shared" si="4"/>
        <v>Spring</v>
      </c>
      <c r="V38" t="str">
        <f t="shared" si="5"/>
        <v>Mist</v>
      </c>
      <c r="W38" t="str">
        <f t="shared" si="6"/>
        <v>Off Peak</v>
      </c>
      <c r="X38" t="str">
        <f t="shared" si="7"/>
        <v>Medium</v>
      </c>
      <c r="Y38" t="str">
        <f t="shared" si="8"/>
        <v>Medium</v>
      </c>
    </row>
    <row r="39" spans="1:25" ht="15.75" thickBot="1">
      <c r="A39" s="1">
        <v>38</v>
      </c>
      <c r="B39" s="2">
        <v>40545</v>
      </c>
      <c r="C39" s="1">
        <v>1</v>
      </c>
      <c r="D39" s="1">
        <v>0</v>
      </c>
      <c r="E39" s="1">
        <v>1</v>
      </c>
      <c r="F39" s="1">
        <v>14</v>
      </c>
      <c r="G39" s="3" t="b">
        <v>0</v>
      </c>
      <c r="H39" s="1">
        <v>0</v>
      </c>
      <c r="I39" s="1">
        <v>3</v>
      </c>
      <c r="J39" s="7">
        <v>0.36</v>
      </c>
      <c r="K39" s="8">
        <f>VLOOKUP($A39,'Temprorary Data'!$A:$G,2,FALSE)</f>
        <v>0</v>
      </c>
      <c r="L39" s="8">
        <f>VLOOKUP($A39,'Temprorary Data'!$A:$G,3,FALSE)</f>
        <v>0.76</v>
      </c>
      <c r="M39" s="8">
        <f>VLOOKUP($A39,'Temprorary Data'!$A:$G,4,FALSE)</f>
        <v>0.19400000000000001</v>
      </c>
      <c r="N39" s="9">
        <f>VLOOKUP($A39,'Temprorary Data'!$A:$G,5,FALSE)</f>
        <v>4</v>
      </c>
      <c r="O39" s="9">
        <f>VLOOKUP($A39,'Temprorary Data'!$A:$G,6,FALSE)</f>
        <v>55</v>
      </c>
      <c r="P39" s="9">
        <f>VLOOKUP($A39,'Temprorary Data'!$A:$G,7,FALSE)</f>
        <v>59</v>
      </c>
      <c r="Q39" t="b">
        <f t="shared" si="0"/>
        <v>1</v>
      </c>
      <c r="R39" t="str">
        <f t="shared" si="1"/>
        <v>January</v>
      </c>
      <c r="S39" t="str">
        <f t="shared" si="2"/>
        <v>Sunday</v>
      </c>
      <c r="T39" t="str">
        <f t="shared" si="3"/>
        <v>Weekend</v>
      </c>
      <c r="U39" t="str">
        <f t="shared" si="4"/>
        <v>Spring</v>
      </c>
      <c r="V39" t="str">
        <f t="shared" si="5"/>
        <v>Light Rain</v>
      </c>
      <c r="W39" t="str">
        <f t="shared" si="6"/>
        <v>Off Peak</v>
      </c>
      <c r="X39" t="str">
        <f t="shared" si="7"/>
        <v>Medium</v>
      </c>
      <c r="Y39" t="str">
        <f t="shared" si="8"/>
        <v>High</v>
      </c>
    </row>
    <row r="40" spans="1:25" ht="15.75" thickBot="1">
      <c r="A40" s="1">
        <v>39</v>
      </c>
      <c r="B40" s="2">
        <v>40545</v>
      </c>
      <c r="C40" s="1">
        <v>1</v>
      </c>
      <c r="D40" s="1">
        <v>0</v>
      </c>
      <c r="E40" s="1">
        <v>1</v>
      </c>
      <c r="F40" s="1">
        <v>15</v>
      </c>
      <c r="G40" s="3" t="b">
        <v>0</v>
      </c>
      <c r="H40" s="1">
        <v>0</v>
      </c>
      <c r="I40" s="1">
        <v>3</v>
      </c>
      <c r="J40" s="7">
        <v>0.34</v>
      </c>
      <c r="K40" s="8">
        <f>VLOOKUP($A40,'Temprorary Data'!$A:$G,2,FALSE)</f>
        <v>0.33329999999999999</v>
      </c>
      <c r="L40" s="8">
        <f>VLOOKUP($A40,'Temprorary Data'!$A:$G,3,FALSE)</f>
        <v>0.81</v>
      </c>
      <c r="M40" s="8">
        <f>VLOOKUP($A40,'Temprorary Data'!$A:$G,4,FALSE)</f>
        <v>0.16420000000000001</v>
      </c>
      <c r="N40" s="9">
        <f>VLOOKUP($A40,'Temprorary Data'!$A:$G,5,FALSE)</f>
        <v>19</v>
      </c>
      <c r="O40" s="9">
        <f>VLOOKUP($A40,'Temprorary Data'!$A:$G,6,FALSE)</f>
        <v>55</v>
      </c>
      <c r="P40" s="9">
        <f>VLOOKUP($A40,'Temprorary Data'!$A:$G,7,FALSE)</f>
        <v>74</v>
      </c>
      <c r="Q40" t="b">
        <f t="shared" si="0"/>
        <v>1</v>
      </c>
      <c r="R40" t="str">
        <f t="shared" si="1"/>
        <v>January</v>
      </c>
      <c r="S40" t="str">
        <f t="shared" si="2"/>
        <v>Sunday</v>
      </c>
      <c r="T40" t="str">
        <f t="shared" si="3"/>
        <v>Weekend</v>
      </c>
      <c r="U40" t="str">
        <f t="shared" si="4"/>
        <v>Spring</v>
      </c>
      <c r="V40" t="str">
        <f t="shared" si="5"/>
        <v>Light Rain</v>
      </c>
      <c r="W40" t="str">
        <f t="shared" si="6"/>
        <v>Off Peak</v>
      </c>
      <c r="X40" t="str">
        <f t="shared" si="7"/>
        <v>Medium</v>
      </c>
      <c r="Y40" t="str">
        <f t="shared" si="8"/>
        <v>High</v>
      </c>
    </row>
    <row r="41" spans="1:25" ht="15.75" thickBot="1">
      <c r="A41" s="1">
        <v>40</v>
      </c>
      <c r="B41" s="2">
        <v>40545</v>
      </c>
      <c r="C41" s="1">
        <v>1</v>
      </c>
      <c r="D41" s="1">
        <v>0</v>
      </c>
      <c r="E41" s="1">
        <v>1</v>
      </c>
      <c r="F41" s="1">
        <v>16</v>
      </c>
      <c r="G41" s="3" t="b">
        <v>0</v>
      </c>
      <c r="H41" s="1">
        <v>0</v>
      </c>
      <c r="I41" s="1">
        <v>3</v>
      </c>
      <c r="J41" s="7">
        <v>0.34</v>
      </c>
      <c r="K41" s="8">
        <f>VLOOKUP($A41,'Temprorary Data'!$A:$G,2,FALSE)</f>
        <v>0.33329999999999999</v>
      </c>
      <c r="L41" s="8">
        <f>VLOOKUP($A41,'Temprorary Data'!$A:$G,3,FALSE)</f>
        <v>0.71</v>
      </c>
      <c r="M41" s="8">
        <f>VLOOKUP($A41,'Temprorary Data'!$A:$G,4,FALSE)</f>
        <v>0.16420000000000001</v>
      </c>
      <c r="N41" s="9">
        <f>VLOOKUP($A41,'Temprorary Data'!$A:$G,5,FALSE)</f>
        <v>9</v>
      </c>
      <c r="O41" s="9">
        <f>VLOOKUP($A41,'Temprorary Data'!$A:$G,6,FALSE)</f>
        <v>67</v>
      </c>
      <c r="P41" s="9">
        <f>VLOOKUP($A41,'Temprorary Data'!$A:$G,7,FALSE)</f>
        <v>76</v>
      </c>
      <c r="Q41" t="b">
        <f t="shared" si="0"/>
        <v>1</v>
      </c>
      <c r="R41" t="str">
        <f t="shared" si="1"/>
        <v>January</v>
      </c>
      <c r="S41" t="str">
        <f t="shared" si="2"/>
        <v>Sunday</v>
      </c>
      <c r="T41" t="str">
        <f t="shared" si="3"/>
        <v>Weekend</v>
      </c>
      <c r="U41" t="str">
        <f t="shared" si="4"/>
        <v>Spring</v>
      </c>
      <c r="V41" t="str">
        <f t="shared" si="5"/>
        <v>Light Rain</v>
      </c>
      <c r="W41" t="str">
        <f t="shared" si="6"/>
        <v>Off Peak</v>
      </c>
      <c r="X41" t="str">
        <f t="shared" si="7"/>
        <v>Medium</v>
      </c>
      <c r="Y41" t="str">
        <f t="shared" si="8"/>
        <v>High</v>
      </c>
    </row>
    <row r="42" spans="1:25" ht="15.75" thickBot="1">
      <c r="A42" s="1">
        <v>41</v>
      </c>
      <c r="B42" s="2">
        <v>40545</v>
      </c>
      <c r="C42" s="1">
        <v>1</v>
      </c>
      <c r="D42" s="1">
        <v>0</v>
      </c>
      <c r="E42" s="1">
        <v>1</v>
      </c>
      <c r="F42" s="1">
        <v>17</v>
      </c>
      <c r="G42" s="3" t="b">
        <v>0</v>
      </c>
      <c r="H42" s="1">
        <v>0</v>
      </c>
      <c r="I42" s="1">
        <v>1</v>
      </c>
      <c r="J42" s="7">
        <v>0.34</v>
      </c>
      <c r="K42" s="8">
        <f>VLOOKUP($A42,'Temprorary Data'!$A:$G,2,FALSE)</f>
        <v>0.33329999999999999</v>
      </c>
      <c r="L42" s="8">
        <f>VLOOKUP($A42,'Temprorary Data'!$A:$G,3,FALSE)</f>
        <v>0.56999999999999995</v>
      </c>
      <c r="M42" s="8">
        <f>VLOOKUP($A42,'Temprorary Data'!$A:$G,4,FALSE)</f>
        <v>0.19400000000000001</v>
      </c>
      <c r="N42" s="9">
        <f>VLOOKUP($A42,'Temprorary Data'!$A:$G,5,FALSE)</f>
        <v>7</v>
      </c>
      <c r="O42" s="9">
        <f>VLOOKUP($A42,'Temprorary Data'!$A:$G,6,FALSE)</f>
        <v>58</v>
      </c>
      <c r="P42" s="9">
        <f>VLOOKUP($A42,'Temprorary Data'!$A:$G,7,FALSE)</f>
        <v>65</v>
      </c>
      <c r="Q42" t="b">
        <f t="shared" si="0"/>
        <v>1</v>
      </c>
      <c r="R42" t="str">
        <f t="shared" si="1"/>
        <v>January</v>
      </c>
      <c r="S42" t="str">
        <f t="shared" si="2"/>
        <v>Sunday</v>
      </c>
      <c r="T42" t="str">
        <f t="shared" si="3"/>
        <v>Weekend</v>
      </c>
      <c r="U42" t="str">
        <f t="shared" si="4"/>
        <v>Spring</v>
      </c>
      <c r="V42" t="str">
        <f t="shared" si="5"/>
        <v>Clear</v>
      </c>
      <c r="W42" t="str">
        <f t="shared" si="6"/>
        <v>Evening Peak</v>
      </c>
      <c r="X42" t="str">
        <f t="shared" si="7"/>
        <v>Medium</v>
      </c>
      <c r="Y42" t="str">
        <f t="shared" si="8"/>
        <v>Medium</v>
      </c>
    </row>
    <row r="43" spans="1:25" ht="15.75" thickBot="1">
      <c r="A43" s="1">
        <v>42</v>
      </c>
      <c r="B43" s="2">
        <v>40545</v>
      </c>
      <c r="C43" s="1">
        <v>1</v>
      </c>
      <c r="D43" s="1">
        <v>0</v>
      </c>
      <c r="E43" s="1">
        <v>1</v>
      </c>
      <c r="F43" s="1">
        <v>18</v>
      </c>
      <c r="G43" s="3" t="b">
        <v>0</v>
      </c>
      <c r="H43" s="1">
        <v>0</v>
      </c>
      <c r="I43" s="1">
        <v>2</v>
      </c>
      <c r="J43" s="7">
        <v>0.36</v>
      </c>
      <c r="K43" s="8">
        <f>VLOOKUP($A43,'Temprorary Data'!$A:$G,2,FALSE)</f>
        <v>0.33329999999999999</v>
      </c>
      <c r="L43" s="8">
        <f>VLOOKUP($A43,'Temprorary Data'!$A:$G,3,FALSE)</f>
        <v>0.46</v>
      </c>
      <c r="M43" s="8">
        <f>VLOOKUP($A43,'Temprorary Data'!$A:$G,4,FALSE)</f>
        <v>0.32840000000000003</v>
      </c>
      <c r="N43" s="9">
        <f>VLOOKUP($A43,'Temprorary Data'!$A:$G,5,FALSE)</f>
        <v>10</v>
      </c>
      <c r="O43" s="9">
        <f>VLOOKUP($A43,'Temprorary Data'!$A:$G,6,FALSE)</f>
        <v>43</v>
      </c>
      <c r="P43" s="9">
        <f>VLOOKUP($A43,'Temprorary Data'!$A:$G,7,FALSE)</f>
        <v>53</v>
      </c>
      <c r="Q43" t="b">
        <f t="shared" si="0"/>
        <v>1</v>
      </c>
      <c r="R43" t="str">
        <f t="shared" si="1"/>
        <v>January</v>
      </c>
      <c r="S43" t="str">
        <f t="shared" si="2"/>
        <v>Sunday</v>
      </c>
      <c r="T43" t="str">
        <f t="shared" si="3"/>
        <v>Weekend</v>
      </c>
      <c r="U43" t="str">
        <f t="shared" si="4"/>
        <v>Spring</v>
      </c>
      <c r="V43" t="str">
        <f t="shared" si="5"/>
        <v>Mist</v>
      </c>
      <c r="W43" t="str">
        <f t="shared" si="6"/>
        <v>Evening Peak</v>
      </c>
      <c r="X43" t="str">
        <f t="shared" si="7"/>
        <v>Medium</v>
      </c>
      <c r="Y43" t="str">
        <f t="shared" si="8"/>
        <v>Medium</v>
      </c>
    </row>
    <row r="44" spans="1:25" ht="15.75" thickBot="1">
      <c r="A44" s="1">
        <v>43</v>
      </c>
      <c r="B44" s="2">
        <v>40545</v>
      </c>
      <c r="C44" s="1">
        <v>1</v>
      </c>
      <c r="D44" s="1">
        <v>0</v>
      </c>
      <c r="E44" s="1">
        <v>1</v>
      </c>
      <c r="F44" s="1">
        <v>19</v>
      </c>
      <c r="G44" s="3" t="b">
        <v>0</v>
      </c>
      <c r="H44" s="1">
        <v>0</v>
      </c>
      <c r="I44" s="1">
        <v>1</v>
      </c>
      <c r="J44" s="7">
        <v>0.32</v>
      </c>
      <c r="K44" s="8">
        <f>VLOOKUP($A44,'Temprorary Data'!$A:$G,2,FALSE)</f>
        <v>0.28789999999999999</v>
      </c>
      <c r="L44" s="8">
        <f>VLOOKUP($A44,'Temprorary Data'!$A:$G,3,FALSE)</f>
        <v>0.42</v>
      </c>
      <c r="M44" s="8">
        <f>VLOOKUP($A44,'Temprorary Data'!$A:$G,4,FALSE)</f>
        <v>0.44779999999999998</v>
      </c>
      <c r="N44" s="9">
        <f>VLOOKUP($A44,'Temprorary Data'!$A:$G,5,FALSE)</f>
        <v>1</v>
      </c>
      <c r="O44" s="9">
        <f>VLOOKUP($A44,'Temprorary Data'!$A:$G,6,FALSE)</f>
        <v>29</v>
      </c>
      <c r="P44" s="9">
        <f>VLOOKUP($A44,'Temprorary Data'!$A:$G,7,FALSE)</f>
        <v>30</v>
      </c>
      <c r="Q44" t="b">
        <f t="shared" si="0"/>
        <v>1</v>
      </c>
      <c r="R44" t="str">
        <f t="shared" si="1"/>
        <v>January</v>
      </c>
      <c r="S44" t="str">
        <f t="shared" si="2"/>
        <v>Sunday</v>
      </c>
      <c r="T44" t="str">
        <f t="shared" si="3"/>
        <v>Weekend</v>
      </c>
      <c r="U44" t="str">
        <f t="shared" si="4"/>
        <v>Spring</v>
      </c>
      <c r="V44" t="str">
        <f t="shared" si="5"/>
        <v>Clear</v>
      </c>
      <c r="W44" t="str">
        <f t="shared" si="6"/>
        <v>Evening Peak</v>
      </c>
      <c r="X44" t="str">
        <f t="shared" si="7"/>
        <v>Medium</v>
      </c>
      <c r="Y44" t="str">
        <f t="shared" si="8"/>
        <v>Medium</v>
      </c>
    </row>
    <row r="45" spans="1:25" ht="15.75" thickBot="1">
      <c r="A45" s="1">
        <v>44</v>
      </c>
      <c r="B45" s="2">
        <v>40545</v>
      </c>
      <c r="C45" s="1">
        <v>1</v>
      </c>
      <c r="D45" s="1">
        <v>0</v>
      </c>
      <c r="E45" s="1">
        <v>1</v>
      </c>
      <c r="F45" s="1">
        <v>20</v>
      </c>
      <c r="G45" s="3" t="b">
        <v>0</v>
      </c>
      <c r="H45" s="1">
        <v>0</v>
      </c>
      <c r="I45" s="1">
        <v>1</v>
      </c>
      <c r="J45" s="7">
        <v>0.3</v>
      </c>
      <c r="K45" s="8">
        <f>VLOOKUP($A45,'Temprorary Data'!$A:$G,2,FALSE)</f>
        <v>0</v>
      </c>
      <c r="L45" s="8">
        <f>VLOOKUP($A45,'Temprorary Data'!$A:$G,3,FALSE)</f>
        <v>0.39</v>
      </c>
      <c r="M45" s="8">
        <f>VLOOKUP($A45,'Temprorary Data'!$A:$G,4,FALSE)</f>
        <v>0.35820000000000002</v>
      </c>
      <c r="N45" s="9">
        <f>VLOOKUP($A45,'Temprorary Data'!$A:$G,5,FALSE)</f>
        <v>5</v>
      </c>
      <c r="O45" s="9">
        <f>VLOOKUP($A45,'Temprorary Data'!$A:$G,6,FALSE)</f>
        <v>17</v>
      </c>
      <c r="P45" s="9">
        <f>VLOOKUP($A45,'Temprorary Data'!$A:$G,7,FALSE)</f>
        <v>22</v>
      </c>
      <c r="Q45" t="b">
        <f t="shared" si="0"/>
        <v>1</v>
      </c>
      <c r="R45" t="str">
        <f t="shared" si="1"/>
        <v>January</v>
      </c>
      <c r="S45" t="str">
        <f t="shared" si="2"/>
        <v>Sunday</v>
      </c>
      <c r="T45" t="str">
        <f t="shared" si="3"/>
        <v>Weekend</v>
      </c>
      <c r="U45" t="str">
        <f t="shared" si="4"/>
        <v>Spring</v>
      </c>
      <c r="V45" t="str">
        <f t="shared" si="5"/>
        <v>Clear</v>
      </c>
      <c r="W45" t="str">
        <f t="shared" si="6"/>
        <v>Evening Peak</v>
      </c>
      <c r="X45" t="str">
        <f t="shared" si="7"/>
        <v>Medium</v>
      </c>
      <c r="Y45" t="str">
        <f t="shared" si="8"/>
        <v>Low</v>
      </c>
    </row>
    <row r="46" spans="1:25" ht="15.75" thickBot="1">
      <c r="A46" s="1">
        <v>45</v>
      </c>
      <c r="B46" s="2">
        <v>40545</v>
      </c>
      <c r="C46" s="1">
        <v>1</v>
      </c>
      <c r="D46" s="1">
        <v>0</v>
      </c>
      <c r="E46" s="1">
        <v>1</v>
      </c>
      <c r="F46" s="1">
        <v>21</v>
      </c>
      <c r="G46" s="3" t="b">
        <v>0</v>
      </c>
      <c r="H46" s="1">
        <v>0</v>
      </c>
      <c r="I46" s="1">
        <v>1</v>
      </c>
      <c r="J46" s="7">
        <v>0.26</v>
      </c>
      <c r="K46" s="8">
        <f>VLOOKUP($A46,'Temprorary Data'!$A:$G,2,FALSE)</f>
        <v>0.2273</v>
      </c>
      <c r="L46" s="8">
        <f>VLOOKUP($A46,'Temprorary Data'!$A:$G,3,FALSE)</f>
        <v>0.44</v>
      </c>
      <c r="M46" s="8">
        <f>VLOOKUP($A46,'Temprorary Data'!$A:$G,4,FALSE)</f>
        <v>0.32840000000000003</v>
      </c>
      <c r="N46" s="9">
        <f>VLOOKUP($A46,'Temprorary Data'!$A:$G,5,FALSE)</f>
        <v>11</v>
      </c>
      <c r="O46" s="9">
        <f>VLOOKUP($A46,'Temprorary Data'!$A:$G,6,FALSE)</f>
        <v>20</v>
      </c>
      <c r="P46" s="9">
        <f>VLOOKUP($A46,'Temprorary Data'!$A:$G,7,FALSE)</f>
        <v>31</v>
      </c>
      <c r="Q46" t="b">
        <f t="shared" si="0"/>
        <v>1</v>
      </c>
      <c r="R46" t="str">
        <f t="shared" si="1"/>
        <v>January</v>
      </c>
      <c r="S46" t="str">
        <f t="shared" si="2"/>
        <v>Sunday</v>
      </c>
      <c r="T46" t="str">
        <f t="shared" si="3"/>
        <v>Weekend</v>
      </c>
      <c r="U46" t="str">
        <f t="shared" si="4"/>
        <v>Spring</v>
      </c>
      <c r="V46" t="str">
        <f t="shared" si="5"/>
        <v>Clear</v>
      </c>
      <c r="W46" t="str">
        <f t="shared" si="6"/>
        <v>Off Peak</v>
      </c>
      <c r="X46" t="str">
        <f t="shared" si="7"/>
        <v>Low</v>
      </c>
      <c r="Y46" t="str">
        <f t="shared" si="8"/>
        <v>Medium</v>
      </c>
    </row>
    <row r="47" spans="1:25" ht="15.75" thickBot="1">
      <c r="A47" s="1">
        <v>46</v>
      </c>
      <c r="B47" s="2">
        <v>40545</v>
      </c>
      <c r="C47" s="1">
        <v>1</v>
      </c>
      <c r="D47" s="1">
        <v>0</v>
      </c>
      <c r="E47" s="1">
        <v>1</v>
      </c>
      <c r="F47" s="1">
        <v>22</v>
      </c>
      <c r="G47" s="3" t="b">
        <v>0</v>
      </c>
      <c r="H47" s="1">
        <v>0</v>
      </c>
      <c r="I47" s="1">
        <v>1</v>
      </c>
      <c r="J47" s="7">
        <v>0.24</v>
      </c>
      <c r="K47" s="8">
        <f>VLOOKUP($A47,'Temprorary Data'!$A:$G,2,FALSE)</f>
        <v>0.21210000000000001</v>
      </c>
      <c r="L47" s="8">
        <f>VLOOKUP($A47,'Temprorary Data'!$A:$G,3,FALSE)</f>
        <v>0.44</v>
      </c>
      <c r="M47" s="8">
        <f>VLOOKUP($A47,'Temprorary Data'!$A:$G,4,FALSE)</f>
        <v>0.29849999999999999</v>
      </c>
      <c r="N47" s="9">
        <f>VLOOKUP($A47,'Temprorary Data'!$A:$G,5,FALSE)</f>
        <v>0</v>
      </c>
      <c r="O47" s="9">
        <f>VLOOKUP($A47,'Temprorary Data'!$A:$G,6,FALSE)</f>
        <v>9</v>
      </c>
      <c r="P47" s="9">
        <f>VLOOKUP($A47,'Temprorary Data'!$A:$G,7,FALSE)</f>
        <v>9</v>
      </c>
      <c r="Q47" t="b">
        <f t="shared" si="0"/>
        <v>1</v>
      </c>
      <c r="R47" t="str">
        <f t="shared" si="1"/>
        <v>January</v>
      </c>
      <c r="S47" t="str">
        <f t="shared" si="2"/>
        <v>Sunday</v>
      </c>
      <c r="T47" t="str">
        <f t="shared" si="3"/>
        <v>Weekend</v>
      </c>
      <c r="U47" t="str">
        <f t="shared" si="4"/>
        <v>Spring</v>
      </c>
      <c r="V47" t="str">
        <f t="shared" si="5"/>
        <v>Clear</v>
      </c>
      <c r="W47" t="str">
        <f t="shared" si="6"/>
        <v>Off Peak</v>
      </c>
      <c r="X47" t="str">
        <f t="shared" si="7"/>
        <v>Low</v>
      </c>
      <c r="Y47" t="str">
        <f t="shared" si="8"/>
        <v>Medium</v>
      </c>
    </row>
    <row r="48" spans="1:25" ht="15.75" thickBot="1">
      <c r="A48" s="1">
        <v>47</v>
      </c>
      <c r="B48" s="2">
        <v>40545</v>
      </c>
      <c r="C48" s="1">
        <v>1</v>
      </c>
      <c r="D48" s="1">
        <v>0</v>
      </c>
      <c r="E48" s="1">
        <v>1</v>
      </c>
      <c r="F48" s="1">
        <v>23</v>
      </c>
      <c r="G48" s="3" t="b">
        <v>0</v>
      </c>
      <c r="H48" s="1">
        <v>0</v>
      </c>
      <c r="I48" s="1">
        <v>1</v>
      </c>
      <c r="J48" s="7">
        <v>0.22</v>
      </c>
      <c r="K48" s="8">
        <f>VLOOKUP($A48,'Temprorary Data'!$A:$G,2,FALSE)</f>
        <v>0.2273</v>
      </c>
      <c r="L48" s="8">
        <f>VLOOKUP($A48,'Temprorary Data'!$A:$G,3,FALSE)</f>
        <v>0.47</v>
      </c>
      <c r="M48" s="8">
        <f>VLOOKUP($A48,'Temprorary Data'!$A:$G,4,FALSE)</f>
        <v>0.16420000000000001</v>
      </c>
      <c r="N48" s="9">
        <f>VLOOKUP($A48,'Temprorary Data'!$A:$G,5,FALSE)</f>
        <v>0</v>
      </c>
      <c r="O48" s="9">
        <f>VLOOKUP($A48,'Temprorary Data'!$A:$G,6,FALSE)</f>
        <v>8</v>
      </c>
      <c r="P48" s="9">
        <f>VLOOKUP($A48,'Temprorary Data'!$A:$G,7,FALSE)</f>
        <v>8</v>
      </c>
      <c r="Q48" t="b">
        <f t="shared" si="0"/>
        <v>1</v>
      </c>
      <c r="R48" t="str">
        <f t="shared" si="1"/>
        <v>January</v>
      </c>
      <c r="S48" t="str">
        <f t="shared" si="2"/>
        <v>Sunday</v>
      </c>
      <c r="T48" t="str">
        <f t="shared" si="3"/>
        <v>Weekend</v>
      </c>
      <c r="U48" t="str">
        <f t="shared" si="4"/>
        <v>Spring</v>
      </c>
      <c r="V48" t="str">
        <f t="shared" si="5"/>
        <v>Clear</v>
      </c>
      <c r="W48" t="str">
        <f t="shared" si="6"/>
        <v>Off Peak</v>
      </c>
      <c r="X48" t="str">
        <f t="shared" si="7"/>
        <v>Low</v>
      </c>
      <c r="Y48" t="str">
        <f t="shared" si="8"/>
        <v>Medium</v>
      </c>
    </row>
    <row r="49" spans="1:25" ht="15.75" thickBot="1">
      <c r="A49" s="1">
        <v>48</v>
      </c>
      <c r="B49" s="2">
        <v>40546</v>
      </c>
      <c r="C49" s="1">
        <v>1</v>
      </c>
      <c r="D49" s="1">
        <v>0</v>
      </c>
      <c r="E49" s="1">
        <v>1</v>
      </c>
      <c r="F49" s="1">
        <v>0</v>
      </c>
      <c r="G49" s="3" t="b">
        <v>0</v>
      </c>
      <c r="H49" s="1">
        <v>1</v>
      </c>
      <c r="I49" s="1">
        <v>1</v>
      </c>
      <c r="J49" s="7">
        <v>0.22</v>
      </c>
      <c r="K49" s="8">
        <f>VLOOKUP($A49,'Temprorary Data'!$A:$G,2,FALSE)</f>
        <v>0.19700000000000001</v>
      </c>
      <c r="L49" s="8">
        <f>VLOOKUP($A49,'Temprorary Data'!$A:$G,3,FALSE)</f>
        <v>0.44</v>
      </c>
      <c r="M49" s="8">
        <f>VLOOKUP($A49,'Temprorary Data'!$A:$G,4,FALSE)</f>
        <v>0.35820000000000002</v>
      </c>
      <c r="N49" s="9">
        <f>VLOOKUP($A49,'Temprorary Data'!$A:$G,5,FALSE)</f>
        <v>0</v>
      </c>
      <c r="O49" s="9">
        <f>VLOOKUP($A49,'Temprorary Data'!$A:$G,6,FALSE)</f>
        <v>5</v>
      </c>
      <c r="P49" s="9">
        <f>VLOOKUP($A49,'Temprorary Data'!$A:$G,7,FALSE)</f>
        <v>5</v>
      </c>
      <c r="Q49" t="b">
        <f t="shared" si="0"/>
        <v>1</v>
      </c>
      <c r="R49" t="str">
        <f t="shared" si="1"/>
        <v>January</v>
      </c>
      <c r="S49" t="str">
        <f t="shared" si="2"/>
        <v>Monday</v>
      </c>
      <c r="T49" t="str">
        <f t="shared" si="3"/>
        <v>Weekday</v>
      </c>
      <c r="U49" t="str">
        <f t="shared" si="4"/>
        <v>Spring</v>
      </c>
      <c r="V49" t="str">
        <f t="shared" si="5"/>
        <v>Clear</v>
      </c>
      <c r="W49" t="str">
        <f t="shared" si="6"/>
        <v>Off Peak</v>
      </c>
      <c r="X49" t="str">
        <f t="shared" si="7"/>
        <v>Low</v>
      </c>
      <c r="Y49" t="str">
        <f t="shared" si="8"/>
        <v>Medium</v>
      </c>
    </row>
    <row r="50" spans="1:25" ht="15.75" thickBot="1">
      <c r="A50" s="1">
        <v>49</v>
      </c>
      <c r="B50" s="2">
        <v>40546</v>
      </c>
      <c r="C50" s="1">
        <v>1</v>
      </c>
      <c r="D50" s="1">
        <v>0</v>
      </c>
      <c r="E50" s="1">
        <v>1</v>
      </c>
      <c r="F50" s="1">
        <v>1</v>
      </c>
      <c r="G50" s="3" t="b">
        <v>0</v>
      </c>
      <c r="H50" s="1">
        <v>1</v>
      </c>
      <c r="I50" s="1">
        <v>1</v>
      </c>
      <c r="J50" s="7">
        <v>0.2</v>
      </c>
      <c r="K50" s="8">
        <f>VLOOKUP($A50,'Temprorary Data'!$A:$G,2,FALSE)</f>
        <v>0</v>
      </c>
      <c r="L50" s="8">
        <f>VLOOKUP($A50,'Temprorary Data'!$A:$G,3,FALSE)</f>
        <v>0.44</v>
      </c>
      <c r="M50" s="8">
        <f>VLOOKUP($A50,'Temprorary Data'!$A:$G,4,FALSE)</f>
        <v>0.41789999999999999</v>
      </c>
      <c r="N50" s="9">
        <f>VLOOKUP($A50,'Temprorary Data'!$A:$G,5,FALSE)</f>
        <v>0</v>
      </c>
      <c r="O50" s="9">
        <f>VLOOKUP($A50,'Temprorary Data'!$A:$G,6,FALSE)</f>
        <v>2</v>
      </c>
      <c r="P50" s="9">
        <f>VLOOKUP($A50,'Temprorary Data'!$A:$G,7,FALSE)</f>
        <v>2</v>
      </c>
      <c r="Q50" t="b">
        <f t="shared" si="0"/>
        <v>1</v>
      </c>
      <c r="R50" t="str">
        <f t="shared" si="1"/>
        <v>January</v>
      </c>
      <c r="S50" t="str">
        <f t="shared" si="2"/>
        <v>Monday</v>
      </c>
      <c r="T50" t="str">
        <f t="shared" si="3"/>
        <v>Weekday</v>
      </c>
      <c r="U50" t="str">
        <f t="shared" si="4"/>
        <v>Spring</v>
      </c>
      <c r="V50" t="str">
        <f t="shared" si="5"/>
        <v>Clear</v>
      </c>
      <c r="W50" t="str">
        <f t="shared" si="6"/>
        <v>Off Peak</v>
      </c>
      <c r="X50" t="str">
        <f t="shared" si="7"/>
        <v>Low</v>
      </c>
      <c r="Y50" t="str">
        <f t="shared" si="8"/>
        <v>Medium</v>
      </c>
    </row>
    <row r="51" spans="1:25" ht="15.75" thickBot="1">
      <c r="A51" s="1">
        <v>50</v>
      </c>
      <c r="B51" s="2">
        <v>40546</v>
      </c>
      <c r="C51" s="1">
        <v>1</v>
      </c>
      <c r="D51" s="1">
        <v>0</v>
      </c>
      <c r="E51" s="1">
        <v>1</v>
      </c>
      <c r="F51" s="1">
        <v>4</v>
      </c>
      <c r="G51" s="3" t="b">
        <v>0</v>
      </c>
      <c r="H51" s="1">
        <v>1</v>
      </c>
      <c r="I51" s="1">
        <v>1</v>
      </c>
      <c r="J51" s="7">
        <v>0.16</v>
      </c>
      <c r="K51" s="8">
        <f>VLOOKUP($A51,'Temprorary Data'!$A:$G,2,FALSE)</f>
        <v>0.13639999999999999</v>
      </c>
      <c r="L51" s="8">
        <f>VLOOKUP($A51,'Temprorary Data'!$A:$G,3,FALSE)</f>
        <v>0.47</v>
      </c>
      <c r="M51" s="8">
        <f>VLOOKUP($A51,'Temprorary Data'!$A:$G,4,FALSE)</f>
        <v>0.3881</v>
      </c>
      <c r="N51" s="9">
        <f>VLOOKUP($A51,'Temprorary Data'!$A:$G,5,FALSE)</f>
        <v>0</v>
      </c>
      <c r="O51" s="9">
        <f>VLOOKUP($A51,'Temprorary Data'!$A:$G,6,FALSE)</f>
        <v>1</v>
      </c>
      <c r="P51" s="9">
        <f>VLOOKUP($A51,'Temprorary Data'!$A:$G,7,FALSE)</f>
        <v>1</v>
      </c>
      <c r="Q51" t="b">
        <f t="shared" si="0"/>
        <v>1</v>
      </c>
      <c r="R51" t="str">
        <f t="shared" si="1"/>
        <v>January</v>
      </c>
      <c r="S51" t="str">
        <f t="shared" si="2"/>
        <v>Monday</v>
      </c>
      <c r="T51" t="str">
        <f t="shared" si="3"/>
        <v>Weekday</v>
      </c>
      <c r="U51" t="str">
        <f t="shared" si="4"/>
        <v>Spring</v>
      </c>
      <c r="V51" t="str">
        <f t="shared" si="5"/>
        <v>Clear</v>
      </c>
      <c r="W51" t="str">
        <f t="shared" si="6"/>
        <v>Off Peak</v>
      </c>
      <c r="X51" t="str">
        <f t="shared" si="7"/>
        <v>Low</v>
      </c>
      <c r="Y51" t="str">
        <f t="shared" si="8"/>
        <v>Medium</v>
      </c>
    </row>
    <row r="52" spans="1:25" ht="15.75" thickBot="1">
      <c r="A52" s="1">
        <v>51</v>
      </c>
      <c r="B52" s="2">
        <v>40546</v>
      </c>
      <c r="C52" s="1">
        <v>1</v>
      </c>
      <c r="D52" s="1">
        <v>0</v>
      </c>
      <c r="E52" s="1">
        <v>1</v>
      </c>
      <c r="F52" s="1">
        <v>5</v>
      </c>
      <c r="G52" s="3" t="b">
        <v>0</v>
      </c>
      <c r="H52" s="1">
        <v>1</v>
      </c>
      <c r="I52" s="1">
        <v>1</v>
      </c>
      <c r="J52" s="7">
        <v>0.16</v>
      </c>
      <c r="K52" s="8">
        <f>VLOOKUP($A52,'Temprorary Data'!$A:$G,2,FALSE)</f>
        <v>0.13639999999999999</v>
      </c>
      <c r="L52" s="8">
        <f>VLOOKUP($A52,'Temprorary Data'!$A:$G,3,FALSE)</f>
        <v>0.47</v>
      </c>
      <c r="M52" s="8">
        <f>VLOOKUP($A52,'Temprorary Data'!$A:$G,4,FALSE)</f>
        <v>0.28360000000000002</v>
      </c>
      <c r="N52" s="9">
        <f>VLOOKUP($A52,'Temprorary Data'!$A:$G,5,FALSE)</f>
        <v>0</v>
      </c>
      <c r="O52" s="9">
        <f>VLOOKUP($A52,'Temprorary Data'!$A:$G,6,FALSE)</f>
        <v>3</v>
      </c>
      <c r="P52" s="9">
        <f>VLOOKUP($A52,'Temprorary Data'!$A:$G,7,FALSE)</f>
        <v>3</v>
      </c>
      <c r="Q52" t="b">
        <f t="shared" si="0"/>
        <v>1</v>
      </c>
      <c r="R52" t="str">
        <f t="shared" si="1"/>
        <v>January</v>
      </c>
      <c r="S52" t="str">
        <f t="shared" si="2"/>
        <v>Monday</v>
      </c>
      <c r="T52" t="str">
        <f t="shared" si="3"/>
        <v>Weekday</v>
      </c>
      <c r="U52" t="str">
        <f t="shared" si="4"/>
        <v>Spring</v>
      </c>
      <c r="V52" t="str">
        <f t="shared" si="5"/>
        <v>Clear</v>
      </c>
      <c r="W52" t="str">
        <f t="shared" si="6"/>
        <v>Off Peak</v>
      </c>
      <c r="X52" t="str">
        <f t="shared" si="7"/>
        <v>Low</v>
      </c>
      <c r="Y52" t="str">
        <f t="shared" si="8"/>
        <v>Medium</v>
      </c>
    </row>
    <row r="53" spans="1:25" ht="15.75" thickBot="1">
      <c r="A53" s="1">
        <v>52</v>
      </c>
      <c r="B53" s="2">
        <v>40546</v>
      </c>
      <c r="C53" s="1">
        <v>1</v>
      </c>
      <c r="D53" s="1">
        <v>0</v>
      </c>
      <c r="E53" s="1">
        <v>1</v>
      </c>
      <c r="F53" s="1">
        <v>6</v>
      </c>
      <c r="G53" s="3" t="b">
        <v>0</v>
      </c>
      <c r="H53" s="1">
        <v>1</v>
      </c>
      <c r="I53" s="1">
        <v>1</v>
      </c>
      <c r="J53" s="7">
        <v>0.14000000000000001</v>
      </c>
      <c r="K53" s="8">
        <f>VLOOKUP($A53,'Temprorary Data'!$A:$G,2,FALSE)</f>
        <v>0.1061</v>
      </c>
      <c r="L53" s="8">
        <f>VLOOKUP($A53,'Temprorary Data'!$A:$G,3,FALSE)</f>
        <v>0.5</v>
      </c>
      <c r="M53" s="8">
        <f>VLOOKUP($A53,'Temprorary Data'!$A:$G,4,FALSE)</f>
        <v>0.3881</v>
      </c>
      <c r="N53" s="9">
        <f>VLOOKUP($A53,'Temprorary Data'!$A:$G,5,FALSE)</f>
        <v>0</v>
      </c>
      <c r="O53" s="9">
        <f>VLOOKUP($A53,'Temprorary Data'!$A:$G,6,FALSE)</f>
        <v>30</v>
      </c>
      <c r="P53" s="9">
        <f>VLOOKUP($A53,'Temprorary Data'!$A:$G,7,FALSE)</f>
        <v>30</v>
      </c>
      <c r="Q53" t="b">
        <f t="shared" si="0"/>
        <v>1</v>
      </c>
      <c r="R53" t="str">
        <f t="shared" si="1"/>
        <v>January</v>
      </c>
      <c r="S53" t="str">
        <f t="shared" si="2"/>
        <v>Monday</v>
      </c>
      <c r="T53" t="str">
        <f t="shared" si="3"/>
        <v>Weekday</v>
      </c>
      <c r="U53" t="str">
        <f t="shared" si="4"/>
        <v>Spring</v>
      </c>
      <c r="V53" t="str">
        <f t="shared" si="5"/>
        <v>Clear</v>
      </c>
      <c r="W53" t="str">
        <f t="shared" si="6"/>
        <v>Off Peak</v>
      </c>
      <c r="X53" t="str">
        <f t="shared" si="7"/>
        <v>Low</v>
      </c>
      <c r="Y53" t="str">
        <f t="shared" si="8"/>
        <v>Medium</v>
      </c>
    </row>
    <row r="54" spans="1:25" ht="15.75" thickBot="1">
      <c r="A54" s="1">
        <v>53</v>
      </c>
      <c r="B54" s="2">
        <v>40546</v>
      </c>
      <c r="C54" s="1">
        <v>1</v>
      </c>
      <c r="D54" s="1">
        <v>0</v>
      </c>
      <c r="E54" s="1">
        <v>1</v>
      </c>
      <c r="F54" s="1">
        <v>7</v>
      </c>
      <c r="G54" s="3" t="b">
        <v>0</v>
      </c>
      <c r="H54" s="1">
        <v>1</v>
      </c>
      <c r="I54" s="1">
        <v>1</v>
      </c>
      <c r="J54" s="7">
        <v>0.14000000000000001</v>
      </c>
      <c r="K54" s="8">
        <f>VLOOKUP($A54,'Temprorary Data'!$A:$G,2,FALSE)</f>
        <v>0.13639999999999999</v>
      </c>
      <c r="L54" s="8">
        <f>VLOOKUP($A54,'Temprorary Data'!$A:$G,3,FALSE)</f>
        <v>0.5</v>
      </c>
      <c r="M54" s="8">
        <f>VLOOKUP($A54,'Temprorary Data'!$A:$G,4,FALSE)</f>
        <v>0.19400000000000001</v>
      </c>
      <c r="N54" s="9">
        <f>VLOOKUP($A54,'Temprorary Data'!$A:$G,5,FALSE)</f>
        <v>1</v>
      </c>
      <c r="O54" s="9">
        <f>VLOOKUP($A54,'Temprorary Data'!$A:$G,6,FALSE)</f>
        <v>63</v>
      </c>
      <c r="P54" s="9">
        <f>VLOOKUP($A54,'Temprorary Data'!$A:$G,7,FALSE)</f>
        <v>64</v>
      </c>
      <c r="Q54" t="b">
        <f t="shared" si="0"/>
        <v>1</v>
      </c>
      <c r="R54" t="str">
        <f t="shared" si="1"/>
        <v>January</v>
      </c>
      <c r="S54" t="str">
        <f t="shared" si="2"/>
        <v>Monday</v>
      </c>
      <c r="T54" t="str">
        <f t="shared" si="3"/>
        <v>Weekday</v>
      </c>
      <c r="U54" t="str">
        <f t="shared" si="4"/>
        <v>Spring</v>
      </c>
      <c r="V54" t="str">
        <f t="shared" si="5"/>
        <v>Clear</v>
      </c>
      <c r="W54" t="str">
        <f t="shared" si="6"/>
        <v>Morning Peak</v>
      </c>
      <c r="X54" t="str">
        <f t="shared" si="7"/>
        <v>Low</v>
      </c>
      <c r="Y54" t="str">
        <f t="shared" si="8"/>
        <v>Medium</v>
      </c>
    </row>
    <row r="55" spans="1:25" ht="15.75" thickBot="1">
      <c r="A55" s="1">
        <v>54</v>
      </c>
      <c r="B55" s="2">
        <v>40546</v>
      </c>
      <c r="C55" s="1">
        <v>1</v>
      </c>
      <c r="D55" s="1">
        <v>0</v>
      </c>
      <c r="E55" s="1">
        <v>1</v>
      </c>
      <c r="F55" s="1">
        <v>8</v>
      </c>
      <c r="G55" s="3" t="b">
        <v>0</v>
      </c>
      <c r="H55" s="1">
        <v>1</v>
      </c>
      <c r="I55" s="1">
        <v>1</v>
      </c>
      <c r="J55" s="7">
        <v>0.14000000000000001</v>
      </c>
      <c r="K55" s="8">
        <f>VLOOKUP($A55,'Temprorary Data'!$A:$G,2,FALSE)</f>
        <v>0.1212</v>
      </c>
      <c r="L55" s="8">
        <f>VLOOKUP($A55,'Temprorary Data'!$A:$G,3,FALSE)</f>
        <v>0.5</v>
      </c>
      <c r="M55" s="8">
        <f>VLOOKUP($A55,'Temprorary Data'!$A:$G,4,FALSE)</f>
        <v>0.28360000000000002</v>
      </c>
      <c r="N55" s="9">
        <f>VLOOKUP($A55,'Temprorary Data'!$A:$G,5,FALSE)</f>
        <v>1</v>
      </c>
      <c r="O55" s="9">
        <f>VLOOKUP($A55,'Temprorary Data'!$A:$G,6,FALSE)</f>
        <v>153</v>
      </c>
      <c r="P55" s="9">
        <f>VLOOKUP($A55,'Temprorary Data'!$A:$G,7,FALSE)</f>
        <v>154</v>
      </c>
      <c r="Q55" t="b">
        <f t="shared" si="0"/>
        <v>1</v>
      </c>
      <c r="R55" t="str">
        <f t="shared" si="1"/>
        <v>January</v>
      </c>
      <c r="S55" t="str">
        <f t="shared" si="2"/>
        <v>Monday</v>
      </c>
      <c r="T55" t="str">
        <f t="shared" si="3"/>
        <v>Weekday</v>
      </c>
      <c r="U55" t="str">
        <f t="shared" si="4"/>
        <v>Spring</v>
      </c>
      <c r="V55" t="str">
        <f t="shared" si="5"/>
        <v>Clear</v>
      </c>
      <c r="W55" t="str">
        <f t="shared" si="6"/>
        <v>Morning Peak</v>
      </c>
      <c r="X55" t="str">
        <f t="shared" si="7"/>
        <v>Low</v>
      </c>
      <c r="Y55" t="str">
        <f t="shared" si="8"/>
        <v>Medium</v>
      </c>
    </row>
    <row r="56" spans="1:25" ht="15.75" thickBot="1">
      <c r="A56" s="1">
        <v>55</v>
      </c>
      <c r="B56" s="2">
        <v>40546</v>
      </c>
      <c r="C56" s="1">
        <v>1</v>
      </c>
      <c r="D56" s="1">
        <v>0</v>
      </c>
      <c r="E56" s="1">
        <v>1</v>
      </c>
      <c r="F56" s="1">
        <v>9</v>
      </c>
      <c r="G56" s="3" t="b">
        <v>0</v>
      </c>
      <c r="H56" s="1">
        <v>1</v>
      </c>
      <c r="I56" s="1">
        <v>1</v>
      </c>
      <c r="J56" s="7">
        <v>0.16</v>
      </c>
      <c r="K56" s="8">
        <f>VLOOKUP($A56,'Temprorary Data'!$A:$G,2,FALSE)</f>
        <v>0.13639999999999999</v>
      </c>
      <c r="L56" s="8">
        <f>VLOOKUP($A56,'Temprorary Data'!$A:$G,3,FALSE)</f>
        <v>0.43</v>
      </c>
      <c r="M56" s="8">
        <f>VLOOKUP($A56,'Temprorary Data'!$A:$G,4,FALSE)</f>
        <v>0.3881</v>
      </c>
      <c r="N56" s="9">
        <f>VLOOKUP($A56,'Temprorary Data'!$A:$G,5,FALSE)</f>
        <v>7</v>
      </c>
      <c r="O56" s="9">
        <f>VLOOKUP($A56,'Temprorary Data'!$A:$G,6,FALSE)</f>
        <v>81</v>
      </c>
      <c r="P56" s="9">
        <f>VLOOKUP($A56,'Temprorary Data'!$A:$G,7,FALSE)</f>
        <v>88</v>
      </c>
      <c r="Q56" t="b">
        <f t="shared" si="0"/>
        <v>1</v>
      </c>
      <c r="R56" t="str">
        <f t="shared" si="1"/>
        <v>January</v>
      </c>
      <c r="S56" t="str">
        <f t="shared" si="2"/>
        <v>Monday</v>
      </c>
      <c r="T56" t="str">
        <f t="shared" si="3"/>
        <v>Weekday</v>
      </c>
      <c r="U56" t="str">
        <f t="shared" si="4"/>
        <v>Spring</v>
      </c>
      <c r="V56" t="str">
        <f t="shared" si="5"/>
        <v>Clear</v>
      </c>
      <c r="W56" t="str">
        <f t="shared" si="6"/>
        <v>Morning Peak</v>
      </c>
      <c r="X56" t="str">
        <f t="shared" si="7"/>
        <v>Low</v>
      </c>
      <c r="Y56" t="str">
        <f t="shared" si="8"/>
        <v>Medium</v>
      </c>
    </row>
    <row r="57" spans="1:25" ht="15.75" thickBot="1">
      <c r="A57" s="1">
        <v>56</v>
      </c>
      <c r="B57" s="2">
        <v>40546</v>
      </c>
      <c r="C57" s="1">
        <v>1</v>
      </c>
      <c r="D57" s="1">
        <v>0</v>
      </c>
      <c r="E57" s="1">
        <v>1</v>
      </c>
      <c r="F57" s="1">
        <v>10</v>
      </c>
      <c r="G57" s="3" t="b">
        <v>0</v>
      </c>
      <c r="H57" s="1">
        <v>1</v>
      </c>
      <c r="I57" s="1">
        <v>1</v>
      </c>
      <c r="J57" s="7">
        <v>0.18</v>
      </c>
      <c r="K57" s="8">
        <f>VLOOKUP($A57,'Temprorary Data'!$A:$G,2,FALSE)</f>
        <v>0.16669999999999999</v>
      </c>
      <c r="L57" s="8">
        <f>VLOOKUP($A57,'Temprorary Data'!$A:$G,3,FALSE)</f>
        <v>0.43</v>
      </c>
      <c r="M57" s="8">
        <f>VLOOKUP($A57,'Temprorary Data'!$A:$G,4,FALSE)</f>
        <v>0.25369999999999998</v>
      </c>
      <c r="N57" s="9">
        <f>VLOOKUP($A57,'Temprorary Data'!$A:$G,5,FALSE)</f>
        <v>11</v>
      </c>
      <c r="O57" s="9">
        <f>VLOOKUP($A57,'Temprorary Data'!$A:$G,6,FALSE)</f>
        <v>33</v>
      </c>
      <c r="P57" s="9">
        <f>VLOOKUP($A57,'Temprorary Data'!$A:$G,7,FALSE)</f>
        <v>44</v>
      </c>
      <c r="Q57" t="b">
        <f t="shared" si="0"/>
        <v>1</v>
      </c>
      <c r="R57" t="str">
        <f t="shared" si="1"/>
        <v>January</v>
      </c>
      <c r="S57" t="str">
        <f t="shared" si="2"/>
        <v>Monday</v>
      </c>
      <c r="T57" t="str">
        <f t="shared" si="3"/>
        <v>Weekday</v>
      </c>
      <c r="U57" t="str">
        <f t="shared" si="4"/>
        <v>Spring</v>
      </c>
      <c r="V57" t="str">
        <f t="shared" si="5"/>
        <v>Clear</v>
      </c>
      <c r="W57" t="str">
        <f t="shared" si="6"/>
        <v>Off Peak</v>
      </c>
      <c r="X57" t="str">
        <f t="shared" si="7"/>
        <v>Low</v>
      </c>
      <c r="Y57" t="str">
        <f t="shared" si="8"/>
        <v>Medium</v>
      </c>
    </row>
    <row r="58" spans="1:25" ht="15.75" thickBot="1">
      <c r="A58" s="1">
        <v>57</v>
      </c>
      <c r="B58" s="2">
        <v>40546</v>
      </c>
      <c r="C58" s="1">
        <v>1</v>
      </c>
      <c r="D58" s="1">
        <v>0</v>
      </c>
      <c r="E58" s="1">
        <v>1</v>
      </c>
      <c r="F58" s="1">
        <v>11</v>
      </c>
      <c r="G58" s="3" t="b">
        <v>0</v>
      </c>
      <c r="H58" s="1">
        <v>1</v>
      </c>
      <c r="I58" s="1">
        <v>1</v>
      </c>
      <c r="J58" s="7">
        <v>0.2</v>
      </c>
      <c r="K58" s="8">
        <f>VLOOKUP($A58,'Temprorary Data'!$A:$G,2,FALSE)</f>
        <v>0.18179999999999999</v>
      </c>
      <c r="L58" s="8">
        <f>VLOOKUP($A58,'Temprorary Data'!$A:$G,3,FALSE)</f>
        <v>0.4</v>
      </c>
      <c r="M58" s="8">
        <f>VLOOKUP($A58,'Temprorary Data'!$A:$G,4,FALSE)</f>
        <v>0.32840000000000003</v>
      </c>
      <c r="N58" s="9">
        <f>VLOOKUP($A58,'Temprorary Data'!$A:$G,5,FALSE)</f>
        <v>10</v>
      </c>
      <c r="O58" s="9">
        <f>VLOOKUP($A58,'Temprorary Data'!$A:$G,6,FALSE)</f>
        <v>41</v>
      </c>
      <c r="P58" s="9">
        <f>VLOOKUP($A58,'Temprorary Data'!$A:$G,7,FALSE)</f>
        <v>51</v>
      </c>
      <c r="Q58" t="b">
        <f t="shared" si="0"/>
        <v>1</v>
      </c>
      <c r="R58" t="str">
        <f t="shared" si="1"/>
        <v>January</v>
      </c>
      <c r="S58" t="str">
        <f t="shared" si="2"/>
        <v>Monday</v>
      </c>
      <c r="T58" t="str">
        <f t="shared" si="3"/>
        <v>Weekday</v>
      </c>
      <c r="U58" t="str">
        <f t="shared" si="4"/>
        <v>Spring</v>
      </c>
      <c r="V58" t="str">
        <f t="shared" si="5"/>
        <v>Clear</v>
      </c>
      <c r="W58" t="str">
        <f t="shared" si="6"/>
        <v>Off Peak</v>
      </c>
      <c r="X58" t="str">
        <f t="shared" si="7"/>
        <v>Low</v>
      </c>
      <c r="Y58" t="str">
        <f t="shared" si="8"/>
        <v>Medium</v>
      </c>
    </row>
    <row r="59" spans="1:25" ht="15.75" thickBot="1">
      <c r="A59" s="1">
        <v>58</v>
      </c>
      <c r="B59" s="2">
        <v>40546</v>
      </c>
      <c r="C59" s="1">
        <v>1</v>
      </c>
      <c r="D59" s="1">
        <v>0</v>
      </c>
      <c r="E59" s="1">
        <v>1</v>
      </c>
      <c r="F59" s="1">
        <v>12</v>
      </c>
      <c r="G59" s="3" t="b">
        <v>0</v>
      </c>
      <c r="H59" s="1">
        <v>1</v>
      </c>
      <c r="I59" s="1">
        <v>1</v>
      </c>
      <c r="J59" s="7">
        <v>0.22</v>
      </c>
      <c r="K59" s="8">
        <f>VLOOKUP($A59,'Temprorary Data'!$A:$G,2,FALSE)</f>
        <v>0.21210000000000001</v>
      </c>
      <c r="L59" s="8">
        <f>VLOOKUP($A59,'Temprorary Data'!$A:$G,3,FALSE)</f>
        <v>0.35</v>
      </c>
      <c r="M59" s="8">
        <f>VLOOKUP($A59,'Temprorary Data'!$A:$G,4,FALSE)</f>
        <v>0.29849999999999999</v>
      </c>
      <c r="N59" s="9">
        <f>VLOOKUP($A59,'Temprorary Data'!$A:$G,5,FALSE)</f>
        <v>13</v>
      </c>
      <c r="O59" s="9">
        <f>VLOOKUP($A59,'Temprorary Data'!$A:$G,6,FALSE)</f>
        <v>48</v>
      </c>
      <c r="P59" s="9">
        <f>VLOOKUP($A59,'Temprorary Data'!$A:$G,7,FALSE)</f>
        <v>61</v>
      </c>
      <c r="Q59" t="b">
        <f t="shared" si="0"/>
        <v>1</v>
      </c>
      <c r="R59" t="str">
        <f t="shared" si="1"/>
        <v>January</v>
      </c>
      <c r="S59" t="str">
        <f t="shared" si="2"/>
        <v>Monday</v>
      </c>
      <c r="T59" t="str">
        <f t="shared" si="3"/>
        <v>Weekday</v>
      </c>
      <c r="U59" t="str">
        <f t="shared" si="4"/>
        <v>Spring</v>
      </c>
      <c r="V59" t="str">
        <f t="shared" si="5"/>
        <v>Clear</v>
      </c>
      <c r="W59" t="str">
        <f t="shared" si="6"/>
        <v>Off Peak</v>
      </c>
      <c r="X59" t="str">
        <f t="shared" si="7"/>
        <v>Low</v>
      </c>
      <c r="Y59" t="str">
        <f t="shared" si="8"/>
        <v>Low</v>
      </c>
    </row>
    <row r="60" spans="1:25" ht="15.75" thickBot="1">
      <c r="A60" s="1">
        <v>59</v>
      </c>
      <c r="B60" s="2">
        <v>40546</v>
      </c>
      <c r="C60" s="1">
        <v>1</v>
      </c>
      <c r="D60" s="1">
        <v>0</v>
      </c>
      <c r="E60" s="1">
        <v>1</v>
      </c>
      <c r="F60" s="1">
        <v>13</v>
      </c>
      <c r="G60" s="3" t="b">
        <v>0</v>
      </c>
      <c r="H60" s="1">
        <v>1</v>
      </c>
      <c r="I60" s="1">
        <v>1</v>
      </c>
      <c r="J60" s="7">
        <v>0.24</v>
      </c>
      <c r="K60" s="8">
        <f>VLOOKUP($A60,'Temprorary Data'!$A:$G,2,FALSE)</f>
        <v>0</v>
      </c>
      <c r="L60" s="8">
        <f>VLOOKUP($A60,'Temprorary Data'!$A:$G,3,FALSE)</f>
        <v>0.35</v>
      </c>
      <c r="M60" s="8">
        <f>VLOOKUP($A60,'Temprorary Data'!$A:$G,4,FALSE)</f>
        <v>0.28360000000000002</v>
      </c>
      <c r="N60" s="9">
        <f>VLOOKUP($A60,'Temprorary Data'!$A:$G,5,FALSE)</f>
        <v>8</v>
      </c>
      <c r="O60" s="9">
        <f>VLOOKUP($A60,'Temprorary Data'!$A:$G,6,FALSE)</f>
        <v>53</v>
      </c>
      <c r="P60" s="9">
        <f>VLOOKUP($A60,'Temprorary Data'!$A:$G,7,FALSE)</f>
        <v>61</v>
      </c>
      <c r="Q60" t="b">
        <f t="shared" si="0"/>
        <v>1</v>
      </c>
      <c r="R60" t="str">
        <f t="shared" si="1"/>
        <v>January</v>
      </c>
      <c r="S60" t="str">
        <f t="shared" si="2"/>
        <v>Monday</v>
      </c>
      <c r="T60" t="str">
        <f t="shared" si="3"/>
        <v>Weekday</v>
      </c>
      <c r="U60" t="str">
        <f t="shared" si="4"/>
        <v>Spring</v>
      </c>
      <c r="V60" t="str">
        <f t="shared" si="5"/>
        <v>Clear</v>
      </c>
      <c r="W60" t="str">
        <f t="shared" si="6"/>
        <v>Off Peak</v>
      </c>
      <c r="X60" t="str">
        <f t="shared" si="7"/>
        <v>Low</v>
      </c>
      <c r="Y60" t="str">
        <f t="shared" si="8"/>
        <v>Low</v>
      </c>
    </row>
    <row r="61" spans="1:25" ht="15.75" thickBot="1">
      <c r="A61" s="1">
        <v>60</v>
      </c>
      <c r="B61" s="2">
        <v>40546</v>
      </c>
      <c r="C61" s="1">
        <v>1</v>
      </c>
      <c r="D61" s="1">
        <v>0</v>
      </c>
      <c r="E61" s="1">
        <v>1</v>
      </c>
      <c r="F61" s="1">
        <v>14</v>
      </c>
      <c r="G61" s="3" t="b">
        <v>0</v>
      </c>
      <c r="H61" s="1">
        <v>1</v>
      </c>
      <c r="I61" s="1">
        <v>1</v>
      </c>
      <c r="J61" s="7">
        <v>0.26</v>
      </c>
      <c r="K61" s="8">
        <f>VLOOKUP($A61,'Temprorary Data'!$A:$G,2,FALSE)</f>
        <v>0.2424</v>
      </c>
      <c r="L61" s="8">
        <f>VLOOKUP($A61,'Temprorary Data'!$A:$G,3,FALSE)</f>
        <v>0.3</v>
      </c>
      <c r="M61" s="8">
        <f>VLOOKUP($A61,'Temprorary Data'!$A:$G,4,FALSE)</f>
        <v>0.28360000000000002</v>
      </c>
      <c r="N61" s="9">
        <f>VLOOKUP($A61,'Temprorary Data'!$A:$G,5,FALSE)</f>
        <v>11</v>
      </c>
      <c r="O61" s="9">
        <f>VLOOKUP($A61,'Temprorary Data'!$A:$G,6,FALSE)</f>
        <v>66</v>
      </c>
      <c r="P61" s="9">
        <f>VLOOKUP($A61,'Temprorary Data'!$A:$G,7,FALSE)</f>
        <v>77</v>
      </c>
      <c r="Q61" t="b">
        <f t="shared" si="0"/>
        <v>1</v>
      </c>
      <c r="R61" t="str">
        <f t="shared" si="1"/>
        <v>January</v>
      </c>
      <c r="S61" t="str">
        <f t="shared" si="2"/>
        <v>Monday</v>
      </c>
      <c r="T61" t="str">
        <f t="shared" si="3"/>
        <v>Weekday</v>
      </c>
      <c r="U61" t="str">
        <f t="shared" si="4"/>
        <v>Spring</v>
      </c>
      <c r="V61" t="str">
        <f t="shared" si="5"/>
        <v>Clear</v>
      </c>
      <c r="W61" t="str">
        <f t="shared" si="6"/>
        <v>Off Peak</v>
      </c>
      <c r="X61" t="str">
        <f t="shared" si="7"/>
        <v>Low</v>
      </c>
      <c r="Y61" t="str">
        <f t="shared" si="8"/>
        <v>Low</v>
      </c>
    </row>
    <row r="62" spans="1:25" ht="15.75" thickBot="1">
      <c r="A62" s="1">
        <v>61</v>
      </c>
      <c r="B62" s="2">
        <v>40546</v>
      </c>
      <c r="C62" s="1">
        <v>1</v>
      </c>
      <c r="D62" s="1">
        <v>0</v>
      </c>
      <c r="E62" s="1">
        <v>1</v>
      </c>
      <c r="F62" s="1">
        <v>15</v>
      </c>
      <c r="G62" s="3" t="b">
        <v>0</v>
      </c>
      <c r="H62" s="1">
        <v>1</v>
      </c>
      <c r="I62" s="1">
        <v>1</v>
      </c>
      <c r="J62" s="7">
        <v>0.26</v>
      </c>
      <c r="K62" s="8">
        <f>VLOOKUP($A62,'Temprorary Data'!$A:$G,2,FALSE)</f>
        <v>0.2424</v>
      </c>
      <c r="L62" s="8">
        <f>VLOOKUP($A62,'Temprorary Data'!$A:$G,3,FALSE)</f>
        <v>0.3</v>
      </c>
      <c r="M62" s="8">
        <f>VLOOKUP($A62,'Temprorary Data'!$A:$G,4,FALSE)</f>
        <v>0.25369999999999998</v>
      </c>
      <c r="N62" s="9">
        <f>VLOOKUP($A62,'Temprorary Data'!$A:$G,5,FALSE)</f>
        <v>14</v>
      </c>
      <c r="O62" s="9">
        <f>VLOOKUP($A62,'Temprorary Data'!$A:$G,6,FALSE)</f>
        <v>58</v>
      </c>
      <c r="P62" s="9">
        <f>VLOOKUP($A62,'Temprorary Data'!$A:$G,7,FALSE)</f>
        <v>72</v>
      </c>
      <c r="Q62" t="b">
        <f t="shared" si="0"/>
        <v>1</v>
      </c>
      <c r="R62" t="str">
        <f t="shared" si="1"/>
        <v>January</v>
      </c>
      <c r="S62" t="str">
        <f t="shared" si="2"/>
        <v>Monday</v>
      </c>
      <c r="T62" t="str">
        <f t="shared" si="3"/>
        <v>Weekday</v>
      </c>
      <c r="U62" t="str">
        <f t="shared" si="4"/>
        <v>Spring</v>
      </c>
      <c r="V62" t="str">
        <f t="shared" si="5"/>
        <v>Clear</v>
      </c>
      <c r="W62" t="str">
        <f t="shared" si="6"/>
        <v>Off Peak</v>
      </c>
      <c r="X62" t="str">
        <f t="shared" si="7"/>
        <v>Low</v>
      </c>
      <c r="Y62" t="str">
        <f t="shared" si="8"/>
        <v>Low</v>
      </c>
    </row>
    <row r="63" spans="1:25" ht="15.75" thickBot="1">
      <c r="A63" s="1">
        <v>62</v>
      </c>
      <c r="B63" s="2">
        <v>40546</v>
      </c>
      <c r="C63" s="1">
        <v>1</v>
      </c>
      <c r="D63" s="1">
        <v>0</v>
      </c>
      <c r="E63" s="1">
        <v>1</v>
      </c>
      <c r="F63" s="1">
        <v>16</v>
      </c>
      <c r="G63" s="3" t="b">
        <v>0</v>
      </c>
      <c r="H63" s="1">
        <v>1</v>
      </c>
      <c r="I63" s="1">
        <v>1</v>
      </c>
      <c r="J63" s="7">
        <v>0.26</v>
      </c>
      <c r="K63" s="8">
        <f>VLOOKUP($A63,'Temprorary Data'!$A:$G,2,FALSE)</f>
        <v>0.2424</v>
      </c>
      <c r="L63" s="8">
        <f>VLOOKUP($A63,'Temprorary Data'!$A:$G,3,FALSE)</f>
        <v>0.3</v>
      </c>
      <c r="M63" s="8">
        <f>VLOOKUP($A63,'Temprorary Data'!$A:$G,4,FALSE)</f>
        <v>0.25369999999999998</v>
      </c>
      <c r="N63" s="9">
        <f>VLOOKUP($A63,'Temprorary Data'!$A:$G,5,FALSE)</f>
        <v>9</v>
      </c>
      <c r="O63" s="9">
        <f>VLOOKUP($A63,'Temprorary Data'!$A:$G,6,FALSE)</f>
        <v>67</v>
      </c>
      <c r="P63" s="9">
        <f>VLOOKUP($A63,'Temprorary Data'!$A:$G,7,FALSE)</f>
        <v>76</v>
      </c>
      <c r="Q63" t="b">
        <f t="shared" si="0"/>
        <v>1</v>
      </c>
      <c r="R63" t="str">
        <f t="shared" si="1"/>
        <v>January</v>
      </c>
      <c r="S63" t="str">
        <f t="shared" si="2"/>
        <v>Monday</v>
      </c>
      <c r="T63" t="str">
        <f t="shared" si="3"/>
        <v>Weekday</v>
      </c>
      <c r="U63" t="str">
        <f t="shared" si="4"/>
        <v>Spring</v>
      </c>
      <c r="V63" t="str">
        <f t="shared" si="5"/>
        <v>Clear</v>
      </c>
      <c r="W63" t="str">
        <f t="shared" si="6"/>
        <v>Off Peak</v>
      </c>
      <c r="X63" t="str">
        <f t="shared" si="7"/>
        <v>Low</v>
      </c>
      <c r="Y63" t="str">
        <f t="shared" si="8"/>
        <v>Low</v>
      </c>
    </row>
    <row r="64" spans="1:25" ht="15.75" thickBot="1">
      <c r="A64" s="1">
        <v>63</v>
      </c>
      <c r="B64" s="2">
        <v>40546</v>
      </c>
      <c r="C64" s="1">
        <v>1</v>
      </c>
      <c r="D64" s="1">
        <v>0</v>
      </c>
      <c r="E64" s="1">
        <v>1</v>
      </c>
      <c r="F64" s="1">
        <v>17</v>
      </c>
      <c r="G64" s="3" t="b">
        <v>0</v>
      </c>
      <c r="H64" s="1">
        <v>1</v>
      </c>
      <c r="I64" s="1">
        <v>1</v>
      </c>
      <c r="J64" s="7">
        <v>0.24</v>
      </c>
      <c r="K64" s="8">
        <f>VLOOKUP($A64,'Temprorary Data'!$A:$G,2,FALSE)</f>
        <v>0.2273</v>
      </c>
      <c r="L64" s="8">
        <f>VLOOKUP($A64,'Temprorary Data'!$A:$G,3,FALSE)</f>
        <v>0.3</v>
      </c>
      <c r="M64" s="8">
        <f>VLOOKUP($A64,'Temprorary Data'!$A:$G,4,FALSE)</f>
        <v>0.22389999999999999</v>
      </c>
      <c r="N64" s="9">
        <f>VLOOKUP($A64,'Temprorary Data'!$A:$G,5,FALSE)</f>
        <v>11</v>
      </c>
      <c r="O64" s="9">
        <f>VLOOKUP($A64,'Temprorary Data'!$A:$G,6,FALSE)</f>
        <v>146</v>
      </c>
      <c r="P64" s="9">
        <f>VLOOKUP($A64,'Temprorary Data'!$A:$G,7,FALSE)</f>
        <v>157</v>
      </c>
      <c r="Q64" t="b">
        <f t="shared" si="0"/>
        <v>1</v>
      </c>
      <c r="R64" t="str">
        <f t="shared" si="1"/>
        <v>January</v>
      </c>
      <c r="S64" t="str">
        <f t="shared" si="2"/>
        <v>Monday</v>
      </c>
      <c r="T64" t="str">
        <f t="shared" si="3"/>
        <v>Weekday</v>
      </c>
      <c r="U64" t="str">
        <f t="shared" si="4"/>
        <v>Spring</v>
      </c>
      <c r="V64" t="str">
        <f t="shared" si="5"/>
        <v>Clear</v>
      </c>
      <c r="W64" t="str">
        <f t="shared" si="6"/>
        <v>Evening Peak</v>
      </c>
      <c r="X64" t="str">
        <f t="shared" si="7"/>
        <v>Low</v>
      </c>
      <c r="Y64" t="str">
        <f t="shared" si="8"/>
        <v>Low</v>
      </c>
    </row>
    <row r="65" spans="1:25" ht="15.75" thickBot="1">
      <c r="A65" s="1">
        <v>64</v>
      </c>
      <c r="B65" s="2">
        <v>40546</v>
      </c>
      <c r="C65" s="1">
        <v>1</v>
      </c>
      <c r="D65" s="1">
        <v>0</v>
      </c>
      <c r="E65" s="1">
        <v>1</v>
      </c>
      <c r="F65" s="1">
        <v>18</v>
      </c>
      <c r="G65" s="3" t="b">
        <v>0</v>
      </c>
      <c r="H65" s="1">
        <v>1</v>
      </c>
      <c r="I65" s="1">
        <v>1</v>
      </c>
      <c r="J65" s="7">
        <v>0.24</v>
      </c>
      <c r="K65" s="8">
        <f>VLOOKUP($A65,'Temprorary Data'!$A:$G,2,FALSE)</f>
        <v>0.2576</v>
      </c>
      <c r="L65" s="8">
        <f>VLOOKUP($A65,'Temprorary Data'!$A:$G,3,FALSE)</f>
        <v>0.32</v>
      </c>
      <c r="M65" s="8">
        <f>VLOOKUP($A65,'Temprorary Data'!$A:$G,4,FALSE)</f>
        <v>0.1045</v>
      </c>
      <c r="N65" s="9">
        <f>VLOOKUP($A65,'Temprorary Data'!$A:$G,5,FALSE)</f>
        <v>9</v>
      </c>
      <c r="O65" s="9">
        <f>VLOOKUP($A65,'Temprorary Data'!$A:$G,6,FALSE)</f>
        <v>148</v>
      </c>
      <c r="P65" s="9">
        <f>VLOOKUP($A65,'Temprorary Data'!$A:$G,7,FALSE)</f>
        <v>157</v>
      </c>
      <c r="Q65" t="b">
        <f t="shared" si="0"/>
        <v>1</v>
      </c>
      <c r="R65" t="str">
        <f t="shared" si="1"/>
        <v>January</v>
      </c>
      <c r="S65" t="str">
        <f t="shared" si="2"/>
        <v>Monday</v>
      </c>
      <c r="T65" t="str">
        <f t="shared" si="3"/>
        <v>Weekday</v>
      </c>
      <c r="U65" t="str">
        <f t="shared" si="4"/>
        <v>Spring</v>
      </c>
      <c r="V65" t="str">
        <f t="shared" si="5"/>
        <v>Clear</v>
      </c>
      <c r="W65" t="str">
        <f t="shared" si="6"/>
        <v>Evening Peak</v>
      </c>
      <c r="X65" t="str">
        <f t="shared" si="7"/>
        <v>Low</v>
      </c>
      <c r="Y65" t="str">
        <f t="shared" si="8"/>
        <v>Low</v>
      </c>
    </row>
    <row r="66" spans="1:25" ht="15.75" thickBot="1">
      <c r="A66" s="1">
        <v>65</v>
      </c>
      <c r="B66" s="2">
        <v>40546</v>
      </c>
      <c r="C66" s="1">
        <v>1</v>
      </c>
      <c r="D66" s="1">
        <v>0</v>
      </c>
      <c r="E66" s="1">
        <v>1</v>
      </c>
      <c r="F66" s="1">
        <v>19</v>
      </c>
      <c r="G66" s="3" t="b">
        <v>0</v>
      </c>
      <c r="H66" s="1">
        <v>1</v>
      </c>
      <c r="I66" s="1">
        <v>1</v>
      </c>
      <c r="J66" s="7">
        <v>0.2</v>
      </c>
      <c r="K66" s="8">
        <f>VLOOKUP($A66,'Temprorary Data'!$A:$G,2,FALSE)</f>
        <v>0.2576</v>
      </c>
      <c r="L66" s="8">
        <f>VLOOKUP($A66,'Temprorary Data'!$A:$G,3,FALSE)</f>
        <v>0.47</v>
      </c>
      <c r="M66" s="8">
        <f>VLOOKUP($A66,'Temprorary Data'!$A:$G,4,FALSE)</f>
        <v>0</v>
      </c>
      <c r="N66" s="9">
        <f>VLOOKUP($A66,'Temprorary Data'!$A:$G,5,FALSE)</f>
        <v>8</v>
      </c>
      <c r="O66" s="9">
        <f>VLOOKUP($A66,'Temprorary Data'!$A:$G,6,FALSE)</f>
        <v>102</v>
      </c>
      <c r="P66" s="9">
        <f>VLOOKUP($A66,'Temprorary Data'!$A:$G,7,FALSE)</f>
        <v>110</v>
      </c>
      <c r="Q66" t="b">
        <f t="shared" si="0"/>
        <v>1</v>
      </c>
      <c r="R66" t="str">
        <f t="shared" si="1"/>
        <v>January</v>
      </c>
      <c r="S66" t="str">
        <f t="shared" si="2"/>
        <v>Monday</v>
      </c>
      <c r="T66" t="str">
        <f t="shared" si="3"/>
        <v>Weekday</v>
      </c>
      <c r="U66" t="str">
        <f t="shared" si="4"/>
        <v>Spring</v>
      </c>
      <c r="V66" t="str">
        <f t="shared" si="5"/>
        <v>Clear</v>
      </c>
      <c r="W66" t="str">
        <f t="shared" si="6"/>
        <v>Evening Peak</v>
      </c>
      <c r="X66" t="str">
        <f t="shared" si="7"/>
        <v>Low</v>
      </c>
      <c r="Y66" t="str">
        <f t="shared" si="8"/>
        <v>Medium</v>
      </c>
    </row>
    <row r="67" spans="1:25" ht="15.75" thickBot="1">
      <c r="A67" s="1">
        <v>66</v>
      </c>
      <c r="B67" s="2">
        <v>40546</v>
      </c>
      <c r="C67" s="1">
        <v>1</v>
      </c>
      <c r="D67" s="1">
        <v>0</v>
      </c>
      <c r="E67" s="1">
        <v>1</v>
      </c>
      <c r="F67" s="1">
        <v>20</v>
      </c>
      <c r="G67" s="3" t="b">
        <v>0</v>
      </c>
      <c r="H67" s="1">
        <v>1</v>
      </c>
      <c r="I67" s="1">
        <v>1</v>
      </c>
      <c r="J67" s="7">
        <v>0.2</v>
      </c>
      <c r="K67" s="8">
        <f>VLOOKUP($A67,'Temprorary Data'!$A:$G,2,FALSE)</f>
        <v>0</v>
      </c>
      <c r="L67" s="8">
        <f>VLOOKUP($A67,'Temprorary Data'!$A:$G,3,FALSE)</f>
        <v>0.47</v>
      </c>
      <c r="M67" s="8">
        <f>VLOOKUP($A67,'Temprorary Data'!$A:$G,4,FALSE)</f>
        <v>0.1045</v>
      </c>
      <c r="N67" s="9">
        <f>VLOOKUP($A67,'Temprorary Data'!$A:$G,5,FALSE)</f>
        <v>3</v>
      </c>
      <c r="O67" s="9">
        <f>VLOOKUP($A67,'Temprorary Data'!$A:$G,6,FALSE)</f>
        <v>49</v>
      </c>
      <c r="P67" s="9">
        <f>VLOOKUP($A67,'Temprorary Data'!$A:$G,7,FALSE)</f>
        <v>52</v>
      </c>
      <c r="Q67" t="b">
        <f t="shared" ref="Q67:Q130" si="9">N67+O67=P67</f>
        <v>1</v>
      </c>
      <c r="R67" t="str">
        <f t="shared" ref="R67:R130" si="10">TEXT(B67,"mmmm")</f>
        <v>January</v>
      </c>
      <c r="S67" t="str">
        <f t="shared" ref="S67:S130" si="11">TEXT(B67,"dddd")</f>
        <v>Monday</v>
      </c>
      <c r="T67" t="str">
        <f t="shared" ref="T67:T130" si="12">IF(OR(H67=0,H67=6),"Weekend","Weekday")</f>
        <v>Weekday</v>
      </c>
      <c r="U67" t="str">
        <f t="shared" ref="U67:U130" si="13">IF(C67=1,"Spring",IF(C67=2,"Summer",IF(C67=3,"Fall","Winter")))</f>
        <v>Spring</v>
      </c>
      <c r="V67" t="str">
        <f t="shared" ref="V67:V130" si="14">IF(I67=1,"Clear",IF(I67=2,"Mist",IF(I67=3,"Light Rain","Heavy Rain")))</f>
        <v>Clear</v>
      </c>
      <c r="W67" t="str">
        <f t="shared" ref="W67:W130" si="15">IF(AND(F67&gt;=7,F67&lt;=9),"Morning Peak",IF(AND(F67&gt;=17,F67&lt;=20),"Evening Peak","Off Peak"))</f>
        <v>Evening Peak</v>
      </c>
      <c r="X67" t="str">
        <f t="shared" ref="X67:X130" si="16">IF(J67&lt;0.3,"Low",IF(J67&lt;0.6,"Medium","High"))</f>
        <v>Low</v>
      </c>
      <c r="Y67" t="str">
        <f t="shared" ref="Y67:Y130" si="17">IF(L67&lt;0.4,"Low",IF(L67&lt;0.7,"Medium","High"))</f>
        <v>Medium</v>
      </c>
    </row>
    <row r="68" spans="1:25" ht="15.75" thickBot="1">
      <c r="A68" s="1">
        <v>67</v>
      </c>
      <c r="B68" s="2">
        <v>40546</v>
      </c>
      <c r="C68" s="1">
        <v>1</v>
      </c>
      <c r="D68" s="1">
        <v>0</v>
      </c>
      <c r="E68" s="1">
        <v>1</v>
      </c>
      <c r="F68" s="1">
        <v>21</v>
      </c>
      <c r="G68" s="3" t="b">
        <v>0</v>
      </c>
      <c r="H68" s="1">
        <v>1</v>
      </c>
      <c r="I68" s="1">
        <v>1</v>
      </c>
      <c r="J68" s="7">
        <v>0.18</v>
      </c>
      <c r="K68" s="8">
        <f>VLOOKUP($A68,'Temprorary Data'!$A:$G,2,FALSE)</f>
        <v>0.19700000000000001</v>
      </c>
      <c r="L68" s="8">
        <f>VLOOKUP($A68,'Temprorary Data'!$A:$G,3,FALSE)</f>
        <v>0.64</v>
      </c>
      <c r="M68" s="8">
        <f>VLOOKUP($A68,'Temprorary Data'!$A:$G,4,FALSE)</f>
        <v>0.1343</v>
      </c>
      <c r="N68" s="9">
        <f>VLOOKUP($A68,'Temprorary Data'!$A:$G,5,FALSE)</f>
        <v>3</v>
      </c>
      <c r="O68" s="9">
        <f>VLOOKUP($A68,'Temprorary Data'!$A:$G,6,FALSE)</f>
        <v>49</v>
      </c>
      <c r="P68" s="9">
        <f>VLOOKUP($A68,'Temprorary Data'!$A:$G,7,FALSE)</f>
        <v>52</v>
      </c>
      <c r="Q68" t="b">
        <f t="shared" si="9"/>
        <v>1</v>
      </c>
      <c r="R68" t="str">
        <f t="shared" si="10"/>
        <v>January</v>
      </c>
      <c r="S68" t="str">
        <f t="shared" si="11"/>
        <v>Monday</v>
      </c>
      <c r="T68" t="str">
        <f t="shared" si="12"/>
        <v>Weekday</v>
      </c>
      <c r="U68" t="str">
        <f t="shared" si="13"/>
        <v>Spring</v>
      </c>
      <c r="V68" t="str">
        <f t="shared" si="14"/>
        <v>Clear</v>
      </c>
      <c r="W68" t="str">
        <f t="shared" si="15"/>
        <v>Off Peak</v>
      </c>
      <c r="X68" t="str">
        <f t="shared" si="16"/>
        <v>Low</v>
      </c>
      <c r="Y68" t="str">
        <f t="shared" si="17"/>
        <v>Medium</v>
      </c>
    </row>
    <row r="69" spans="1:25" ht="15.75" thickBot="1">
      <c r="A69" s="1">
        <v>68</v>
      </c>
      <c r="B69" s="2">
        <v>40546</v>
      </c>
      <c r="C69" s="1">
        <v>1</v>
      </c>
      <c r="D69" s="1">
        <v>0</v>
      </c>
      <c r="E69" s="1">
        <v>1</v>
      </c>
      <c r="F69" s="1">
        <v>22</v>
      </c>
      <c r="G69" s="3" t="b">
        <v>0</v>
      </c>
      <c r="H69" s="1">
        <v>1</v>
      </c>
      <c r="I69" s="1">
        <v>1</v>
      </c>
      <c r="J69" s="7">
        <v>0.14000000000000001</v>
      </c>
      <c r="K69" s="8">
        <f>VLOOKUP($A69,'Temprorary Data'!$A:$G,2,FALSE)</f>
        <v>0.1515</v>
      </c>
      <c r="L69" s="8">
        <f>VLOOKUP($A69,'Temprorary Data'!$A:$G,3,FALSE)</f>
        <v>0.69</v>
      </c>
      <c r="M69" s="8">
        <f>VLOOKUP($A69,'Temprorary Data'!$A:$G,4,FALSE)</f>
        <v>0.1343</v>
      </c>
      <c r="N69" s="9">
        <f>VLOOKUP($A69,'Temprorary Data'!$A:$G,5,FALSE)</f>
        <v>0</v>
      </c>
      <c r="O69" s="9">
        <f>VLOOKUP($A69,'Temprorary Data'!$A:$G,6,FALSE)</f>
        <v>20</v>
      </c>
      <c r="P69" s="9">
        <f>VLOOKUP($A69,'Temprorary Data'!$A:$G,7,FALSE)</f>
        <v>20</v>
      </c>
      <c r="Q69" t="b">
        <f t="shared" si="9"/>
        <v>1</v>
      </c>
      <c r="R69" t="str">
        <f t="shared" si="10"/>
        <v>January</v>
      </c>
      <c r="S69" t="str">
        <f t="shared" si="11"/>
        <v>Monday</v>
      </c>
      <c r="T69" t="str">
        <f t="shared" si="12"/>
        <v>Weekday</v>
      </c>
      <c r="U69" t="str">
        <f t="shared" si="13"/>
        <v>Spring</v>
      </c>
      <c r="V69" t="str">
        <f t="shared" si="14"/>
        <v>Clear</v>
      </c>
      <c r="W69" t="str">
        <f t="shared" si="15"/>
        <v>Off Peak</v>
      </c>
      <c r="X69" t="str">
        <f t="shared" si="16"/>
        <v>Low</v>
      </c>
      <c r="Y69" t="str">
        <f t="shared" si="17"/>
        <v>Medium</v>
      </c>
    </row>
    <row r="70" spans="1:25" ht="15.75" thickBot="1">
      <c r="A70" s="1">
        <v>69</v>
      </c>
      <c r="B70" s="2">
        <v>40546</v>
      </c>
      <c r="C70" s="1">
        <v>1</v>
      </c>
      <c r="D70" s="1">
        <v>0</v>
      </c>
      <c r="E70" s="1">
        <v>1</v>
      </c>
      <c r="F70" s="1">
        <v>23</v>
      </c>
      <c r="G70" s="3" t="b">
        <v>0</v>
      </c>
      <c r="H70" s="1">
        <v>1</v>
      </c>
      <c r="I70" s="1">
        <v>1</v>
      </c>
      <c r="J70" s="7">
        <v>0.18</v>
      </c>
      <c r="K70" s="8">
        <f>VLOOKUP($A70,'Temprorary Data'!$A:$G,2,FALSE)</f>
        <v>0.21210000000000001</v>
      </c>
      <c r="L70" s="8">
        <f>VLOOKUP($A70,'Temprorary Data'!$A:$G,3,FALSE)</f>
        <v>0.55000000000000004</v>
      </c>
      <c r="M70" s="8">
        <f>VLOOKUP($A70,'Temprorary Data'!$A:$G,4,FALSE)</f>
        <v>0.1045</v>
      </c>
      <c r="N70" s="9">
        <f>VLOOKUP($A70,'Temprorary Data'!$A:$G,5,FALSE)</f>
        <v>1</v>
      </c>
      <c r="O70" s="9">
        <f>VLOOKUP($A70,'Temprorary Data'!$A:$G,6,FALSE)</f>
        <v>11</v>
      </c>
      <c r="P70" s="9">
        <f>VLOOKUP($A70,'Temprorary Data'!$A:$G,7,FALSE)</f>
        <v>12</v>
      </c>
      <c r="Q70" t="b">
        <f t="shared" si="9"/>
        <v>1</v>
      </c>
      <c r="R70" t="str">
        <f t="shared" si="10"/>
        <v>January</v>
      </c>
      <c r="S70" t="str">
        <f t="shared" si="11"/>
        <v>Monday</v>
      </c>
      <c r="T70" t="str">
        <f t="shared" si="12"/>
        <v>Weekday</v>
      </c>
      <c r="U70" t="str">
        <f t="shared" si="13"/>
        <v>Spring</v>
      </c>
      <c r="V70" t="str">
        <f t="shared" si="14"/>
        <v>Clear</v>
      </c>
      <c r="W70" t="str">
        <f t="shared" si="15"/>
        <v>Off Peak</v>
      </c>
      <c r="X70" t="str">
        <f t="shared" si="16"/>
        <v>Low</v>
      </c>
      <c r="Y70" t="str">
        <f t="shared" si="17"/>
        <v>Medium</v>
      </c>
    </row>
    <row r="71" spans="1:25" ht="15.75" thickBot="1">
      <c r="A71" s="1">
        <v>70</v>
      </c>
      <c r="B71" s="2">
        <v>40547</v>
      </c>
      <c r="C71" s="1">
        <v>1</v>
      </c>
      <c r="D71" s="1">
        <v>0</v>
      </c>
      <c r="E71" s="1">
        <v>1</v>
      </c>
      <c r="F71" s="1">
        <v>0</v>
      </c>
      <c r="G71" s="3" t="b">
        <v>0</v>
      </c>
      <c r="H71" s="1">
        <v>2</v>
      </c>
      <c r="I71" s="1">
        <v>1</v>
      </c>
      <c r="J71" s="7">
        <v>0.16</v>
      </c>
      <c r="K71" s="8">
        <f>VLOOKUP($A71,'Temprorary Data'!$A:$G,2,FALSE)</f>
        <v>0</v>
      </c>
      <c r="L71" s="8">
        <f>VLOOKUP($A71,'Temprorary Data'!$A:$G,3,FALSE)</f>
        <v>0.55000000000000004</v>
      </c>
      <c r="M71" s="8">
        <f>VLOOKUP($A71,'Temprorary Data'!$A:$G,4,FALSE)</f>
        <v>0.1045</v>
      </c>
      <c r="N71" s="9">
        <f>VLOOKUP($A71,'Temprorary Data'!$A:$G,5,FALSE)</f>
        <v>0</v>
      </c>
      <c r="O71" s="9">
        <f>VLOOKUP($A71,'Temprorary Data'!$A:$G,6,FALSE)</f>
        <v>5</v>
      </c>
      <c r="P71" s="9">
        <f>VLOOKUP($A71,'Temprorary Data'!$A:$G,7,FALSE)</f>
        <v>5</v>
      </c>
      <c r="Q71" t="b">
        <f t="shared" si="9"/>
        <v>1</v>
      </c>
      <c r="R71" t="str">
        <f t="shared" si="10"/>
        <v>January</v>
      </c>
      <c r="S71" t="str">
        <f t="shared" si="11"/>
        <v>Tuesday</v>
      </c>
      <c r="T71" t="str">
        <f t="shared" si="12"/>
        <v>Weekday</v>
      </c>
      <c r="U71" t="str">
        <f t="shared" si="13"/>
        <v>Spring</v>
      </c>
      <c r="V71" t="str">
        <f t="shared" si="14"/>
        <v>Clear</v>
      </c>
      <c r="W71" t="str">
        <f t="shared" si="15"/>
        <v>Off Peak</v>
      </c>
      <c r="X71" t="str">
        <f t="shared" si="16"/>
        <v>Low</v>
      </c>
      <c r="Y71" t="str">
        <f t="shared" si="17"/>
        <v>Medium</v>
      </c>
    </row>
    <row r="72" spans="1:25" ht="15.75" thickBot="1">
      <c r="A72" s="1">
        <v>71</v>
      </c>
      <c r="B72" s="2">
        <v>40547</v>
      </c>
      <c r="C72" s="1">
        <v>1</v>
      </c>
      <c r="D72" s="1">
        <v>0</v>
      </c>
      <c r="E72" s="1">
        <v>1</v>
      </c>
      <c r="F72" s="1">
        <v>1</v>
      </c>
      <c r="G72" s="3" t="b">
        <v>0</v>
      </c>
      <c r="H72" s="1">
        <v>2</v>
      </c>
      <c r="I72" s="1">
        <v>1</v>
      </c>
      <c r="J72" s="7">
        <v>0.16</v>
      </c>
      <c r="K72" s="8">
        <f>VLOOKUP($A72,'Temprorary Data'!$A:$G,2,FALSE)</f>
        <v>0.18179999999999999</v>
      </c>
      <c r="L72" s="8">
        <f>VLOOKUP($A72,'Temprorary Data'!$A:$G,3,FALSE)</f>
        <v>0.59</v>
      </c>
      <c r="M72" s="8">
        <f>VLOOKUP($A72,'Temprorary Data'!$A:$G,4,FALSE)</f>
        <v>0.1045</v>
      </c>
      <c r="N72" s="9">
        <f>VLOOKUP($A72,'Temprorary Data'!$A:$G,5,FALSE)</f>
        <v>0</v>
      </c>
      <c r="O72" s="9">
        <f>VLOOKUP($A72,'Temprorary Data'!$A:$G,6,FALSE)</f>
        <v>2</v>
      </c>
      <c r="P72" s="9">
        <f>VLOOKUP($A72,'Temprorary Data'!$A:$G,7,FALSE)</f>
        <v>2</v>
      </c>
      <c r="Q72" t="b">
        <f t="shared" si="9"/>
        <v>1</v>
      </c>
      <c r="R72" t="str">
        <f t="shared" si="10"/>
        <v>January</v>
      </c>
      <c r="S72" t="str">
        <f t="shared" si="11"/>
        <v>Tuesday</v>
      </c>
      <c r="T72" t="str">
        <f t="shared" si="12"/>
        <v>Weekday</v>
      </c>
      <c r="U72" t="str">
        <f t="shared" si="13"/>
        <v>Spring</v>
      </c>
      <c r="V72" t="str">
        <f t="shared" si="14"/>
        <v>Clear</v>
      </c>
      <c r="W72" t="str">
        <f t="shared" si="15"/>
        <v>Off Peak</v>
      </c>
      <c r="X72" t="str">
        <f t="shared" si="16"/>
        <v>Low</v>
      </c>
      <c r="Y72" t="str">
        <f t="shared" si="17"/>
        <v>Medium</v>
      </c>
    </row>
    <row r="73" spans="1:25" ht="15.75" thickBot="1">
      <c r="A73" s="1">
        <v>72</v>
      </c>
      <c r="B73" s="2">
        <v>40547</v>
      </c>
      <c r="C73" s="1">
        <v>1</v>
      </c>
      <c r="D73" s="1">
        <v>0</v>
      </c>
      <c r="E73" s="1">
        <v>1</v>
      </c>
      <c r="F73" s="1">
        <v>2</v>
      </c>
      <c r="G73" s="3" t="b">
        <v>0</v>
      </c>
      <c r="H73" s="1">
        <v>2</v>
      </c>
      <c r="I73" s="1">
        <v>1</v>
      </c>
      <c r="J73" s="7">
        <v>0.14000000000000001</v>
      </c>
      <c r="K73" s="8">
        <f>VLOOKUP($A73,'Temprorary Data'!$A:$G,2,FALSE)</f>
        <v>0.1515</v>
      </c>
      <c r="L73" s="8">
        <f>VLOOKUP($A73,'Temprorary Data'!$A:$G,3,FALSE)</f>
        <v>0.63</v>
      </c>
      <c r="M73" s="8">
        <f>VLOOKUP($A73,'Temprorary Data'!$A:$G,4,FALSE)</f>
        <v>0.1343</v>
      </c>
      <c r="N73" s="9">
        <f>VLOOKUP($A73,'Temprorary Data'!$A:$G,5,FALSE)</f>
        <v>0</v>
      </c>
      <c r="O73" s="9">
        <f>VLOOKUP($A73,'Temprorary Data'!$A:$G,6,FALSE)</f>
        <v>1</v>
      </c>
      <c r="P73" s="9">
        <f>VLOOKUP($A73,'Temprorary Data'!$A:$G,7,FALSE)</f>
        <v>1</v>
      </c>
      <c r="Q73" t="b">
        <f t="shared" si="9"/>
        <v>1</v>
      </c>
      <c r="R73" t="str">
        <f t="shared" si="10"/>
        <v>January</v>
      </c>
      <c r="S73" t="str">
        <f t="shared" si="11"/>
        <v>Tuesday</v>
      </c>
      <c r="T73" t="str">
        <f t="shared" si="12"/>
        <v>Weekday</v>
      </c>
      <c r="U73" t="str">
        <f t="shared" si="13"/>
        <v>Spring</v>
      </c>
      <c r="V73" t="str">
        <f t="shared" si="14"/>
        <v>Clear</v>
      </c>
      <c r="W73" t="str">
        <f t="shared" si="15"/>
        <v>Off Peak</v>
      </c>
      <c r="X73" t="str">
        <f t="shared" si="16"/>
        <v>Low</v>
      </c>
      <c r="Y73" t="str">
        <f t="shared" si="17"/>
        <v>Medium</v>
      </c>
    </row>
    <row r="74" spans="1:25" ht="15.75" thickBot="1">
      <c r="A74" s="1">
        <v>73</v>
      </c>
      <c r="B74" s="2">
        <v>40547</v>
      </c>
      <c r="C74" s="1">
        <v>1</v>
      </c>
      <c r="D74" s="1">
        <v>0</v>
      </c>
      <c r="E74" s="1">
        <v>1</v>
      </c>
      <c r="F74" s="1">
        <v>4</v>
      </c>
      <c r="G74" s="3" t="b">
        <v>0</v>
      </c>
      <c r="H74" s="1">
        <v>2</v>
      </c>
      <c r="I74" s="1">
        <v>1</v>
      </c>
      <c r="J74" s="7">
        <v>0.14000000000000001</v>
      </c>
      <c r="K74" s="8">
        <f>VLOOKUP($A74,'Temprorary Data'!$A:$G,2,FALSE)</f>
        <v>0.18179999999999999</v>
      </c>
      <c r="L74" s="8">
        <f>VLOOKUP($A74,'Temprorary Data'!$A:$G,3,FALSE)</f>
        <v>0.63</v>
      </c>
      <c r="M74" s="8">
        <f>VLOOKUP($A74,'Temprorary Data'!$A:$G,4,FALSE)</f>
        <v>8.9599999999999999E-2</v>
      </c>
      <c r="N74" s="9">
        <f>VLOOKUP($A74,'Temprorary Data'!$A:$G,5,FALSE)</f>
        <v>0</v>
      </c>
      <c r="O74" s="9">
        <f>VLOOKUP($A74,'Temprorary Data'!$A:$G,6,FALSE)</f>
        <v>2</v>
      </c>
      <c r="P74" s="9">
        <f>VLOOKUP($A74,'Temprorary Data'!$A:$G,7,FALSE)</f>
        <v>2</v>
      </c>
      <c r="Q74" t="b">
        <f t="shared" si="9"/>
        <v>1</v>
      </c>
      <c r="R74" t="str">
        <f t="shared" si="10"/>
        <v>January</v>
      </c>
      <c r="S74" t="str">
        <f t="shared" si="11"/>
        <v>Tuesday</v>
      </c>
      <c r="T74" t="str">
        <f t="shared" si="12"/>
        <v>Weekday</v>
      </c>
      <c r="U74" t="str">
        <f t="shared" si="13"/>
        <v>Spring</v>
      </c>
      <c r="V74" t="str">
        <f t="shared" si="14"/>
        <v>Clear</v>
      </c>
      <c r="W74" t="str">
        <f t="shared" si="15"/>
        <v>Off Peak</v>
      </c>
      <c r="X74" t="str">
        <f t="shared" si="16"/>
        <v>Low</v>
      </c>
      <c r="Y74" t="str">
        <f t="shared" si="17"/>
        <v>Medium</v>
      </c>
    </row>
    <row r="75" spans="1:25" ht="15.75" thickBot="1">
      <c r="A75" s="1">
        <v>74</v>
      </c>
      <c r="B75" s="2">
        <v>40547</v>
      </c>
      <c r="C75" s="1">
        <v>1</v>
      </c>
      <c r="D75" s="1">
        <v>0</v>
      </c>
      <c r="E75" s="1">
        <v>1</v>
      </c>
      <c r="F75" s="1">
        <v>5</v>
      </c>
      <c r="G75" s="3" t="b">
        <v>0</v>
      </c>
      <c r="H75" s="1">
        <v>2</v>
      </c>
      <c r="I75" s="1">
        <v>1</v>
      </c>
      <c r="J75" s="7">
        <v>0.12</v>
      </c>
      <c r="K75" s="8">
        <f>VLOOKUP($A75,'Temprorary Data'!$A:$G,2,FALSE)</f>
        <v>0.1515</v>
      </c>
      <c r="L75" s="8">
        <f>VLOOKUP($A75,'Temprorary Data'!$A:$G,3,FALSE)</f>
        <v>0.68</v>
      </c>
      <c r="M75" s="8">
        <f>VLOOKUP($A75,'Temprorary Data'!$A:$G,4,FALSE)</f>
        <v>0.1045</v>
      </c>
      <c r="N75" s="9">
        <f>VLOOKUP($A75,'Temprorary Data'!$A:$G,5,FALSE)</f>
        <v>0</v>
      </c>
      <c r="O75" s="9">
        <f>VLOOKUP($A75,'Temprorary Data'!$A:$G,6,FALSE)</f>
        <v>4</v>
      </c>
      <c r="P75" s="9">
        <f>VLOOKUP($A75,'Temprorary Data'!$A:$G,7,FALSE)</f>
        <v>4</v>
      </c>
      <c r="Q75" t="b">
        <f t="shared" si="9"/>
        <v>1</v>
      </c>
      <c r="R75" t="str">
        <f t="shared" si="10"/>
        <v>January</v>
      </c>
      <c r="S75" t="str">
        <f t="shared" si="11"/>
        <v>Tuesday</v>
      </c>
      <c r="T75" t="str">
        <f t="shared" si="12"/>
        <v>Weekday</v>
      </c>
      <c r="U75" t="str">
        <f t="shared" si="13"/>
        <v>Spring</v>
      </c>
      <c r="V75" t="str">
        <f t="shared" si="14"/>
        <v>Clear</v>
      </c>
      <c r="W75" t="str">
        <f t="shared" si="15"/>
        <v>Off Peak</v>
      </c>
      <c r="X75" t="str">
        <f t="shared" si="16"/>
        <v>Low</v>
      </c>
      <c r="Y75" t="str">
        <f t="shared" si="17"/>
        <v>Medium</v>
      </c>
    </row>
    <row r="76" spans="1:25" ht="15.75" thickBot="1">
      <c r="A76" s="1">
        <v>75</v>
      </c>
      <c r="B76" s="2">
        <v>40547</v>
      </c>
      <c r="C76" s="1">
        <v>1</v>
      </c>
      <c r="D76" s="1">
        <v>0</v>
      </c>
      <c r="E76" s="1">
        <v>1</v>
      </c>
      <c r="F76" s="1">
        <v>6</v>
      </c>
      <c r="G76" s="3" t="b">
        <v>0</v>
      </c>
      <c r="H76" s="1">
        <v>2</v>
      </c>
      <c r="I76" s="1">
        <v>1</v>
      </c>
      <c r="J76" s="7">
        <v>0.12</v>
      </c>
      <c r="K76" s="8">
        <f>VLOOKUP($A76,'Temprorary Data'!$A:$G,2,FALSE)</f>
        <v>0.1515</v>
      </c>
      <c r="L76" s="8">
        <f>VLOOKUP($A76,'Temprorary Data'!$A:$G,3,FALSE)</f>
        <v>0.74</v>
      </c>
      <c r="M76" s="8">
        <f>VLOOKUP($A76,'Temprorary Data'!$A:$G,4,FALSE)</f>
        <v>0.1045</v>
      </c>
      <c r="N76" s="9">
        <f>VLOOKUP($A76,'Temprorary Data'!$A:$G,5,FALSE)</f>
        <v>0</v>
      </c>
      <c r="O76" s="9">
        <f>VLOOKUP($A76,'Temprorary Data'!$A:$G,6,FALSE)</f>
        <v>36</v>
      </c>
      <c r="P76" s="9">
        <f>VLOOKUP($A76,'Temprorary Data'!$A:$G,7,FALSE)</f>
        <v>36</v>
      </c>
      <c r="Q76" t="b">
        <f t="shared" si="9"/>
        <v>1</v>
      </c>
      <c r="R76" t="str">
        <f t="shared" si="10"/>
        <v>January</v>
      </c>
      <c r="S76" t="str">
        <f t="shared" si="11"/>
        <v>Tuesday</v>
      </c>
      <c r="T76" t="str">
        <f t="shared" si="12"/>
        <v>Weekday</v>
      </c>
      <c r="U76" t="str">
        <f t="shared" si="13"/>
        <v>Spring</v>
      </c>
      <c r="V76" t="str">
        <f t="shared" si="14"/>
        <v>Clear</v>
      </c>
      <c r="W76" t="str">
        <f t="shared" si="15"/>
        <v>Off Peak</v>
      </c>
      <c r="X76" t="str">
        <f t="shared" si="16"/>
        <v>Low</v>
      </c>
      <c r="Y76" t="str">
        <f t="shared" si="17"/>
        <v>High</v>
      </c>
    </row>
    <row r="77" spans="1:25" ht="15.75" thickBot="1">
      <c r="A77" s="1">
        <v>76</v>
      </c>
      <c r="B77" s="2">
        <v>40547</v>
      </c>
      <c r="C77" s="1">
        <v>1</v>
      </c>
      <c r="D77" s="1">
        <v>0</v>
      </c>
      <c r="E77" s="1">
        <v>1</v>
      </c>
      <c r="F77" s="1">
        <v>7</v>
      </c>
      <c r="G77" s="3" t="b">
        <v>0</v>
      </c>
      <c r="H77" s="1">
        <v>2</v>
      </c>
      <c r="I77" s="1">
        <v>1</v>
      </c>
      <c r="J77" s="7">
        <v>0.12</v>
      </c>
      <c r="K77" s="8">
        <f>VLOOKUP($A77,'Temprorary Data'!$A:$G,2,FALSE)</f>
        <v>0.1515</v>
      </c>
      <c r="L77" s="8">
        <f>VLOOKUP($A77,'Temprorary Data'!$A:$G,3,FALSE)</f>
        <v>0.74</v>
      </c>
      <c r="M77" s="8">
        <f>VLOOKUP($A77,'Temprorary Data'!$A:$G,4,FALSE)</f>
        <v>0.1343</v>
      </c>
      <c r="N77" s="9">
        <f>VLOOKUP($A77,'Temprorary Data'!$A:$G,5,FALSE)</f>
        <v>2</v>
      </c>
      <c r="O77" s="9">
        <f>VLOOKUP($A77,'Temprorary Data'!$A:$G,6,FALSE)</f>
        <v>92</v>
      </c>
      <c r="P77" s="9">
        <f>VLOOKUP($A77,'Temprorary Data'!$A:$G,7,FALSE)</f>
        <v>94</v>
      </c>
      <c r="Q77" t="b">
        <f t="shared" si="9"/>
        <v>1</v>
      </c>
      <c r="R77" t="str">
        <f t="shared" si="10"/>
        <v>January</v>
      </c>
      <c r="S77" t="str">
        <f t="shared" si="11"/>
        <v>Tuesday</v>
      </c>
      <c r="T77" t="str">
        <f t="shared" si="12"/>
        <v>Weekday</v>
      </c>
      <c r="U77" t="str">
        <f t="shared" si="13"/>
        <v>Spring</v>
      </c>
      <c r="V77" t="str">
        <f t="shared" si="14"/>
        <v>Clear</v>
      </c>
      <c r="W77" t="str">
        <f t="shared" si="15"/>
        <v>Morning Peak</v>
      </c>
      <c r="X77" t="str">
        <f t="shared" si="16"/>
        <v>Low</v>
      </c>
      <c r="Y77" t="str">
        <f t="shared" si="17"/>
        <v>High</v>
      </c>
    </row>
    <row r="78" spans="1:25" ht="15.75" thickBot="1">
      <c r="A78" s="1">
        <v>77</v>
      </c>
      <c r="B78" s="2">
        <v>40547</v>
      </c>
      <c r="C78" s="1">
        <v>1</v>
      </c>
      <c r="D78" s="1">
        <v>0</v>
      </c>
      <c r="E78" s="1">
        <v>1</v>
      </c>
      <c r="F78" s="1">
        <v>8</v>
      </c>
      <c r="G78" s="3" t="b">
        <v>0</v>
      </c>
      <c r="H78" s="1">
        <v>2</v>
      </c>
      <c r="I78" s="1">
        <v>1</v>
      </c>
      <c r="J78" s="7">
        <v>0.14000000000000001</v>
      </c>
      <c r="K78" s="8">
        <f>VLOOKUP($A78,'Temprorary Data'!$A:$G,2,FALSE)</f>
        <v>0.1515</v>
      </c>
      <c r="L78" s="8">
        <f>VLOOKUP($A78,'Temprorary Data'!$A:$G,3,FALSE)</f>
        <v>0.69</v>
      </c>
      <c r="M78" s="8">
        <f>VLOOKUP($A78,'Temprorary Data'!$A:$G,4,FALSE)</f>
        <v>0.16420000000000001</v>
      </c>
      <c r="N78" s="9">
        <f>VLOOKUP($A78,'Temprorary Data'!$A:$G,5,FALSE)</f>
        <v>2</v>
      </c>
      <c r="O78" s="9">
        <f>VLOOKUP($A78,'Temprorary Data'!$A:$G,6,FALSE)</f>
        <v>177</v>
      </c>
      <c r="P78" s="9">
        <f>VLOOKUP($A78,'Temprorary Data'!$A:$G,7,FALSE)</f>
        <v>179</v>
      </c>
      <c r="Q78" t="b">
        <f t="shared" si="9"/>
        <v>1</v>
      </c>
      <c r="R78" t="str">
        <f t="shared" si="10"/>
        <v>January</v>
      </c>
      <c r="S78" t="str">
        <f t="shared" si="11"/>
        <v>Tuesday</v>
      </c>
      <c r="T78" t="str">
        <f t="shared" si="12"/>
        <v>Weekday</v>
      </c>
      <c r="U78" t="str">
        <f t="shared" si="13"/>
        <v>Spring</v>
      </c>
      <c r="V78" t="str">
        <f t="shared" si="14"/>
        <v>Clear</v>
      </c>
      <c r="W78" t="str">
        <f t="shared" si="15"/>
        <v>Morning Peak</v>
      </c>
      <c r="X78" t="str">
        <f t="shared" si="16"/>
        <v>Low</v>
      </c>
      <c r="Y78" t="str">
        <f t="shared" si="17"/>
        <v>Medium</v>
      </c>
    </row>
    <row r="79" spans="1:25" ht="15.75" thickBot="1">
      <c r="A79" s="1">
        <v>78</v>
      </c>
      <c r="B79" s="2">
        <v>40547</v>
      </c>
      <c r="C79" s="1">
        <v>1</v>
      </c>
      <c r="D79" s="1">
        <v>0</v>
      </c>
      <c r="E79" s="1">
        <v>1</v>
      </c>
      <c r="F79" s="1">
        <v>9</v>
      </c>
      <c r="G79" s="3" t="b">
        <v>0</v>
      </c>
      <c r="H79" s="1">
        <v>2</v>
      </c>
      <c r="I79" s="1">
        <v>1</v>
      </c>
      <c r="J79" s="7">
        <v>0.16</v>
      </c>
      <c r="K79" s="8">
        <f>VLOOKUP($A79,'Temprorary Data'!$A:$G,2,FALSE)</f>
        <v>0.1515</v>
      </c>
      <c r="L79" s="8">
        <f>VLOOKUP($A79,'Temprorary Data'!$A:$G,3,FALSE)</f>
        <v>0.64</v>
      </c>
      <c r="M79" s="8">
        <f>VLOOKUP($A79,'Temprorary Data'!$A:$G,4,FALSE)</f>
        <v>0.22389999999999999</v>
      </c>
      <c r="N79" s="9">
        <f>VLOOKUP($A79,'Temprorary Data'!$A:$G,5,FALSE)</f>
        <v>2</v>
      </c>
      <c r="O79" s="9">
        <f>VLOOKUP($A79,'Temprorary Data'!$A:$G,6,FALSE)</f>
        <v>98</v>
      </c>
      <c r="P79" s="9">
        <f>VLOOKUP($A79,'Temprorary Data'!$A:$G,7,FALSE)</f>
        <v>100</v>
      </c>
      <c r="Q79" t="b">
        <f t="shared" si="9"/>
        <v>1</v>
      </c>
      <c r="R79" t="str">
        <f t="shared" si="10"/>
        <v>January</v>
      </c>
      <c r="S79" t="str">
        <f t="shared" si="11"/>
        <v>Tuesday</v>
      </c>
      <c r="T79" t="str">
        <f t="shared" si="12"/>
        <v>Weekday</v>
      </c>
      <c r="U79" t="str">
        <f t="shared" si="13"/>
        <v>Spring</v>
      </c>
      <c r="V79" t="str">
        <f t="shared" si="14"/>
        <v>Clear</v>
      </c>
      <c r="W79" t="str">
        <f t="shared" si="15"/>
        <v>Morning Peak</v>
      </c>
      <c r="X79" t="str">
        <f t="shared" si="16"/>
        <v>Low</v>
      </c>
      <c r="Y79" t="str">
        <f t="shared" si="17"/>
        <v>Medium</v>
      </c>
    </row>
    <row r="80" spans="1:25" ht="15.75" thickBot="1">
      <c r="A80" s="1">
        <v>79</v>
      </c>
      <c r="B80" s="2">
        <v>40547</v>
      </c>
      <c r="C80" s="1">
        <v>1</v>
      </c>
      <c r="D80" s="1">
        <v>0</v>
      </c>
      <c r="E80" s="1">
        <v>1</v>
      </c>
      <c r="F80" s="1">
        <v>10</v>
      </c>
      <c r="G80" s="3" t="b">
        <v>0</v>
      </c>
      <c r="H80" s="1">
        <v>2</v>
      </c>
      <c r="I80" s="1">
        <v>2</v>
      </c>
      <c r="J80" s="7">
        <v>0.16</v>
      </c>
      <c r="K80" s="8">
        <f>VLOOKUP($A80,'Temprorary Data'!$A:$G,2,FALSE)</f>
        <v>0.13639999999999999</v>
      </c>
      <c r="L80" s="8">
        <f>VLOOKUP($A80,'Temprorary Data'!$A:$G,3,FALSE)</f>
        <v>0.69</v>
      </c>
      <c r="M80" s="8">
        <f>VLOOKUP($A80,'Temprorary Data'!$A:$G,4,FALSE)</f>
        <v>0.32840000000000003</v>
      </c>
      <c r="N80" s="9">
        <f>VLOOKUP($A80,'Temprorary Data'!$A:$G,5,FALSE)</f>
        <v>5</v>
      </c>
      <c r="O80" s="9">
        <f>VLOOKUP($A80,'Temprorary Data'!$A:$G,6,FALSE)</f>
        <v>37</v>
      </c>
      <c r="P80" s="9">
        <f>VLOOKUP($A80,'Temprorary Data'!$A:$G,7,FALSE)</f>
        <v>42</v>
      </c>
      <c r="Q80" t="b">
        <f t="shared" si="9"/>
        <v>1</v>
      </c>
      <c r="R80" t="str">
        <f t="shared" si="10"/>
        <v>January</v>
      </c>
      <c r="S80" t="str">
        <f t="shared" si="11"/>
        <v>Tuesday</v>
      </c>
      <c r="T80" t="str">
        <f t="shared" si="12"/>
        <v>Weekday</v>
      </c>
      <c r="U80" t="str">
        <f t="shared" si="13"/>
        <v>Spring</v>
      </c>
      <c r="V80" t="str">
        <f t="shared" si="14"/>
        <v>Mist</v>
      </c>
      <c r="W80" t="str">
        <f t="shared" si="15"/>
        <v>Off Peak</v>
      </c>
      <c r="X80" t="str">
        <f t="shared" si="16"/>
        <v>Low</v>
      </c>
      <c r="Y80" t="str">
        <f t="shared" si="17"/>
        <v>Medium</v>
      </c>
    </row>
    <row r="81" spans="1:25" ht="15.75" thickBot="1">
      <c r="A81" s="1">
        <v>80</v>
      </c>
      <c r="B81" s="2">
        <v>40547</v>
      </c>
      <c r="C81" s="1">
        <v>1</v>
      </c>
      <c r="D81" s="1">
        <v>0</v>
      </c>
      <c r="E81" s="1">
        <v>1</v>
      </c>
      <c r="F81" s="1">
        <v>11</v>
      </c>
      <c r="G81" s="3" t="b">
        <v>0</v>
      </c>
      <c r="H81" s="1">
        <v>2</v>
      </c>
      <c r="I81" s="1">
        <v>1</v>
      </c>
      <c r="J81" s="7">
        <v>0.22</v>
      </c>
      <c r="K81" s="8">
        <f>VLOOKUP($A81,'Temprorary Data'!$A:$G,2,FALSE)</f>
        <v>0.21210000000000001</v>
      </c>
      <c r="L81" s="8">
        <f>VLOOKUP($A81,'Temprorary Data'!$A:$G,3,FALSE)</f>
        <v>0.51</v>
      </c>
      <c r="M81" s="8">
        <f>VLOOKUP($A81,'Temprorary Data'!$A:$G,4,FALSE)</f>
        <v>0.29849999999999999</v>
      </c>
      <c r="N81" s="9">
        <f>VLOOKUP($A81,'Temprorary Data'!$A:$G,5,FALSE)</f>
        <v>7</v>
      </c>
      <c r="O81" s="9">
        <f>VLOOKUP($A81,'Temprorary Data'!$A:$G,6,FALSE)</f>
        <v>50</v>
      </c>
      <c r="P81" s="9">
        <f>VLOOKUP($A81,'Temprorary Data'!$A:$G,7,FALSE)</f>
        <v>57</v>
      </c>
      <c r="Q81" t="b">
        <f t="shared" si="9"/>
        <v>1</v>
      </c>
      <c r="R81" t="str">
        <f t="shared" si="10"/>
        <v>January</v>
      </c>
      <c r="S81" t="str">
        <f t="shared" si="11"/>
        <v>Tuesday</v>
      </c>
      <c r="T81" t="str">
        <f t="shared" si="12"/>
        <v>Weekday</v>
      </c>
      <c r="U81" t="str">
        <f t="shared" si="13"/>
        <v>Spring</v>
      </c>
      <c r="V81" t="str">
        <f t="shared" si="14"/>
        <v>Clear</v>
      </c>
      <c r="W81" t="str">
        <f t="shared" si="15"/>
        <v>Off Peak</v>
      </c>
      <c r="X81" t="str">
        <f t="shared" si="16"/>
        <v>Low</v>
      </c>
      <c r="Y81" t="str">
        <f t="shared" si="17"/>
        <v>Medium</v>
      </c>
    </row>
    <row r="82" spans="1:25" ht="15.75" thickBot="1">
      <c r="A82" s="1">
        <v>81</v>
      </c>
      <c r="B82" s="2">
        <v>40547</v>
      </c>
      <c r="C82" s="1">
        <v>1</v>
      </c>
      <c r="D82" s="1">
        <v>0</v>
      </c>
      <c r="E82" s="1">
        <v>1</v>
      </c>
      <c r="F82" s="1">
        <v>12</v>
      </c>
      <c r="G82" s="3" t="b">
        <v>0</v>
      </c>
      <c r="H82" s="1">
        <v>2</v>
      </c>
      <c r="I82" s="1">
        <v>1</v>
      </c>
      <c r="J82" s="7">
        <v>0.22</v>
      </c>
      <c r="K82" s="8">
        <f>VLOOKUP($A82,'Temprorary Data'!$A:$G,2,FALSE)</f>
        <v>0.2273</v>
      </c>
      <c r="L82" s="8">
        <f>VLOOKUP($A82,'Temprorary Data'!$A:$G,3,FALSE)</f>
        <v>0.51</v>
      </c>
      <c r="M82" s="8">
        <f>VLOOKUP($A82,'Temprorary Data'!$A:$G,4,FALSE)</f>
        <v>0.16420000000000001</v>
      </c>
      <c r="N82" s="9">
        <f>VLOOKUP($A82,'Temprorary Data'!$A:$G,5,FALSE)</f>
        <v>12</v>
      </c>
      <c r="O82" s="9">
        <f>VLOOKUP($A82,'Temprorary Data'!$A:$G,6,FALSE)</f>
        <v>66</v>
      </c>
      <c r="P82" s="9">
        <f>VLOOKUP($A82,'Temprorary Data'!$A:$G,7,FALSE)</f>
        <v>78</v>
      </c>
      <c r="Q82" t="b">
        <f t="shared" si="9"/>
        <v>1</v>
      </c>
      <c r="R82" t="str">
        <f t="shared" si="10"/>
        <v>January</v>
      </c>
      <c r="S82" t="str">
        <f t="shared" si="11"/>
        <v>Tuesday</v>
      </c>
      <c r="T82" t="str">
        <f t="shared" si="12"/>
        <v>Weekday</v>
      </c>
      <c r="U82" t="str">
        <f t="shared" si="13"/>
        <v>Spring</v>
      </c>
      <c r="V82" t="str">
        <f t="shared" si="14"/>
        <v>Clear</v>
      </c>
      <c r="W82" t="str">
        <f t="shared" si="15"/>
        <v>Off Peak</v>
      </c>
      <c r="X82" t="str">
        <f t="shared" si="16"/>
        <v>Low</v>
      </c>
      <c r="Y82" t="str">
        <f t="shared" si="17"/>
        <v>Medium</v>
      </c>
    </row>
    <row r="83" spans="1:25" ht="15.75" thickBot="1">
      <c r="A83" s="1">
        <v>82</v>
      </c>
      <c r="B83" s="2">
        <v>40547</v>
      </c>
      <c r="C83" s="1">
        <v>1</v>
      </c>
      <c r="D83" s="1">
        <v>0</v>
      </c>
      <c r="E83" s="1">
        <v>1</v>
      </c>
      <c r="F83" s="1">
        <v>13</v>
      </c>
      <c r="G83" s="3" t="b">
        <v>0</v>
      </c>
      <c r="H83" s="1">
        <v>2</v>
      </c>
      <c r="I83" s="1">
        <v>1</v>
      </c>
      <c r="J83" s="7">
        <v>0.24</v>
      </c>
      <c r="K83" s="8">
        <f>VLOOKUP($A83,'Temprorary Data'!$A:$G,2,FALSE)</f>
        <v>0.2273</v>
      </c>
      <c r="L83" s="8">
        <f>VLOOKUP($A83,'Temprorary Data'!$A:$G,3,FALSE)</f>
        <v>0.56000000000000005</v>
      </c>
      <c r="M83" s="8">
        <f>VLOOKUP($A83,'Temprorary Data'!$A:$G,4,FALSE)</f>
        <v>0.19400000000000001</v>
      </c>
      <c r="N83" s="9">
        <f>VLOOKUP($A83,'Temprorary Data'!$A:$G,5,FALSE)</f>
        <v>18</v>
      </c>
      <c r="O83" s="9">
        <f>VLOOKUP($A83,'Temprorary Data'!$A:$G,6,FALSE)</f>
        <v>79</v>
      </c>
      <c r="P83" s="9">
        <f>VLOOKUP($A83,'Temprorary Data'!$A:$G,7,FALSE)</f>
        <v>97</v>
      </c>
      <c r="Q83" t="b">
        <f t="shared" si="9"/>
        <v>1</v>
      </c>
      <c r="R83" t="str">
        <f t="shared" si="10"/>
        <v>January</v>
      </c>
      <c r="S83" t="str">
        <f t="shared" si="11"/>
        <v>Tuesday</v>
      </c>
      <c r="T83" t="str">
        <f t="shared" si="12"/>
        <v>Weekday</v>
      </c>
      <c r="U83" t="str">
        <f t="shared" si="13"/>
        <v>Spring</v>
      </c>
      <c r="V83" t="str">
        <f t="shared" si="14"/>
        <v>Clear</v>
      </c>
      <c r="W83" t="str">
        <f t="shared" si="15"/>
        <v>Off Peak</v>
      </c>
      <c r="X83" t="str">
        <f t="shared" si="16"/>
        <v>Low</v>
      </c>
      <c r="Y83" t="str">
        <f t="shared" si="17"/>
        <v>Medium</v>
      </c>
    </row>
    <row r="84" spans="1:25" ht="15.75" thickBot="1">
      <c r="A84" s="1">
        <v>83</v>
      </c>
      <c r="B84" s="2">
        <v>40547</v>
      </c>
      <c r="C84" s="1">
        <v>1</v>
      </c>
      <c r="D84" s="1">
        <v>0</v>
      </c>
      <c r="E84" s="1">
        <v>1</v>
      </c>
      <c r="F84" s="1">
        <v>14</v>
      </c>
      <c r="G84" s="3" t="b">
        <v>0</v>
      </c>
      <c r="H84" s="1">
        <v>2</v>
      </c>
      <c r="I84" s="1">
        <v>1</v>
      </c>
      <c r="J84" s="7">
        <v>0.26</v>
      </c>
      <c r="K84" s="8">
        <f>VLOOKUP($A84,'Temprorary Data'!$A:$G,2,FALSE)</f>
        <v>0.2576</v>
      </c>
      <c r="L84" s="8">
        <f>VLOOKUP($A84,'Temprorary Data'!$A:$G,3,FALSE)</f>
        <v>0.52</v>
      </c>
      <c r="M84" s="8">
        <f>VLOOKUP($A84,'Temprorary Data'!$A:$G,4,FALSE)</f>
        <v>0.22389999999999999</v>
      </c>
      <c r="N84" s="9">
        <f>VLOOKUP($A84,'Temprorary Data'!$A:$G,5,FALSE)</f>
        <v>9</v>
      </c>
      <c r="O84" s="9">
        <f>VLOOKUP($A84,'Temprorary Data'!$A:$G,6,FALSE)</f>
        <v>54</v>
      </c>
      <c r="P84" s="9">
        <f>VLOOKUP($A84,'Temprorary Data'!$A:$G,7,FALSE)</f>
        <v>63</v>
      </c>
      <c r="Q84" t="b">
        <f t="shared" si="9"/>
        <v>1</v>
      </c>
      <c r="R84" t="str">
        <f t="shared" si="10"/>
        <v>January</v>
      </c>
      <c r="S84" t="str">
        <f t="shared" si="11"/>
        <v>Tuesday</v>
      </c>
      <c r="T84" t="str">
        <f t="shared" si="12"/>
        <v>Weekday</v>
      </c>
      <c r="U84" t="str">
        <f t="shared" si="13"/>
        <v>Spring</v>
      </c>
      <c r="V84" t="str">
        <f t="shared" si="14"/>
        <v>Clear</v>
      </c>
      <c r="W84" t="str">
        <f t="shared" si="15"/>
        <v>Off Peak</v>
      </c>
      <c r="X84" t="str">
        <f t="shared" si="16"/>
        <v>Low</v>
      </c>
      <c r="Y84" t="str">
        <f t="shared" si="17"/>
        <v>Medium</v>
      </c>
    </row>
    <row r="85" spans="1:25" ht="15.75" thickBot="1">
      <c r="A85" s="1">
        <v>84</v>
      </c>
      <c r="B85" s="2">
        <v>40547</v>
      </c>
      <c r="C85" s="1">
        <v>1</v>
      </c>
      <c r="D85" s="1">
        <v>0</v>
      </c>
      <c r="E85" s="1">
        <v>1</v>
      </c>
      <c r="F85" s="1">
        <v>15</v>
      </c>
      <c r="G85" s="3" t="b">
        <v>0</v>
      </c>
      <c r="H85" s="1">
        <v>2</v>
      </c>
      <c r="I85" s="1">
        <v>1</v>
      </c>
      <c r="J85" s="7">
        <v>0.28000000000000003</v>
      </c>
      <c r="K85" s="8">
        <f>VLOOKUP($A85,'Temprorary Data'!$A:$G,2,FALSE)</f>
        <v>0.2727</v>
      </c>
      <c r="L85" s="8">
        <f>VLOOKUP($A85,'Temprorary Data'!$A:$G,3,FALSE)</f>
        <v>0.52</v>
      </c>
      <c r="M85" s="8">
        <f>VLOOKUP($A85,'Temprorary Data'!$A:$G,4,FALSE)</f>
        <v>0.25369999999999998</v>
      </c>
      <c r="N85" s="9">
        <f>VLOOKUP($A85,'Temprorary Data'!$A:$G,5,FALSE)</f>
        <v>17</v>
      </c>
      <c r="O85" s="9">
        <f>VLOOKUP($A85,'Temprorary Data'!$A:$G,6,FALSE)</f>
        <v>48</v>
      </c>
      <c r="P85" s="9">
        <f>VLOOKUP($A85,'Temprorary Data'!$A:$G,7,FALSE)</f>
        <v>65</v>
      </c>
      <c r="Q85" t="b">
        <f t="shared" si="9"/>
        <v>1</v>
      </c>
      <c r="R85" t="str">
        <f t="shared" si="10"/>
        <v>January</v>
      </c>
      <c r="S85" t="str">
        <f t="shared" si="11"/>
        <v>Tuesday</v>
      </c>
      <c r="T85" t="str">
        <f t="shared" si="12"/>
        <v>Weekday</v>
      </c>
      <c r="U85" t="str">
        <f t="shared" si="13"/>
        <v>Spring</v>
      </c>
      <c r="V85" t="str">
        <f t="shared" si="14"/>
        <v>Clear</v>
      </c>
      <c r="W85" t="str">
        <f t="shared" si="15"/>
        <v>Off Peak</v>
      </c>
      <c r="X85" t="str">
        <f t="shared" si="16"/>
        <v>Low</v>
      </c>
      <c r="Y85" t="str">
        <f t="shared" si="17"/>
        <v>Medium</v>
      </c>
    </row>
    <row r="86" spans="1:25" ht="15.75" thickBot="1">
      <c r="A86" s="1">
        <v>85</v>
      </c>
      <c r="B86" s="2">
        <v>40547</v>
      </c>
      <c r="C86" s="1">
        <v>1</v>
      </c>
      <c r="D86" s="1">
        <v>0</v>
      </c>
      <c r="E86" s="1">
        <v>1</v>
      </c>
      <c r="F86" s="1">
        <v>16</v>
      </c>
      <c r="G86" s="3" t="b">
        <v>0</v>
      </c>
      <c r="H86" s="1">
        <v>2</v>
      </c>
      <c r="I86" s="1">
        <v>1</v>
      </c>
      <c r="J86" s="7">
        <v>0.3</v>
      </c>
      <c r="K86" s="8">
        <f>VLOOKUP($A86,'Temprorary Data'!$A:$G,2,FALSE)</f>
        <v>0.28789999999999999</v>
      </c>
      <c r="L86" s="8">
        <f>VLOOKUP($A86,'Temprorary Data'!$A:$G,3,FALSE)</f>
        <v>0.49</v>
      </c>
      <c r="M86" s="8">
        <f>VLOOKUP($A86,'Temprorary Data'!$A:$G,4,FALSE)</f>
        <v>0.25369999999999998</v>
      </c>
      <c r="N86" s="9">
        <f>VLOOKUP($A86,'Temprorary Data'!$A:$G,5,FALSE)</f>
        <v>15</v>
      </c>
      <c r="O86" s="9">
        <f>VLOOKUP($A86,'Temprorary Data'!$A:$G,6,FALSE)</f>
        <v>68</v>
      </c>
      <c r="P86" s="9">
        <f>VLOOKUP($A86,'Temprorary Data'!$A:$G,7,FALSE)</f>
        <v>83</v>
      </c>
      <c r="Q86" t="b">
        <f t="shared" si="9"/>
        <v>1</v>
      </c>
      <c r="R86" t="str">
        <f t="shared" si="10"/>
        <v>January</v>
      </c>
      <c r="S86" t="str">
        <f t="shared" si="11"/>
        <v>Tuesday</v>
      </c>
      <c r="T86" t="str">
        <f t="shared" si="12"/>
        <v>Weekday</v>
      </c>
      <c r="U86" t="str">
        <f t="shared" si="13"/>
        <v>Spring</v>
      </c>
      <c r="V86" t="str">
        <f t="shared" si="14"/>
        <v>Clear</v>
      </c>
      <c r="W86" t="str">
        <f t="shared" si="15"/>
        <v>Off Peak</v>
      </c>
      <c r="X86" t="str">
        <f t="shared" si="16"/>
        <v>Medium</v>
      </c>
      <c r="Y86" t="str">
        <f t="shared" si="17"/>
        <v>Medium</v>
      </c>
    </row>
    <row r="87" spans="1:25" ht="15.75" thickBot="1">
      <c r="A87" s="1">
        <v>86</v>
      </c>
      <c r="B87" s="2">
        <v>40547</v>
      </c>
      <c r="C87" s="1">
        <v>1</v>
      </c>
      <c r="D87" s="1">
        <v>0</v>
      </c>
      <c r="E87" s="1">
        <v>1</v>
      </c>
      <c r="F87" s="1">
        <v>17</v>
      </c>
      <c r="G87" s="3" t="b">
        <v>0</v>
      </c>
      <c r="H87" s="1">
        <v>2</v>
      </c>
      <c r="I87" s="1">
        <v>1</v>
      </c>
      <c r="J87" s="7">
        <v>0.28000000000000003</v>
      </c>
      <c r="K87" s="8">
        <f>VLOOKUP($A87,'Temprorary Data'!$A:$G,2,FALSE)</f>
        <v>0.2727</v>
      </c>
      <c r="L87" s="8">
        <f>VLOOKUP($A87,'Temprorary Data'!$A:$G,3,FALSE)</f>
        <v>0.48</v>
      </c>
      <c r="M87" s="8">
        <f>VLOOKUP($A87,'Temprorary Data'!$A:$G,4,FALSE)</f>
        <v>0.22389999999999999</v>
      </c>
      <c r="N87" s="9">
        <f>VLOOKUP($A87,'Temprorary Data'!$A:$G,5,FALSE)</f>
        <v>10</v>
      </c>
      <c r="O87" s="9">
        <f>VLOOKUP($A87,'Temprorary Data'!$A:$G,6,FALSE)</f>
        <v>202</v>
      </c>
      <c r="P87" s="9">
        <f>VLOOKUP($A87,'Temprorary Data'!$A:$G,7,FALSE)</f>
        <v>212</v>
      </c>
      <c r="Q87" t="b">
        <f t="shared" si="9"/>
        <v>1</v>
      </c>
      <c r="R87" t="str">
        <f t="shared" si="10"/>
        <v>January</v>
      </c>
      <c r="S87" t="str">
        <f t="shared" si="11"/>
        <v>Tuesday</v>
      </c>
      <c r="T87" t="str">
        <f t="shared" si="12"/>
        <v>Weekday</v>
      </c>
      <c r="U87" t="str">
        <f t="shared" si="13"/>
        <v>Spring</v>
      </c>
      <c r="V87" t="str">
        <f t="shared" si="14"/>
        <v>Clear</v>
      </c>
      <c r="W87" t="str">
        <f t="shared" si="15"/>
        <v>Evening Peak</v>
      </c>
      <c r="X87" t="str">
        <f t="shared" si="16"/>
        <v>Low</v>
      </c>
      <c r="Y87" t="str">
        <f t="shared" si="17"/>
        <v>Medium</v>
      </c>
    </row>
    <row r="88" spans="1:25" ht="15.75" thickBot="1">
      <c r="A88" s="1">
        <v>87</v>
      </c>
      <c r="B88" s="2">
        <v>40547</v>
      </c>
      <c r="C88" s="1">
        <v>1</v>
      </c>
      <c r="D88" s="1">
        <v>0</v>
      </c>
      <c r="E88" s="1">
        <v>1</v>
      </c>
      <c r="F88" s="1">
        <v>18</v>
      </c>
      <c r="G88" s="3" t="b">
        <v>0</v>
      </c>
      <c r="H88" s="1">
        <v>2</v>
      </c>
      <c r="I88" s="1">
        <v>1</v>
      </c>
      <c r="J88" s="7">
        <v>0.26</v>
      </c>
      <c r="K88" s="8">
        <f>VLOOKUP($A88,'Temprorary Data'!$A:$G,2,FALSE)</f>
        <v>0.2576</v>
      </c>
      <c r="L88" s="8">
        <f>VLOOKUP($A88,'Temprorary Data'!$A:$G,3,FALSE)</f>
        <v>0.48</v>
      </c>
      <c r="M88" s="8">
        <f>VLOOKUP($A88,'Temprorary Data'!$A:$G,4,FALSE)</f>
        <v>0.19400000000000001</v>
      </c>
      <c r="N88" s="9">
        <f>VLOOKUP($A88,'Temprorary Data'!$A:$G,5,FALSE)</f>
        <v>3</v>
      </c>
      <c r="O88" s="9">
        <f>VLOOKUP($A88,'Temprorary Data'!$A:$G,6,FALSE)</f>
        <v>179</v>
      </c>
      <c r="P88" s="9">
        <f>VLOOKUP($A88,'Temprorary Data'!$A:$G,7,FALSE)</f>
        <v>182</v>
      </c>
      <c r="Q88" t="b">
        <f t="shared" si="9"/>
        <v>1</v>
      </c>
      <c r="R88" t="str">
        <f t="shared" si="10"/>
        <v>January</v>
      </c>
      <c r="S88" t="str">
        <f t="shared" si="11"/>
        <v>Tuesday</v>
      </c>
      <c r="T88" t="str">
        <f t="shared" si="12"/>
        <v>Weekday</v>
      </c>
      <c r="U88" t="str">
        <f t="shared" si="13"/>
        <v>Spring</v>
      </c>
      <c r="V88" t="str">
        <f t="shared" si="14"/>
        <v>Clear</v>
      </c>
      <c r="W88" t="str">
        <f t="shared" si="15"/>
        <v>Evening Peak</v>
      </c>
      <c r="X88" t="str">
        <f t="shared" si="16"/>
        <v>Low</v>
      </c>
      <c r="Y88" t="str">
        <f t="shared" si="17"/>
        <v>Medium</v>
      </c>
    </row>
    <row r="89" spans="1:25" ht="15.75" thickBot="1">
      <c r="A89" s="1">
        <v>88</v>
      </c>
      <c r="B89" s="2">
        <v>40547</v>
      </c>
      <c r="C89" s="1">
        <v>1</v>
      </c>
      <c r="D89" s="1">
        <v>0</v>
      </c>
      <c r="E89" s="1">
        <v>1</v>
      </c>
      <c r="F89" s="1">
        <v>19</v>
      </c>
      <c r="G89" s="3" t="b">
        <v>0</v>
      </c>
      <c r="H89" s="1">
        <v>2</v>
      </c>
      <c r="I89" s="1">
        <v>1</v>
      </c>
      <c r="J89" s="7">
        <v>0.24</v>
      </c>
      <c r="K89" s="8">
        <f>VLOOKUP($A89,'Temprorary Data'!$A:$G,2,FALSE)</f>
        <v>0.2576</v>
      </c>
      <c r="L89" s="8">
        <f>VLOOKUP($A89,'Temprorary Data'!$A:$G,3,FALSE)</f>
        <v>0.48</v>
      </c>
      <c r="M89" s="8">
        <f>VLOOKUP($A89,'Temprorary Data'!$A:$G,4,FALSE)</f>
        <v>0.1045</v>
      </c>
      <c r="N89" s="9">
        <f>VLOOKUP($A89,'Temprorary Data'!$A:$G,5,FALSE)</f>
        <v>2</v>
      </c>
      <c r="O89" s="9">
        <f>VLOOKUP($A89,'Temprorary Data'!$A:$G,6,FALSE)</f>
        <v>110</v>
      </c>
      <c r="P89" s="9">
        <f>VLOOKUP($A89,'Temprorary Data'!$A:$G,7,FALSE)</f>
        <v>112</v>
      </c>
      <c r="Q89" t="b">
        <f t="shared" si="9"/>
        <v>1</v>
      </c>
      <c r="R89" t="str">
        <f t="shared" si="10"/>
        <v>January</v>
      </c>
      <c r="S89" t="str">
        <f t="shared" si="11"/>
        <v>Tuesday</v>
      </c>
      <c r="T89" t="str">
        <f t="shared" si="12"/>
        <v>Weekday</v>
      </c>
      <c r="U89" t="str">
        <f t="shared" si="13"/>
        <v>Spring</v>
      </c>
      <c r="V89" t="str">
        <f t="shared" si="14"/>
        <v>Clear</v>
      </c>
      <c r="W89" t="str">
        <f t="shared" si="15"/>
        <v>Evening Peak</v>
      </c>
      <c r="X89" t="str">
        <f t="shared" si="16"/>
        <v>Low</v>
      </c>
      <c r="Y89" t="str">
        <f t="shared" si="17"/>
        <v>Medium</v>
      </c>
    </row>
    <row r="90" spans="1:25" ht="15.75" thickBot="1">
      <c r="A90" s="1">
        <v>89</v>
      </c>
      <c r="B90" s="2">
        <v>40547</v>
      </c>
      <c r="C90" s="1">
        <v>1</v>
      </c>
      <c r="D90" s="1">
        <v>0</v>
      </c>
      <c r="E90" s="1">
        <v>1</v>
      </c>
      <c r="F90" s="1">
        <v>20</v>
      </c>
      <c r="G90" s="3" t="b">
        <v>0</v>
      </c>
      <c r="H90" s="1">
        <v>2</v>
      </c>
      <c r="I90" s="1">
        <v>1</v>
      </c>
      <c r="J90" s="7">
        <v>0.24</v>
      </c>
      <c r="K90" s="8">
        <f>VLOOKUP($A90,'Temprorary Data'!$A:$G,2,FALSE)</f>
        <v>0.2576</v>
      </c>
      <c r="L90" s="8">
        <f>VLOOKUP($A90,'Temprorary Data'!$A:$G,3,FALSE)</f>
        <v>0.48</v>
      </c>
      <c r="M90" s="8">
        <f>VLOOKUP($A90,'Temprorary Data'!$A:$G,4,FALSE)</f>
        <v>0.1045</v>
      </c>
      <c r="N90" s="9">
        <f>VLOOKUP($A90,'Temprorary Data'!$A:$G,5,FALSE)</f>
        <v>1</v>
      </c>
      <c r="O90" s="9">
        <f>VLOOKUP($A90,'Temprorary Data'!$A:$G,6,FALSE)</f>
        <v>53</v>
      </c>
      <c r="P90" s="9">
        <f>VLOOKUP($A90,'Temprorary Data'!$A:$G,7,FALSE)</f>
        <v>54</v>
      </c>
      <c r="Q90" t="b">
        <f t="shared" si="9"/>
        <v>1</v>
      </c>
      <c r="R90" t="str">
        <f t="shared" si="10"/>
        <v>January</v>
      </c>
      <c r="S90" t="str">
        <f t="shared" si="11"/>
        <v>Tuesday</v>
      </c>
      <c r="T90" t="str">
        <f t="shared" si="12"/>
        <v>Weekday</v>
      </c>
      <c r="U90" t="str">
        <f t="shared" si="13"/>
        <v>Spring</v>
      </c>
      <c r="V90" t="str">
        <f t="shared" si="14"/>
        <v>Clear</v>
      </c>
      <c r="W90" t="str">
        <f t="shared" si="15"/>
        <v>Evening Peak</v>
      </c>
      <c r="X90" t="str">
        <f t="shared" si="16"/>
        <v>Low</v>
      </c>
      <c r="Y90" t="str">
        <f t="shared" si="17"/>
        <v>Medium</v>
      </c>
    </row>
    <row r="91" spans="1:25" ht="15.75" thickBot="1">
      <c r="A91" s="1">
        <v>90</v>
      </c>
      <c r="B91" s="2">
        <v>40547</v>
      </c>
      <c r="C91" s="1">
        <v>1</v>
      </c>
      <c r="D91" s="1">
        <v>0</v>
      </c>
      <c r="E91" s="1">
        <v>1</v>
      </c>
      <c r="F91" s="1">
        <v>21</v>
      </c>
      <c r="G91" s="3" t="b">
        <v>0</v>
      </c>
      <c r="H91" s="1">
        <v>2</v>
      </c>
      <c r="I91" s="1">
        <v>1</v>
      </c>
      <c r="J91" s="7">
        <v>0.22</v>
      </c>
      <c r="K91" s="8">
        <f>VLOOKUP($A91,'Temprorary Data'!$A:$G,2,FALSE)</f>
        <v>0.2727</v>
      </c>
      <c r="L91" s="8">
        <f>VLOOKUP($A91,'Temprorary Data'!$A:$G,3,FALSE)</f>
        <v>0.64</v>
      </c>
      <c r="M91" s="8">
        <f>VLOOKUP($A91,'Temprorary Data'!$A:$G,4,FALSE)</f>
        <v>0</v>
      </c>
      <c r="N91" s="9">
        <f>VLOOKUP($A91,'Temprorary Data'!$A:$G,5,FALSE)</f>
        <v>0</v>
      </c>
      <c r="O91" s="9">
        <f>VLOOKUP($A91,'Temprorary Data'!$A:$G,6,FALSE)</f>
        <v>48</v>
      </c>
      <c r="P91" s="9">
        <f>VLOOKUP($A91,'Temprorary Data'!$A:$G,7,FALSE)</f>
        <v>48</v>
      </c>
      <c r="Q91" t="b">
        <f t="shared" si="9"/>
        <v>1</v>
      </c>
      <c r="R91" t="str">
        <f t="shared" si="10"/>
        <v>January</v>
      </c>
      <c r="S91" t="str">
        <f t="shared" si="11"/>
        <v>Tuesday</v>
      </c>
      <c r="T91" t="str">
        <f t="shared" si="12"/>
        <v>Weekday</v>
      </c>
      <c r="U91" t="str">
        <f t="shared" si="13"/>
        <v>Spring</v>
      </c>
      <c r="V91" t="str">
        <f t="shared" si="14"/>
        <v>Clear</v>
      </c>
      <c r="W91" t="str">
        <f t="shared" si="15"/>
        <v>Off Peak</v>
      </c>
      <c r="X91" t="str">
        <f t="shared" si="16"/>
        <v>Low</v>
      </c>
      <c r="Y91" t="str">
        <f t="shared" si="17"/>
        <v>Medium</v>
      </c>
    </row>
    <row r="92" spans="1:25" ht="15.75" thickBot="1">
      <c r="A92" s="1">
        <v>91</v>
      </c>
      <c r="B92" s="2">
        <v>40547</v>
      </c>
      <c r="C92" s="1">
        <v>1</v>
      </c>
      <c r="D92" s="1">
        <v>0</v>
      </c>
      <c r="E92" s="1">
        <v>1</v>
      </c>
      <c r="F92" s="1">
        <v>22</v>
      </c>
      <c r="G92" s="3" t="b">
        <v>0</v>
      </c>
      <c r="H92" s="1">
        <v>2</v>
      </c>
      <c r="I92" s="1">
        <v>1</v>
      </c>
      <c r="J92" s="7">
        <v>0.22</v>
      </c>
      <c r="K92" s="8">
        <f>VLOOKUP($A92,'Temprorary Data'!$A:$G,2,FALSE)</f>
        <v>0.2576</v>
      </c>
      <c r="L92" s="8">
        <f>VLOOKUP($A92,'Temprorary Data'!$A:$G,3,FALSE)</f>
        <v>0.64</v>
      </c>
      <c r="M92" s="8">
        <f>VLOOKUP($A92,'Temprorary Data'!$A:$G,4,FALSE)</f>
        <v>8.9599999999999999E-2</v>
      </c>
      <c r="N92" s="9">
        <f>VLOOKUP($A92,'Temprorary Data'!$A:$G,5,FALSE)</f>
        <v>1</v>
      </c>
      <c r="O92" s="9">
        <f>VLOOKUP($A92,'Temprorary Data'!$A:$G,6,FALSE)</f>
        <v>34</v>
      </c>
      <c r="P92" s="9">
        <f>VLOOKUP($A92,'Temprorary Data'!$A:$G,7,FALSE)</f>
        <v>35</v>
      </c>
      <c r="Q92" t="b">
        <f t="shared" si="9"/>
        <v>1</v>
      </c>
      <c r="R92" t="str">
        <f t="shared" si="10"/>
        <v>January</v>
      </c>
      <c r="S92" t="str">
        <f t="shared" si="11"/>
        <v>Tuesday</v>
      </c>
      <c r="T92" t="str">
        <f t="shared" si="12"/>
        <v>Weekday</v>
      </c>
      <c r="U92" t="str">
        <f t="shared" si="13"/>
        <v>Spring</v>
      </c>
      <c r="V92" t="str">
        <f t="shared" si="14"/>
        <v>Clear</v>
      </c>
      <c r="W92" t="str">
        <f t="shared" si="15"/>
        <v>Off Peak</v>
      </c>
      <c r="X92" t="str">
        <f t="shared" si="16"/>
        <v>Low</v>
      </c>
      <c r="Y92" t="str">
        <f t="shared" si="17"/>
        <v>Medium</v>
      </c>
    </row>
    <row r="93" spans="1:25" ht="15.75" thickBot="1">
      <c r="A93" s="1">
        <v>92</v>
      </c>
      <c r="B93" s="2">
        <v>40547</v>
      </c>
      <c r="C93" s="1">
        <v>1</v>
      </c>
      <c r="D93" s="1">
        <v>0</v>
      </c>
      <c r="E93" s="1">
        <v>1</v>
      </c>
      <c r="F93" s="1">
        <v>23</v>
      </c>
      <c r="G93" s="3" t="b">
        <v>0</v>
      </c>
      <c r="H93" s="1">
        <v>2</v>
      </c>
      <c r="I93" s="1">
        <v>1</v>
      </c>
      <c r="J93" s="7">
        <v>0.2</v>
      </c>
      <c r="K93" s="8">
        <f>VLOOKUP($A93,'Temprorary Data'!$A:$G,2,FALSE)</f>
        <v>0.2273</v>
      </c>
      <c r="L93" s="8">
        <f>VLOOKUP($A93,'Temprorary Data'!$A:$G,3,FALSE)</f>
        <v>0.69</v>
      </c>
      <c r="M93" s="8">
        <f>VLOOKUP($A93,'Temprorary Data'!$A:$G,4,FALSE)</f>
        <v>8.9599999999999999E-2</v>
      </c>
      <c r="N93" s="9">
        <f>VLOOKUP($A93,'Temprorary Data'!$A:$G,5,FALSE)</f>
        <v>2</v>
      </c>
      <c r="O93" s="9">
        <f>VLOOKUP($A93,'Temprorary Data'!$A:$G,6,FALSE)</f>
        <v>9</v>
      </c>
      <c r="P93" s="9">
        <f>VLOOKUP($A93,'Temprorary Data'!$A:$G,7,FALSE)</f>
        <v>11</v>
      </c>
      <c r="Q93" t="b">
        <f t="shared" si="9"/>
        <v>1</v>
      </c>
      <c r="R93" t="str">
        <f t="shared" si="10"/>
        <v>January</v>
      </c>
      <c r="S93" t="str">
        <f t="shared" si="11"/>
        <v>Tuesday</v>
      </c>
      <c r="T93" t="str">
        <f t="shared" si="12"/>
        <v>Weekday</v>
      </c>
      <c r="U93" t="str">
        <f t="shared" si="13"/>
        <v>Spring</v>
      </c>
      <c r="V93" t="str">
        <f t="shared" si="14"/>
        <v>Clear</v>
      </c>
      <c r="W93" t="str">
        <f t="shared" si="15"/>
        <v>Off Peak</v>
      </c>
      <c r="X93" t="str">
        <f t="shared" si="16"/>
        <v>Low</v>
      </c>
      <c r="Y93" t="str">
        <f t="shared" si="17"/>
        <v>Medium</v>
      </c>
    </row>
    <row r="94" spans="1:25" ht="15.75" thickBot="1">
      <c r="A94" s="1">
        <v>93</v>
      </c>
      <c r="B94" s="2">
        <v>40548</v>
      </c>
      <c r="C94" s="1">
        <v>1</v>
      </c>
      <c r="D94" s="1">
        <v>0</v>
      </c>
      <c r="E94" s="1">
        <v>1</v>
      </c>
      <c r="F94" s="1">
        <v>0</v>
      </c>
      <c r="G94" s="3" t="b">
        <v>0</v>
      </c>
      <c r="H94" s="1">
        <v>3</v>
      </c>
      <c r="I94" s="1">
        <v>1</v>
      </c>
      <c r="J94" s="7">
        <v>0.2</v>
      </c>
      <c r="K94" s="8">
        <f>VLOOKUP($A94,'Temprorary Data'!$A:$G,2,FALSE)</f>
        <v>0.2576</v>
      </c>
      <c r="L94" s="8">
        <f>VLOOKUP($A94,'Temprorary Data'!$A:$G,3,FALSE)</f>
        <v>0.64</v>
      </c>
      <c r="M94" s="8">
        <f>VLOOKUP($A94,'Temprorary Data'!$A:$G,4,FALSE)</f>
        <v>0</v>
      </c>
      <c r="N94" s="9">
        <f>VLOOKUP($A94,'Temprorary Data'!$A:$G,5,FALSE)</f>
        <v>0</v>
      </c>
      <c r="O94" s="9">
        <f>VLOOKUP($A94,'Temprorary Data'!$A:$G,6,FALSE)</f>
        <v>6</v>
      </c>
      <c r="P94" s="9">
        <f>VLOOKUP($A94,'Temprorary Data'!$A:$G,7,FALSE)</f>
        <v>6</v>
      </c>
      <c r="Q94" t="b">
        <f t="shared" si="9"/>
        <v>1</v>
      </c>
      <c r="R94" t="str">
        <f t="shared" si="10"/>
        <v>January</v>
      </c>
      <c r="S94" t="str">
        <f t="shared" si="11"/>
        <v>Wednesday</v>
      </c>
      <c r="T94" t="str">
        <f t="shared" si="12"/>
        <v>Weekday</v>
      </c>
      <c r="U94" t="str">
        <f t="shared" si="13"/>
        <v>Spring</v>
      </c>
      <c r="V94" t="str">
        <f t="shared" si="14"/>
        <v>Clear</v>
      </c>
      <c r="W94" t="str">
        <f t="shared" si="15"/>
        <v>Off Peak</v>
      </c>
      <c r="X94" t="str">
        <f t="shared" si="16"/>
        <v>Low</v>
      </c>
      <c r="Y94" t="str">
        <f t="shared" si="17"/>
        <v>Medium</v>
      </c>
    </row>
    <row r="95" spans="1:25" ht="15.75" thickBot="1">
      <c r="A95" s="1">
        <v>94</v>
      </c>
      <c r="B95" s="2">
        <v>40548</v>
      </c>
      <c r="C95" s="1">
        <v>1</v>
      </c>
      <c r="D95" s="1">
        <v>0</v>
      </c>
      <c r="E95" s="1">
        <v>1</v>
      </c>
      <c r="F95" s="1">
        <v>1</v>
      </c>
      <c r="G95" s="3" t="b">
        <v>0</v>
      </c>
      <c r="H95" s="1">
        <v>3</v>
      </c>
      <c r="I95" s="1">
        <v>1</v>
      </c>
      <c r="J95" s="7">
        <v>0.16</v>
      </c>
      <c r="K95" s="8">
        <f>VLOOKUP($A95,'Temprorary Data'!$A:$G,2,FALSE)</f>
        <v>0.19700000000000001</v>
      </c>
      <c r="L95" s="8">
        <f>VLOOKUP($A95,'Temprorary Data'!$A:$G,3,FALSE)</f>
        <v>0.74</v>
      </c>
      <c r="M95" s="8">
        <f>VLOOKUP($A95,'Temprorary Data'!$A:$G,4,FALSE)</f>
        <v>8.9599999999999999E-2</v>
      </c>
      <c r="N95" s="9">
        <f>VLOOKUP($A95,'Temprorary Data'!$A:$G,5,FALSE)</f>
        <v>0</v>
      </c>
      <c r="O95" s="9">
        <f>VLOOKUP($A95,'Temprorary Data'!$A:$G,6,FALSE)</f>
        <v>6</v>
      </c>
      <c r="P95" s="9">
        <f>VLOOKUP($A95,'Temprorary Data'!$A:$G,7,FALSE)</f>
        <v>6</v>
      </c>
      <c r="Q95" t="b">
        <f t="shared" si="9"/>
        <v>1</v>
      </c>
      <c r="R95" t="str">
        <f t="shared" si="10"/>
        <v>January</v>
      </c>
      <c r="S95" t="str">
        <f t="shared" si="11"/>
        <v>Wednesday</v>
      </c>
      <c r="T95" t="str">
        <f t="shared" si="12"/>
        <v>Weekday</v>
      </c>
      <c r="U95" t="str">
        <f t="shared" si="13"/>
        <v>Spring</v>
      </c>
      <c r="V95" t="str">
        <f t="shared" si="14"/>
        <v>Clear</v>
      </c>
      <c r="W95" t="str">
        <f t="shared" si="15"/>
        <v>Off Peak</v>
      </c>
      <c r="X95" t="str">
        <f t="shared" si="16"/>
        <v>Low</v>
      </c>
      <c r="Y95" t="str">
        <f t="shared" si="17"/>
        <v>High</v>
      </c>
    </row>
    <row r="96" spans="1:25" ht="15.75" thickBot="1">
      <c r="A96" s="1">
        <v>95</v>
      </c>
      <c r="B96" s="2">
        <v>40548</v>
      </c>
      <c r="C96" s="1">
        <v>1</v>
      </c>
      <c r="D96" s="1">
        <v>0</v>
      </c>
      <c r="E96" s="1">
        <v>1</v>
      </c>
      <c r="F96" s="1">
        <v>2</v>
      </c>
      <c r="G96" s="3" t="b">
        <v>0</v>
      </c>
      <c r="H96" s="1">
        <v>3</v>
      </c>
      <c r="I96" s="1">
        <v>1</v>
      </c>
      <c r="J96" s="7">
        <v>0.16</v>
      </c>
      <c r="K96" s="8">
        <f>VLOOKUP($A96,'Temprorary Data'!$A:$G,2,FALSE)</f>
        <v>0.19700000000000001</v>
      </c>
      <c r="L96" s="8">
        <f>VLOOKUP($A96,'Temprorary Data'!$A:$G,3,FALSE)</f>
        <v>0.74</v>
      </c>
      <c r="M96" s="8">
        <f>VLOOKUP($A96,'Temprorary Data'!$A:$G,4,FALSE)</f>
        <v>8.9599999999999999E-2</v>
      </c>
      <c r="N96" s="9">
        <f>VLOOKUP($A96,'Temprorary Data'!$A:$G,5,FALSE)</f>
        <v>0</v>
      </c>
      <c r="O96" s="9">
        <f>VLOOKUP($A96,'Temprorary Data'!$A:$G,6,FALSE)</f>
        <v>2</v>
      </c>
      <c r="P96" s="9">
        <f>VLOOKUP($A96,'Temprorary Data'!$A:$G,7,FALSE)</f>
        <v>2</v>
      </c>
      <c r="Q96" t="b">
        <f t="shared" si="9"/>
        <v>1</v>
      </c>
      <c r="R96" t="str">
        <f t="shared" si="10"/>
        <v>January</v>
      </c>
      <c r="S96" t="str">
        <f t="shared" si="11"/>
        <v>Wednesday</v>
      </c>
      <c r="T96" t="str">
        <f t="shared" si="12"/>
        <v>Weekday</v>
      </c>
      <c r="U96" t="str">
        <f t="shared" si="13"/>
        <v>Spring</v>
      </c>
      <c r="V96" t="str">
        <f t="shared" si="14"/>
        <v>Clear</v>
      </c>
      <c r="W96" t="str">
        <f t="shared" si="15"/>
        <v>Off Peak</v>
      </c>
      <c r="X96" t="str">
        <f t="shared" si="16"/>
        <v>Low</v>
      </c>
      <c r="Y96" t="str">
        <f t="shared" si="17"/>
        <v>High</v>
      </c>
    </row>
    <row r="97" spans="1:25" ht="15.75" thickBot="1">
      <c r="A97" s="1">
        <v>96</v>
      </c>
      <c r="B97" s="2">
        <v>40548</v>
      </c>
      <c r="C97" s="1">
        <v>1</v>
      </c>
      <c r="D97" s="1">
        <v>0</v>
      </c>
      <c r="E97" s="1">
        <v>1</v>
      </c>
      <c r="F97" s="1">
        <v>4</v>
      </c>
      <c r="G97" s="3" t="b">
        <v>0</v>
      </c>
      <c r="H97" s="1">
        <v>3</v>
      </c>
      <c r="I97" s="1">
        <v>1</v>
      </c>
      <c r="J97" s="7">
        <v>0.24</v>
      </c>
      <c r="K97" s="8">
        <f>VLOOKUP($A97,'Temprorary Data'!$A:$G,2,FALSE)</f>
        <v>0.2273</v>
      </c>
      <c r="L97" s="8">
        <f>VLOOKUP($A97,'Temprorary Data'!$A:$G,3,FALSE)</f>
        <v>0.48</v>
      </c>
      <c r="M97" s="8">
        <f>VLOOKUP($A97,'Temprorary Data'!$A:$G,4,FALSE)</f>
        <v>0.22389999999999999</v>
      </c>
      <c r="N97" s="9">
        <f>VLOOKUP($A97,'Temprorary Data'!$A:$G,5,FALSE)</f>
        <v>0</v>
      </c>
      <c r="O97" s="9">
        <f>VLOOKUP($A97,'Temprorary Data'!$A:$G,6,FALSE)</f>
        <v>2</v>
      </c>
      <c r="P97" s="9">
        <f>VLOOKUP($A97,'Temprorary Data'!$A:$G,7,FALSE)</f>
        <v>2</v>
      </c>
      <c r="Q97" t="b">
        <f t="shared" si="9"/>
        <v>1</v>
      </c>
      <c r="R97" t="str">
        <f t="shared" si="10"/>
        <v>January</v>
      </c>
      <c r="S97" t="str">
        <f t="shared" si="11"/>
        <v>Wednesday</v>
      </c>
      <c r="T97" t="str">
        <f t="shared" si="12"/>
        <v>Weekday</v>
      </c>
      <c r="U97" t="str">
        <f t="shared" si="13"/>
        <v>Spring</v>
      </c>
      <c r="V97" t="str">
        <f t="shared" si="14"/>
        <v>Clear</v>
      </c>
      <c r="W97" t="str">
        <f t="shared" si="15"/>
        <v>Off Peak</v>
      </c>
      <c r="X97" t="str">
        <f t="shared" si="16"/>
        <v>Low</v>
      </c>
      <c r="Y97" t="str">
        <f t="shared" si="17"/>
        <v>Medium</v>
      </c>
    </row>
    <row r="98" spans="1:25" ht="15.75" thickBot="1">
      <c r="A98" s="1">
        <v>97</v>
      </c>
      <c r="B98" s="2">
        <v>40548</v>
      </c>
      <c r="C98" s="1">
        <v>1</v>
      </c>
      <c r="D98" s="1">
        <v>0</v>
      </c>
      <c r="E98" s="1">
        <v>1</v>
      </c>
      <c r="F98" s="1">
        <v>5</v>
      </c>
      <c r="G98" s="3" t="b">
        <v>0</v>
      </c>
      <c r="H98" s="1">
        <v>3</v>
      </c>
      <c r="I98" s="1">
        <v>1</v>
      </c>
      <c r="J98" s="7">
        <v>0.22</v>
      </c>
      <c r="K98" s="8">
        <f>VLOOKUP($A98,'Temprorary Data'!$A:$G,2,FALSE)</f>
        <v>0.2273</v>
      </c>
      <c r="L98" s="8">
        <f>VLOOKUP($A98,'Temprorary Data'!$A:$G,3,FALSE)</f>
        <v>0.47</v>
      </c>
      <c r="M98" s="8">
        <f>VLOOKUP($A98,'Temprorary Data'!$A:$G,4,FALSE)</f>
        <v>0.16420000000000001</v>
      </c>
      <c r="N98" s="9">
        <f>VLOOKUP($A98,'Temprorary Data'!$A:$G,5,FALSE)</f>
        <v>0</v>
      </c>
      <c r="O98" s="9">
        <f>VLOOKUP($A98,'Temprorary Data'!$A:$G,6,FALSE)</f>
        <v>3</v>
      </c>
      <c r="P98" s="9">
        <f>VLOOKUP($A98,'Temprorary Data'!$A:$G,7,FALSE)</f>
        <v>3</v>
      </c>
      <c r="Q98" t="b">
        <f t="shared" si="9"/>
        <v>1</v>
      </c>
      <c r="R98" t="str">
        <f t="shared" si="10"/>
        <v>January</v>
      </c>
      <c r="S98" t="str">
        <f t="shared" si="11"/>
        <v>Wednesday</v>
      </c>
      <c r="T98" t="str">
        <f t="shared" si="12"/>
        <v>Weekday</v>
      </c>
      <c r="U98" t="str">
        <f t="shared" si="13"/>
        <v>Spring</v>
      </c>
      <c r="V98" t="str">
        <f t="shared" si="14"/>
        <v>Clear</v>
      </c>
      <c r="W98" t="str">
        <f t="shared" si="15"/>
        <v>Off Peak</v>
      </c>
      <c r="X98" t="str">
        <f t="shared" si="16"/>
        <v>Low</v>
      </c>
      <c r="Y98" t="str">
        <f t="shared" si="17"/>
        <v>Medium</v>
      </c>
    </row>
    <row r="99" spans="1:25" ht="15.75" thickBot="1">
      <c r="A99" s="1">
        <v>98</v>
      </c>
      <c r="B99" s="2">
        <v>40548</v>
      </c>
      <c r="C99" s="1">
        <v>1</v>
      </c>
      <c r="D99" s="1">
        <v>0</v>
      </c>
      <c r="E99" s="1">
        <v>1</v>
      </c>
      <c r="F99" s="1">
        <v>6</v>
      </c>
      <c r="G99" s="3" t="b">
        <v>0</v>
      </c>
      <c r="H99" s="1">
        <v>3</v>
      </c>
      <c r="I99" s="1">
        <v>1</v>
      </c>
      <c r="J99" s="7">
        <v>0.2</v>
      </c>
      <c r="K99" s="8">
        <f>VLOOKUP($A99,'Temprorary Data'!$A:$G,2,FALSE)</f>
        <v>0.19700000000000001</v>
      </c>
      <c r="L99" s="8">
        <f>VLOOKUP($A99,'Temprorary Data'!$A:$G,3,FALSE)</f>
        <v>0.47</v>
      </c>
      <c r="M99" s="8">
        <f>VLOOKUP($A99,'Temprorary Data'!$A:$G,4,FALSE)</f>
        <v>0.22389999999999999</v>
      </c>
      <c r="N99" s="9">
        <f>VLOOKUP($A99,'Temprorary Data'!$A:$G,5,FALSE)</f>
        <v>0</v>
      </c>
      <c r="O99" s="9">
        <f>VLOOKUP($A99,'Temprorary Data'!$A:$G,6,FALSE)</f>
        <v>33</v>
      </c>
      <c r="P99" s="9">
        <f>VLOOKUP($A99,'Temprorary Data'!$A:$G,7,FALSE)</f>
        <v>33</v>
      </c>
      <c r="Q99" t="b">
        <f t="shared" si="9"/>
        <v>1</v>
      </c>
      <c r="R99" t="str">
        <f t="shared" si="10"/>
        <v>January</v>
      </c>
      <c r="S99" t="str">
        <f t="shared" si="11"/>
        <v>Wednesday</v>
      </c>
      <c r="T99" t="str">
        <f t="shared" si="12"/>
        <v>Weekday</v>
      </c>
      <c r="U99" t="str">
        <f t="shared" si="13"/>
        <v>Spring</v>
      </c>
      <c r="V99" t="str">
        <f t="shared" si="14"/>
        <v>Clear</v>
      </c>
      <c r="W99" t="str">
        <f t="shared" si="15"/>
        <v>Off Peak</v>
      </c>
      <c r="X99" t="str">
        <f t="shared" si="16"/>
        <v>Low</v>
      </c>
      <c r="Y99" t="str">
        <f t="shared" si="17"/>
        <v>Medium</v>
      </c>
    </row>
    <row r="100" spans="1:25" ht="15.75" thickBot="1">
      <c r="A100" s="1">
        <v>99</v>
      </c>
      <c r="B100" s="2">
        <v>40548</v>
      </c>
      <c r="C100" s="1">
        <v>1</v>
      </c>
      <c r="D100" s="1">
        <v>0</v>
      </c>
      <c r="E100" s="1">
        <v>1</v>
      </c>
      <c r="F100" s="1">
        <v>7</v>
      </c>
      <c r="G100" s="3" t="b">
        <v>0</v>
      </c>
      <c r="H100" s="1">
        <v>3</v>
      </c>
      <c r="I100" s="1">
        <v>1</v>
      </c>
      <c r="J100" s="7">
        <v>0.18</v>
      </c>
      <c r="K100" s="8">
        <f>VLOOKUP($A100,'Temprorary Data'!$A:$G,2,FALSE)</f>
        <v>0.18179999999999999</v>
      </c>
      <c r="L100" s="8">
        <f>VLOOKUP($A100,'Temprorary Data'!$A:$G,3,FALSE)</f>
        <v>0.43</v>
      </c>
      <c r="M100" s="8">
        <f>VLOOKUP($A100,'Temprorary Data'!$A:$G,4,FALSE)</f>
        <v>0.19400000000000001</v>
      </c>
      <c r="N100" s="9">
        <f>VLOOKUP($A100,'Temprorary Data'!$A:$G,5,FALSE)</f>
        <v>1</v>
      </c>
      <c r="O100" s="9">
        <f>VLOOKUP($A100,'Temprorary Data'!$A:$G,6,FALSE)</f>
        <v>87</v>
      </c>
      <c r="P100" s="9">
        <f>VLOOKUP($A100,'Temprorary Data'!$A:$G,7,FALSE)</f>
        <v>88</v>
      </c>
      <c r="Q100" t="b">
        <f t="shared" si="9"/>
        <v>1</v>
      </c>
      <c r="R100" t="str">
        <f t="shared" si="10"/>
        <v>January</v>
      </c>
      <c r="S100" t="str">
        <f t="shared" si="11"/>
        <v>Wednesday</v>
      </c>
      <c r="T100" t="str">
        <f t="shared" si="12"/>
        <v>Weekday</v>
      </c>
      <c r="U100" t="str">
        <f t="shared" si="13"/>
        <v>Spring</v>
      </c>
      <c r="V100" t="str">
        <f t="shared" si="14"/>
        <v>Clear</v>
      </c>
      <c r="W100" t="str">
        <f t="shared" si="15"/>
        <v>Morning Peak</v>
      </c>
      <c r="X100" t="str">
        <f t="shared" si="16"/>
        <v>Low</v>
      </c>
      <c r="Y100" t="str">
        <f t="shared" si="17"/>
        <v>Medium</v>
      </c>
    </row>
    <row r="101" spans="1:25" ht="15.75" thickBot="1">
      <c r="A101" s="1">
        <v>100</v>
      </c>
      <c r="B101" s="2">
        <v>40548</v>
      </c>
      <c r="C101" s="1">
        <v>1</v>
      </c>
      <c r="D101" s="1">
        <v>0</v>
      </c>
      <c r="E101" s="1">
        <v>1</v>
      </c>
      <c r="F101" s="1">
        <v>8</v>
      </c>
      <c r="G101" s="3" t="b">
        <v>0</v>
      </c>
      <c r="H101" s="1">
        <v>3</v>
      </c>
      <c r="I101" s="1">
        <v>1</v>
      </c>
      <c r="J101" s="7">
        <v>0.2</v>
      </c>
      <c r="K101" s="8">
        <f>VLOOKUP($A101,'Temprorary Data'!$A:$G,2,FALSE)</f>
        <v>0.18179999999999999</v>
      </c>
      <c r="L101" s="8">
        <f>VLOOKUP($A101,'Temprorary Data'!$A:$G,3,FALSE)</f>
        <v>0.4</v>
      </c>
      <c r="M101" s="8">
        <f>VLOOKUP($A101,'Temprorary Data'!$A:$G,4,FALSE)</f>
        <v>0.29849999999999999</v>
      </c>
      <c r="N101" s="9">
        <f>VLOOKUP($A101,'Temprorary Data'!$A:$G,5,FALSE)</f>
        <v>3</v>
      </c>
      <c r="O101" s="9">
        <f>VLOOKUP($A101,'Temprorary Data'!$A:$G,6,FALSE)</f>
        <v>192</v>
      </c>
      <c r="P101" s="9">
        <f>VLOOKUP($A101,'Temprorary Data'!$A:$G,7,FALSE)</f>
        <v>195</v>
      </c>
      <c r="Q101" t="b">
        <f t="shared" si="9"/>
        <v>1</v>
      </c>
      <c r="R101" t="str">
        <f t="shared" si="10"/>
        <v>January</v>
      </c>
      <c r="S101" t="str">
        <f t="shared" si="11"/>
        <v>Wednesday</v>
      </c>
      <c r="T101" t="str">
        <f t="shared" si="12"/>
        <v>Weekday</v>
      </c>
      <c r="U101" t="str">
        <f t="shared" si="13"/>
        <v>Spring</v>
      </c>
      <c r="V101" t="str">
        <f t="shared" si="14"/>
        <v>Clear</v>
      </c>
      <c r="W101" t="str">
        <f t="shared" si="15"/>
        <v>Morning Peak</v>
      </c>
      <c r="X101" t="str">
        <f t="shared" si="16"/>
        <v>Low</v>
      </c>
      <c r="Y101" t="str">
        <f t="shared" si="17"/>
        <v>Medium</v>
      </c>
    </row>
    <row r="102" spans="1:25" ht="15.75" thickBot="1">
      <c r="A102" s="1">
        <v>101</v>
      </c>
      <c r="B102" s="2">
        <v>40548</v>
      </c>
      <c r="C102" s="1">
        <v>1</v>
      </c>
      <c r="D102" s="1">
        <v>0</v>
      </c>
      <c r="E102" s="1">
        <v>1</v>
      </c>
      <c r="F102" s="1">
        <v>9</v>
      </c>
      <c r="G102" s="3" t="b">
        <v>0</v>
      </c>
      <c r="H102" s="1">
        <v>3</v>
      </c>
      <c r="I102" s="1">
        <v>1</v>
      </c>
      <c r="J102" s="7">
        <v>0.22</v>
      </c>
      <c r="K102" s="8">
        <f>VLOOKUP($A102,'Temprorary Data'!$A:$G,2,FALSE)</f>
        <v>0.19700000000000001</v>
      </c>
      <c r="L102" s="8">
        <f>VLOOKUP($A102,'Temprorary Data'!$A:$G,3,FALSE)</f>
        <v>0.37</v>
      </c>
      <c r="M102" s="8">
        <f>VLOOKUP($A102,'Temprorary Data'!$A:$G,4,FALSE)</f>
        <v>0.32840000000000003</v>
      </c>
      <c r="N102" s="9">
        <f>VLOOKUP($A102,'Temprorary Data'!$A:$G,5,FALSE)</f>
        <v>6</v>
      </c>
      <c r="O102" s="9">
        <f>VLOOKUP($A102,'Temprorary Data'!$A:$G,6,FALSE)</f>
        <v>109</v>
      </c>
      <c r="P102" s="9">
        <f>VLOOKUP($A102,'Temprorary Data'!$A:$G,7,FALSE)</f>
        <v>115</v>
      </c>
      <c r="Q102" t="b">
        <f t="shared" si="9"/>
        <v>1</v>
      </c>
      <c r="R102" t="str">
        <f t="shared" si="10"/>
        <v>January</v>
      </c>
      <c r="S102" t="str">
        <f t="shared" si="11"/>
        <v>Wednesday</v>
      </c>
      <c r="T102" t="str">
        <f t="shared" si="12"/>
        <v>Weekday</v>
      </c>
      <c r="U102" t="str">
        <f t="shared" si="13"/>
        <v>Spring</v>
      </c>
      <c r="V102" t="str">
        <f t="shared" si="14"/>
        <v>Clear</v>
      </c>
      <c r="W102" t="str">
        <f t="shared" si="15"/>
        <v>Morning Peak</v>
      </c>
      <c r="X102" t="str">
        <f t="shared" si="16"/>
        <v>Low</v>
      </c>
      <c r="Y102" t="str">
        <f t="shared" si="17"/>
        <v>Low</v>
      </c>
    </row>
    <row r="103" spans="1:25" ht="15.75" thickBot="1">
      <c r="A103" s="1">
        <v>102</v>
      </c>
      <c r="B103" s="2">
        <v>40548</v>
      </c>
      <c r="C103" s="1">
        <v>1</v>
      </c>
      <c r="D103" s="1">
        <v>0</v>
      </c>
      <c r="E103" s="1">
        <v>1</v>
      </c>
      <c r="F103" s="1">
        <v>10</v>
      </c>
      <c r="G103" s="3" t="b">
        <v>0</v>
      </c>
      <c r="H103" s="1">
        <v>3</v>
      </c>
      <c r="I103" s="1">
        <v>1</v>
      </c>
      <c r="J103" s="7">
        <v>0.22</v>
      </c>
      <c r="K103" s="8">
        <f>VLOOKUP($A103,'Temprorary Data'!$A:$G,2,FALSE)</f>
        <v>0.19700000000000001</v>
      </c>
      <c r="L103" s="8">
        <f>VLOOKUP($A103,'Temprorary Data'!$A:$G,3,FALSE)</f>
        <v>0.37</v>
      </c>
      <c r="M103" s="8">
        <f>VLOOKUP($A103,'Temprorary Data'!$A:$G,4,FALSE)</f>
        <v>0.32840000000000003</v>
      </c>
      <c r="N103" s="9">
        <f>VLOOKUP($A103,'Temprorary Data'!$A:$G,5,FALSE)</f>
        <v>4</v>
      </c>
      <c r="O103" s="9">
        <f>VLOOKUP($A103,'Temprorary Data'!$A:$G,6,FALSE)</f>
        <v>53</v>
      </c>
      <c r="P103" s="9">
        <f>VLOOKUP($A103,'Temprorary Data'!$A:$G,7,FALSE)</f>
        <v>57</v>
      </c>
      <c r="Q103" t="b">
        <f t="shared" si="9"/>
        <v>1</v>
      </c>
      <c r="R103" t="str">
        <f t="shared" si="10"/>
        <v>January</v>
      </c>
      <c r="S103" t="str">
        <f t="shared" si="11"/>
        <v>Wednesday</v>
      </c>
      <c r="T103" t="str">
        <f t="shared" si="12"/>
        <v>Weekday</v>
      </c>
      <c r="U103" t="str">
        <f t="shared" si="13"/>
        <v>Spring</v>
      </c>
      <c r="V103" t="str">
        <f t="shared" si="14"/>
        <v>Clear</v>
      </c>
      <c r="W103" t="str">
        <f t="shared" si="15"/>
        <v>Off Peak</v>
      </c>
      <c r="X103" t="str">
        <f t="shared" si="16"/>
        <v>Low</v>
      </c>
      <c r="Y103" t="str">
        <f t="shared" si="17"/>
        <v>Low</v>
      </c>
    </row>
    <row r="104" spans="1:25" ht="15.75" thickBot="1">
      <c r="A104" s="1">
        <v>103</v>
      </c>
      <c r="B104" s="2">
        <v>40548</v>
      </c>
      <c r="C104" s="1">
        <v>1</v>
      </c>
      <c r="D104" s="1">
        <v>0</v>
      </c>
      <c r="E104" s="1">
        <v>1</v>
      </c>
      <c r="F104" s="1">
        <v>11</v>
      </c>
      <c r="G104" s="3" t="b">
        <v>0</v>
      </c>
      <c r="H104" s="1">
        <v>3</v>
      </c>
      <c r="I104" s="1">
        <v>1</v>
      </c>
      <c r="J104" s="7">
        <v>0.26</v>
      </c>
      <c r="K104" s="8">
        <f>VLOOKUP($A104,'Temprorary Data'!$A:$G,2,FALSE)</f>
        <v>0.2273</v>
      </c>
      <c r="L104" s="8">
        <f>VLOOKUP($A104,'Temprorary Data'!$A:$G,3,FALSE)</f>
        <v>0.33</v>
      </c>
      <c r="M104" s="8">
        <f>VLOOKUP($A104,'Temprorary Data'!$A:$G,4,FALSE)</f>
        <v>0.32840000000000003</v>
      </c>
      <c r="N104" s="9">
        <f>VLOOKUP($A104,'Temprorary Data'!$A:$G,5,FALSE)</f>
        <v>12</v>
      </c>
      <c r="O104" s="9">
        <f>VLOOKUP($A104,'Temprorary Data'!$A:$G,6,FALSE)</f>
        <v>34</v>
      </c>
      <c r="P104" s="9">
        <f>VLOOKUP($A104,'Temprorary Data'!$A:$G,7,FALSE)</f>
        <v>46</v>
      </c>
      <c r="Q104" t="b">
        <f t="shared" si="9"/>
        <v>1</v>
      </c>
      <c r="R104" t="str">
        <f t="shared" si="10"/>
        <v>January</v>
      </c>
      <c r="S104" t="str">
        <f t="shared" si="11"/>
        <v>Wednesday</v>
      </c>
      <c r="T104" t="str">
        <f t="shared" si="12"/>
        <v>Weekday</v>
      </c>
      <c r="U104" t="str">
        <f t="shared" si="13"/>
        <v>Spring</v>
      </c>
      <c r="V104" t="str">
        <f t="shared" si="14"/>
        <v>Clear</v>
      </c>
      <c r="W104" t="str">
        <f t="shared" si="15"/>
        <v>Off Peak</v>
      </c>
      <c r="X104" t="str">
        <f t="shared" si="16"/>
        <v>Low</v>
      </c>
      <c r="Y104" t="str">
        <f t="shared" si="17"/>
        <v>Low</v>
      </c>
    </row>
    <row r="105" spans="1:25" ht="15.75" thickBot="1">
      <c r="A105" s="1">
        <v>104</v>
      </c>
      <c r="B105" s="2">
        <v>40548</v>
      </c>
      <c r="C105" s="1">
        <v>1</v>
      </c>
      <c r="D105" s="1">
        <v>0</v>
      </c>
      <c r="E105" s="1">
        <v>1</v>
      </c>
      <c r="F105" s="1">
        <v>12</v>
      </c>
      <c r="G105" s="3" t="b">
        <v>0</v>
      </c>
      <c r="H105" s="1">
        <v>3</v>
      </c>
      <c r="I105" s="1">
        <v>1</v>
      </c>
      <c r="J105" s="7">
        <v>0.26</v>
      </c>
      <c r="K105" s="8">
        <f>VLOOKUP($A105,'Temprorary Data'!$A:$G,2,FALSE)</f>
        <v>0.2273</v>
      </c>
      <c r="L105" s="8">
        <f>VLOOKUP($A105,'Temprorary Data'!$A:$G,3,FALSE)</f>
        <v>0.33</v>
      </c>
      <c r="M105" s="8">
        <f>VLOOKUP($A105,'Temprorary Data'!$A:$G,4,FALSE)</f>
        <v>0.32840000000000003</v>
      </c>
      <c r="N105" s="9">
        <f>VLOOKUP($A105,'Temprorary Data'!$A:$G,5,FALSE)</f>
        <v>5</v>
      </c>
      <c r="O105" s="9">
        <f>VLOOKUP($A105,'Temprorary Data'!$A:$G,6,FALSE)</f>
        <v>74</v>
      </c>
      <c r="P105" s="9">
        <f>VLOOKUP($A105,'Temprorary Data'!$A:$G,7,FALSE)</f>
        <v>79</v>
      </c>
      <c r="Q105" t="b">
        <f t="shared" si="9"/>
        <v>1</v>
      </c>
      <c r="R105" t="str">
        <f t="shared" si="10"/>
        <v>January</v>
      </c>
      <c r="S105" t="str">
        <f t="shared" si="11"/>
        <v>Wednesday</v>
      </c>
      <c r="T105" t="str">
        <f t="shared" si="12"/>
        <v>Weekday</v>
      </c>
      <c r="U105" t="str">
        <f t="shared" si="13"/>
        <v>Spring</v>
      </c>
      <c r="V105" t="str">
        <f t="shared" si="14"/>
        <v>Clear</v>
      </c>
      <c r="W105" t="str">
        <f t="shared" si="15"/>
        <v>Off Peak</v>
      </c>
      <c r="X105" t="str">
        <f t="shared" si="16"/>
        <v>Low</v>
      </c>
      <c r="Y105" t="str">
        <f t="shared" si="17"/>
        <v>Low</v>
      </c>
    </row>
    <row r="106" spans="1:25" ht="15.75" thickBot="1">
      <c r="A106" s="1">
        <v>105</v>
      </c>
      <c r="B106" s="2">
        <v>40548</v>
      </c>
      <c r="C106" s="1">
        <v>1</v>
      </c>
      <c r="D106" s="1">
        <v>0</v>
      </c>
      <c r="E106" s="1">
        <v>1</v>
      </c>
      <c r="F106" s="1">
        <v>13</v>
      </c>
      <c r="G106" s="3" t="b">
        <v>0</v>
      </c>
      <c r="H106" s="1">
        <v>3</v>
      </c>
      <c r="I106" s="1">
        <v>1</v>
      </c>
      <c r="J106" s="7">
        <v>0.28000000000000003</v>
      </c>
      <c r="K106" s="8">
        <f>VLOOKUP($A106,'Temprorary Data'!$A:$G,2,FALSE)</f>
        <v>0.2576</v>
      </c>
      <c r="L106" s="8">
        <f>VLOOKUP($A106,'Temprorary Data'!$A:$G,3,FALSE)</f>
        <v>0.3</v>
      </c>
      <c r="M106" s="8">
        <f>VLOOKUP($A106,'Temprorary Data'!$A:$G,4,FALSE)</f>
        <v>0.29849999999999999</v>
      </c>
      <c r="N106" s="9">
        <f>VLOOKUP($A106,'Temprorary Data'!$A:$G,5,FALSE)</f>
        <v>6</v>
      </c>
      <c r="O106" s="9">
        <f>VLOOKUP($A106,'Temprorary Data'!$A:$G,6,FALSE)</f>
        <v>65</v>
      </c>
      <c r="P106" s="9">
        <f>VLOOKUP($A106,'Temprorary Data'!$A:$G,7,FALSE)</f>
        <v>71</v>
      </c>
      <c r="Q106" t="b">
        <f t="shared" si="9"/>
        <v>1</v>
      </c>
      <c r="R106" t="str">
        <f t="shared" si="10"/>
        <v>January</v>
      </c>
      <c r="S106" t="str">
        <f t="shared" si="11"/>
        <v>Wednesday</v>
      </c>
      <c r="T106" t="str">
        <f t="shared" si="12"/>
        <v>Weekday</v>
      </c>
      <c r="U106" t="str">
        <f t="shared" si="13"/>
        <v>Spring</v>
      </c>
      <c r="V106" t="str">
        <f t="shared" si="14"/>
        <v>Clear</v>
      </c>
      <c r="W106" t="str">
        <f t="shared" si="15"/>
        <v>Off Peak</v>
      </c>
      <c r="X106" t="str">
        <f t="shared" si="16"/>
        <v>Low</v>
      </c>
      <c r="Y106" t="str">
        <f t="shared" si="17"/>
        <v>Low</v>
      </c>
    </row>
    <row r="107" spans="1:25" ht="15.75" thickBot="1">
      <c r="A107" s="1">
        <v>106</v>
      </c>
      <c r="B107" s="2">
        <v>40548</v>
      </c>
      <c r="C107" s="1">
        <v>1</v>
      </c>
      <c r="D107" s="1">
        <v>0</v>
      </c>
      <c r="E107" s="1">
        <v>1</v>
      </c>
      <c r="F107" s="1">
        <v>14</v>
      </c>
      <c r="G107" s="3" t="b">
        <v>0</v>
      </c>
      <c r="H107" s="1">
        <v>3</v>
      </c>
      <c r="I107" s="1">
        <v>1</v>
      </c>
      <c r="J107" s="7">
        <v>0.3</v>
      </c>
      <c r="K107" s="8">
        <f>VLOOKUP($A107,'Temprorary Data'!$A:$G,2,FALSE)</f>
        <v>0.28789999999999999</v>
      </c>
      <c r="L107" s="8">
        <f>VLOOKUP($A107,'Temprorary Data'!$A:$G,3,FALSE)</f>
        <v>0.28000000000000003</v>
      </c>
      <c r="M107" s="8">
        <f>VLOOKUP($A107,'Temprorary Data'!$A:$G,4,FALSE)</f>
        <v>0.19400000000000001</v>
      </c>
      <c r="N107" s="9">
        <f>VLOOKUP($A107,'Temprorary Data'!$A:$G,5,FALSE)</f>
        <v>10</v>
      </c>
      <c r="O107" s="9">
        <f>VLOOKUP($A107,'Temprorary Data'!$A:$G,6,FALSE)</f>
        <v>52</v>
      </c>
      <c r="P107" s="9">
        <f>VLOOKUP($A107,'Temprorary Data'!$A:$G,7,FALSE)</f>
        <v>62</v>
      </c>
      <c r="Q107" t="b">
        <f t="shared" si="9"/>
        <v>1</v>
      </c>
      <c r="R107" t="str">
        <f t="shared" si="10"/>
        <v>January</v>
      </c>
      <c r="S107" t="str">
        <f t="shared" si="11"/>
        <v>Wednesday</v>
      </c>
      <c r="T107" t="str">
        <f t="shared" si="12"/>
        <v>Weekday</v>
      </c>
      <c r="U107" t="str">
        <f t="shared" si="13"/>
        <v>Spring</v>
      </c>
      <c r="V107" t="str">
        <f t="shared" si="14"/>
        <v>Clear</v>
      </c>
      <c r="W107" t="str">
        <f t="shared" si="15"/>
        <v>Off Peak</v>
      </c>
      <c r="X107" t="str">
        <f t="shared" si="16"/>
        <v>Medium</v>
      </c>
      <c r="Y107" t="str">
        <f t="shared" si="17"/>
        <v>Low</v>
      </c>
    </row>
    <row r="108" spans="1:25" ht="15.75" thickBot="1">
      <c r="A108" s="1">
        <v>107</v>
      </c>
      <c r="B108" s="2">
        <v>40548</v>
      </c>
      <c r="C108" s="1">
        <v>1</v>
      </c>
      <c r="D108" s="1">
        <v>0</v>
      </c>
      <c r="E108" s="1">
        <v>1</v>
      </c>
      <c r="F108" s="1">
        <v>15</v>
      </c>
      <c r="G108" s="3" t="b">
        <v>0</v>
      </c>
      <c r="H108" s="1">
        <v>3</v>
      </c>
      <c r="I108" s="1">
        <v>1</v>
      </c>
      <c r="J108" s="7">
        <v>0.3</v>
      </c>
      <c r="K108" s="8">
        <f>VLOOKUP($A108,'Temprorary Data'!$A:$G,2,FALSE)</f>
        <v>0.28789999999999999</v>
      </c>
      <c r="L108" s="8">
        <f>VLOOKUP($A108,'Temprorary Data'!$A:$G,3,FALSE)</f>
        <v>0.28000000000000003</v>
      </c>
      <c r="M108" s="8">
        <f>VLOOKUP($A108,'Temprorary Data'!$A:$G,4,FALSE)</f>
        <v>0.19400000000000001</v>
      </c>
      <c r="N108" s="9">
        <f>VLOOKUP($A108,'Temprorary Data'!$A:$G,5,FALSE)</f>
        <v>7</v>
      </c>
      <c r="O108" s="9">
        <f>VLOOKUP($A108,'Temprorary Data'!$A:$G,6,FALSE)</f>
        <v>55</v>
      </c>
      <c r="P108" s="9">
        <f>VLOOKUP($A108,'Temprorary Data'!$A:$G,7,FALSE)</f>
        <v>62</v>
      </c>
      <c r="Q108" t="b">
        <f t="shared" si="9"/>
        <v>1</v>
      </c>
      <c r="R108" t="str">
        <f t="shared" si="10"/>
        <v>January</v>
      </c>
      <c r="S108" t="str">
        <f t="shared" si="11"/>
        <v>Wednesday</v>
      </c>
      <c r="T108" t="str">
        <f t="shared" si="12"/>
        <v>Weekday</v>
      </c>
      <c r="U108" t="str">
        <f t="shared" si="13"/>
        <v>Spring</v>
      </c>
      <c r="V108" t="str">
        <f t="shared" si="14"/>
        <v>Clear</v>
      </c>
      <c r="W108" t="str">
        <f t="shared" si="15"/>
        <v>Off Peak</v>
      </c>
      <c r="X108" t="str">
        <f t="shared" si="16"/>
        <v>Medium</v>
      </c>
      <c r="Y108" t="str">
        <f t="shared" si="17"/>
        <v>Low</v>
      </c>
    </row>
    <row r="109" spans="1:25" ht="15.75" thickBot="1">
      <c r="A109" s="1">
        <v>108</v>
      </c>
      <c r="B109" s="2">
        <v>40548</v>
      </c>
      <c r="C109" s="1">
        <v>1</v>
      </c>
      <c r="D109" s="1">
        <v>0</v>
      </c>
      <c r="E109" s="1">
        <v>1</v>
      </c>
      <c r="F109" s="1">
        <v>16</v>
      </c>
      <c r="G109" s="3" t="b">
        <v>0</v>
      </c>
      <c r="H109" s="1">
        <v>3</v>
      </c>
      <c r="I109" s="1">
        <v>1</v>
      </c>
      <c r="J109" s="7">
        <v>0.3</v>
      </c>
      <c r="K109" s="8">
        <f>VLOOKUP($A109,'Temprorary Data'!$A:$G,2,FALSE)</f>
        <v>0.31819999999999998</v>
      </c>
      <c r="L109" s="8">
        <f>VLOOKUP($A109,'Temprorary Data'!$A:$G,3,FALSE)</f>
        <v>0.28000000000000003</v>
      </c>
      <c r="M109" s="8">
        <f>VLOOKUP($A109,'Temprorary Data'!$A:$G,4,FALSE)</f>
        <v>8.9599999999999999E-2</v>
      </c>
      <c r="N109" s="9">
        <f>VLOOKUP($A109,'Temprorary Data'!$A:$G,5,FALSE)</f>
        <v>4</v>
      </c>
      <c r="O109" s="9">
        <f>VLOOKUP($A109,'Temprorary Data'!$A:$G,6,FALSE)</f>
        <v>85</v>
      </c>
      <c r="P109" s="9">
        <f>VLOOKUP($A109,'Temprorary Data'!$A:$G,7,FALSE)</f>
        <v>89</v>
      </c>
      <c r="Q109" t="b">
        <f t="shared" si="9"/>
        <v>1</v>
      </c>
      <c r="R109" t="str">
        <f t="shared" si="10"/>
        <v>January</v>
      </c>
      <c r="S109" t="str">
        <f t="shared" si="11"/>
        <v>Wednesday</v>
      </c>
      <c r="T109" t="str">
        <f t="shared" si="12"/>
        <v>Weekday</v>
      </c>
      <c r="U109" t="str">
        <f t="shared" si="13"/>
        <v>Spring</v>
      </c>
      <c r="V109" t="str">
        <f t="shared" si="14"/>
        <v>Clear</v>
      </c>
      <c r="W109" t="str">
        <f t="shared" si="15"/>
        <v>Off Peak</v>
      </c>
      <c r="X109" t="str">
        <f t="shared" si="16"/>
        <v>Medium</v>
      </c>
      <c r="Y109" t="str">
        <f t="shared" si="17"/>
        <v>Low</v>
      </c>
    </row>
    <row r="110" spans="1:25" ht="15.75" thickBot="1">
      <c r="A110" s="1">
        <v>109</v>
      </c>
      <c r="B110" s="2">
        <v>40548</v>
      </c>
      <c r="C110" s="1">
        <v>1</v>
      </c>
      <c r="D110" s="1">
        <v>0</v>
      </c>
      <c r="E110" s="1">
        <v>1</v>
      </c>
      <c r="F110" s="1">
        <v>17</v>
      </c>
      <c r="G110" s="3" t="b">
        <v>0</v>
      </c>
      <c r="H110" s="1">
        <v>3</v>
      </c>
      <c r="I110" s="1">
        <v>1</v>
      </c>
      <c r="J110" s="7">
        <v>0.24</v>
      </c>
      <c r="K110" s="8">
        <f>VLOOKUP($A110,'Temprorary Data'!$A:$G,2,FALSE)</f>
        <v>0.2273</v>
      </c>
      <c r="L110" s="8">
        <f>VLOOKUP($A110,'Temprorary Data'!$A:$G,3,FALSE)</f>
        <v>0.38</v>
      </c>
      <c r="M110" s="8">
        <f>VLOOKUP($A110,'Temprorary Data'!$A:$G,4,FALSE)</f>
        <v>0.19400000000000001</v>
      </c>
      <c r="N110" s="9">
        <f>VLOOKUP($A110,'Temprorary Data'!$A:$G,5,FALSE)</f>
        <v>4</v>
      </c>
      <c r="O110" s="9">
        <f>VLOOKUP($A110,'Temprorary Data'!$A:$G,6,FALSE)</f>
        <v>186</v>
      </c>
      <c r="P110" s="9">
        <f>VLOOKUP($A110,'Temprorary Data'!$A:$G,7,FALSE)</f>
        <v>190</v>
      </c>
      <c r="Q110" t="b">
        <f t="shared" si="9"/>
        <v>1</v>
      </c>
      <c r="R110" t="str">
        <f t="shared" si="10"/>
        <v>January</v>
      </c>
      <c r="S110" t="str">
        <f t="shared" si="11"/>
        <v>Wednesday</v>
      </c>
      <c r="T110" t="str">
        <f t="shared" si="12"/>
        <v>Weekday</v>
      </c>
      <c r="U110" t="str">
        <f t="shared" si="13"/>
        <v>Spring</v>
      </c>
      <c r="V110" t="str">
        <f t="shared" si="14"/>
        <v>Clear</v>
      </c>
      <c r="W110" t="str">
        <f t="shared" si="15"/>
        <v>Evening Peak</v>
      </c>
      <c r="X110" t="str">
        <f t="shared" si="16"/>
        <v>Low</v>
      </c>
      <c r="Y110" t="str">
        <f t="shared" si="17"/>
        <v>Low</v>
      </c>
    </row>
    <row r="111" spans="1:25" ht="15.75" thickBot="1">
      <c r="A111" s="1">
        <v>110</v>
      </c>
      <c r="B111" s="2">
        <v>40548</v>
      </c>
      <c r="C111" s="1">
        <v>1</v>
      </c>
      <c r="D111" s="1">
        <v>0</v>
      </c>
      <c r="E111" s="1">
        <v>1</v>
      </c>
      <c r="F111" s="1">
        <v>18</v>
      </c>
      <c r="G111" s="3" t="b">
        <v>0</v>
      </c>
      <c r="H111" s="1">
        <v>3</v>
      </c>
      <c r="I111" s="1">
        <v>1</v>
      </c>
      <c r="J111" s="7">
        <v>0.24</v>
      </c>
      <c r="K111" s="8">
        <f>VLOOKUP($A111,'Temprorary Data'!$A:$G,2,FALSE)</f>
        <v>0.2424</v>
      </c>
      <c r="L111" s="8">
        <f>VLOOKUP($A111,'Temprorary Data'!$A:$G,3,FALSE)</f>
        <v>0.38</v>
      </c>
      <c r="M111" s="8">
        <f>VLOOKUP($A111,'Temprorary Data'!$A:$G,4,FALSE)</f>
        <v>0.1343</v>
      </c>
      <c r="N111" s="9">
        <f>VLOOKUP($A111,'Temprorary Data'!$A:$G,5,FALSE)</f>
        <v>3</v>
      </c>
      <c r="O111" s="9">
        <f>VLOOKUP($A111,'Temprorary Data'!$A:$G,6,FALSE)</f>
        <v>166</v>
      </c>
      <c r="P111" s="9">
        <f>VLOOKUP($A111,'Temprorary Data'!$A:$G,7,FALSE)</f>
        <v>169</v>
      </c>
      <c r="Q111" t="b">
        <f t="shared" si="9"/>
        <v>1</v>
      </c>
      <c r="R111" t="str">
        <f t="shared" si="10"/>
        <v>January</v>
      </c>
      <c r="S111" t="str">
        <f t="shared" si="11"/>
        <v>Wednesday</v>
      </c>
      <c r="T111" t="str">
        <f t="shared" si="12"/>
        <v>Weekday</v>
      </c>
      <c r="U111" t="str">
        <f t="shared" si="13"/>
        <v>Spring</v>
      </c>
      <c r="V111" t="str">
        <f t="shared" si="14"/>
        <v>Clear</v>
      </c>
      <c r="W111" t="str">
        <f t="shared" si="15"/>
        <v>Evening Peak</v>
      </c>
      <c r="X111" t="str">
        <f t="shared" si="16"/>
        <v>Low</v>
      </c>
      <c r="Y111" t="str">
        <f t="shared" si="17"/>
        <v>Low</v>
      </c>
    </row>
    <row r="112" spans="1:25" ht="15.75" thickBot="1">
      <c r="A112" s="1">
        <v>111</v>
      </c>
      <c r="B112" s="2">
        <v>40548</v>
      </c>
      <c r="C112" s="1">
        <v>1</v>
      </c>
      <c r="D112" s="1">
        <v>0</v>
      </c>
      <c r="E112" s="1">
        <v>1</v>
      </c>
      <c r="F112" s="1">
        <v>19</v>
      </c>
      <c r="G112" s="3" t="b">
        <v>0</v>
      </c>
      <c r="H112" s="1">
        <v>3</v>
      </c>
      <c r="I112" s="1">
        <v>1</v>
      </c>
      <c r="J112" s="7">
        <v>0.24</v>
      </c>
      <c r="K112" s="8">
        <f>VLOOKUP($A112,'Temprorary Data'!$A:$G,2,FALSE)</f>
        <v>0.2576</v>
      </c>
      <c r="L112" s="8">
        <f>VLOOKUP($A112,'Temprorary Data'!$A:$G,3,FALSE)</f>
        <v>0.38</v>
      </c>
      <c r="M112" s="8">
        <f>VLOOKUP($A112,'Temprorary Data'!$A:$G,4,FALSE)</f>
        <v>0.1045</v>
      </c>
      <c r="N112" s="9">
        <f>VLOOKUP($A112,'Temprorary Data'!$A:$G,5,FALSE)</f>
        <v>5</v>
      </c>
      <c r="O112" s="9">
        <f>VLOOKUP($A112,'Temprorary Data'!$A:$G,6,FALSE)</f>
        <v>127</v>
      </c>
      <c r="P112" s="9">
        <f>VLOOKUP($A112,'Temprorary Data'!$A:$G,7,FALSE)</f>
        <v>132</v>
      </c>
      <c r="Q112" t="b">
        <f t="shared" si="9"/>
        <v>1</v>
      </c>
      <c r="R112" t="str">
        <f t="shared" si="10"/>
        <v>January</v>
      </c>
      <c r="S112" t="str">
        <f t="shared" si="11"/>
        <v>Wednesday</v>
      </c>
      <c r="T112" t="str">
        <f t="shared" si="12"/>
        <v>Weekday</v>
      </c>
      <c r="U112" t="str">
        <f t="shared" si="13"/>
        <v>Spring</v>
      </c>
      <c r="V112" t="str">
        <f t="shared" si="14"/>
        <v>Clear</v>
      </c>
      <c r="W112" t="str">
        <f t="shared" si="15"/>
        <v>Evening Peak</v>
      </c>
      <c r="X112" t="str">
        <f t="shared" si="16"/>
        <v>Low</v>
      </c>
      <c r="Y112" t="str">
        <f t="shared" si="17"/>
        <v>Low</v>
      </c>
    </row>
    <row r="113" spans="1:25" ht="15.75" thickBot="1">
      <c r="A113" s="1">
        <v>112</v>
      </c>
      <c r="B113" s="2">
        <v>40548</v>
      </c>
      <c r="C113" s="1">
        <v>1</v>
      </c>
      <c r="D113" s="1">
        <v>0</v>
      </c>
      <c r="E113" s="1">
        <v>1</v>
      </c>
      <c r="F113" s="1">
        <v>20</v>
      </c>
      <c r="G113" s="3" t="b">
        <v>0</v>
      </c>
      <c r="H113" s="1">
        <v>3</v>
      </c>
      <c r="I113" s="1">
        <v>1</v>
      </c>
      <c r="J113" s="7">
        <v>0.22</v>
      </c>
      <c r="K113" s="8">
        <f>VLOOKUP($A113,'Temprorary Data'!$A:$G,2,FALSE)</f>
        <v>0.2273</v>
      </c>
      <c r="L113" s="8">
        <f>VLOOKUP($A113,'Temprorary Data'!$A:$G,3,FALSE)</f>
        <v>0.47</v>
      </c>
      <c r="M113" s="8">
        <f>VLOOKUP($A113,'Temprorary Data'!$A:$G,4,FALSE)</f>
        <v>0.16420000000000001</v>
      </c>
      <c r="N113" s="9">
        <f>VLOOKUP($A113,'Temprorary Data'!$A:$G,5,FALSE)</f>
        <v>7</v>
      </c>
      <c r="O113" s="9">
        <f>VLOOKUP($A113,'Temprorary Data'!$A:$G,6,FALSE)</f>
        <v>82</v>
      </c>
      <c r="P113" s="9">
        <f>VLOOKUP($A113,'Temprorary Data'!$A:$G,7,FALSE)</f>
        <v>89</v>
      </c>
      <c r="Q113" t="b">
        <f t="shared" si="9"/>
        <v>1</v>
      </c>
      <c r="R113" t="str">
        <f t="shared" si="10"/>
        <v>January</v>
      </c>
      <c r="S113" t="str">
        <f t="shared" si="11"/>
        <v>Wednesday</v>
      </c>
      <c r="T113" t="str">
        <f t="shared" si="12"/>
        <v>Weekday</v>
      </c>
      <c r="U113" t="str">
        <f t="shared" si="13"/>
        <v>Spring</v>
      </c>
      <c r="V113" t="str">
        <f t="shared" si="14"/>
        <v>Clear</v>
      </c>
      <c r="W113" t="str">
        <f t="shared" si="15"/>
        <v>Evening Peak</v>
      </c>
      <c r="X113" t="str">
        <f t="shared" si="16"/>
        <v>Low</v>
      </c>
      <c r="Y113" t="str">
        <f t="shared" si="17"/>
        <v>Medium</v>
      </c>
    </row>
    <row r="114" spans="1:25" ht="15.75" thickBot="1">
      <c r="A114" s="1">
        <v>113</v>
      </c>
      <c r="B114" s="2">
        <v>40548</v>
      </c>
      <c r="C114" s="1">
        <v>1</v>
      </c>
      <c r="D114" s="1">
        <v>0</v>
      </c>
      <c r="E114" s="1">
        <v>1</v>
      </c>
      <c r="F114" s="1">
        <v>21</v>
      </c>
      <c r="G114" s="3" t="b">
        <v>0</v>
      </c>
      <c r="H114" s="1">
        <v>3</v>
      </c>
      <c r="I114" s="1">
        <v>1</v>
      </c>
      <c r="J114" s="7">
        <v>0.2</v>
      </c>
      <c r="K114" s="8">
        <f>VLOOKUP($A114,'Temprorary Data'!$A:$G,2,FALSE)</f>
        <v>0.19700000000000001</v>
      </c>
      <c r="L114" s="8">
        <f>VLOOKUP($A114,'Temprorary Data'!$A:$G,3,FALSE)</f>
        <v>0.51</v>
      </c>
      <c r="M114" s="8">
        <f>VLOOKUP($A114,'Temprorary Data'!$A:$G,4,FALSE)</f>
        <v>0.19400000000000001</v>
      </c>
      <c r="N114" s="9">
        <f>VLOOKUP($A114,'Temprorary Data'!$A:$G,5,FALSE)</f>
        <v>3</v>
      </c>
      <c r="O114" s="9">
        <f>VLOOKUP($A114,'Temprorary Data'!$A:$G,6,FALSE)</f>
        <v>40</v>
      </c>
      <c r="P114" s="9">
        <f>VLOOKUP($A114,'Temprorary Data'!$A:$G,7,FALSE)</f>
        <v>43</v>
      </c>
      <c r="Q114" t="b">
        <f t="shared" si="9"/>
        <v>1</v>
      </c>
      <c r="R114" t="str">
        <f t="shared" si="10"/>
        <v>January</v>
      </c>
      <c r="S114" t="str">
        <f t="shared" si="11"/>
        <v>Wednesday</v>
      </c>
      <c r="T114" t="str">
        <f t="shared" si="12"/>
        <v>Weekday</v>
      </c>
      <c r="U114" t="str">
        <f t="shared" si="13"/>
        <v>Spring</v>
      </c>
      <c r="V114" t="str">
        <f t="shared" si="14"/>
        <v>Clear</v>
      </c>
      <c r="W114" t="str">
        <f t="shared" si="15"/>
        <v>Off Peak</v>
      </c>
      <c r="X114" t="str">
        <f t="shared" si="16"/>
        <v>Low</v>
      </c>
      <c r="Y114" t="str">
        <f t="shared" si="17"/>
        <v>Medium</v>
      </c>
    </row>
    <row r="115" spans="1:25" ht="15.75" thickBot="1">
      <c r="A115" s="1">
        <v>114</v>
      </c>
      <c r="B115" s="2">
        <v>40548</v>
      </c>
      <c r="C115" s="1">
        <v>1</v>
      </c>
      <c r="D115" s="1">
        <v>0</v>
      </c>
      <c r="E115" s="1">
        <v>1</v>
      </c>
      <c r="F115" s="1">
        <v>22</v>
      </c>
      <c r="G115" s="3" t="b">
        <v>0</v>
      </c>
      <c r="H115" s="1">
        <v>3</v>
      </c>
      <c r="I115" s="1">
        <v>1</v>
      </c>
      <c r="J115" s="7">
        <v>0.18</v>
      </c>
      <c r="K115" s="8">
        <f>VLOOKUP($A115,'Temprorary Data'!$A:$G,2,FALSE)</f>
        <v>0.19700000000000001</v>
      </c>
      <c r="L115" s="8">
        <f>VLOOKUP($A115,'Temprorary Data'!$A:$G,3,FALSE)</f>
        <v>0.55000000000000004</v>
      </c>
      <c r="M115" s="8">
        <f>VLOOKUP($A115,'Temprorary Data'!$A:$G,4,FALSE)</f>
        <v>0.1343</v>
      </c>
      <c r="N115" s="9">
        <f>VLOOKUP($A115,'Temprorary Data'!$A:$G,5,FALSE)</f>
        <v>1</v>
      </c>
      <c r="O115" s="9">
        <f>VLOOKUP($A115,'Temprorary Data'!$A:$G,6,FALSE)</f>
        <v>41</v>
      </c>
      <c r="P115" s="9">
        <f>VLOOKUP($A115,'Temprorary Data'!$A:$G,7,FALSE)</f>
        <v>42</v>
      </c>
      <c r="Q115" t="b">
        <f t="shared" si="9"/>
        <v>1</v>
      </c>
      <c r="R115" t="str">
        <f t="shared" si="10"/>
        <v>January</v>
      </c>
      <c r="S115" t="str">
        <f t="shared" si="11"/>
        <v>Wednesday</v>
      </c>
      <c r="T115" t="str">
        <f t="shared" si="12"/>
        <v>Weekday</v>
      </c>
      <c r="U115" t="str">
        <f t="shared" si="13"/>
        <v>Spring</v>
      </c>
      <c r="V115" t="str">
        <f t="shared" si="14"/>
        <v>Clear</v>
      </c>
      <c r="W115" t="str">
        <f t="shared" si="15"/>
        <v>Off Peak</v>
      </c>
      <c r="X115" t="str">
        <f t="shared" si="16"/>
        <v>Low</v>
      </c>
      <c r="Y115" t="str">
        <f t="shared" si="17"/>
        <v>Medium</v>
      </c>
    </row>
    <row r="116" spans="1:25" ht="15.75" thickBot="1">
      <c r="A116" s="1">
        <v>115</v>
      </c>
      <c r="B116" s="2">
        <v>40548</v>
      </c>
      <c r="C116" s="1">
        <v>1</v>
      </c>
      <c r="D116" s="1">
        <v>0</v>
      </c>
      <c r="E116" s="1">
        <v>1</v>
      </c>
      <c r="F116" s="1">
        <v>23</v>
      </c>
      <c r="G116" s="3" t="b">
        <v>0</v>
      </c>
      <c r="H116" s="1">
        <v>3</v>
      </c>
      <c r="I116" s="1">
        <v>1</v>
      </c>
      <c r="J116" s="7">
        <v>0.2</v>
      </c>
      <c r="K116" s="8">
        <f>VLOOKUP($A116,'Temprorary Data'!$A:$G,2,FALSE)</f>
        <v>0.2576</v>
      </c>
      <c r="L116" s="8">
        <f>VLOOKUP($A116,'Temprorary Data'!$A:$G,3,FALSE)</f>
        <v>0.47</v>
      </c>
      <c r="M116" s="8">
        <f>VLOOKUP($A116,'Temprorary Data'!$A:$G,4,FALSE)</f>
        <v>0</v>
      </c>
      <c r="N116" s="9">
        <f>VLOOKUP($A116,'Temprorary Data'!$A:$G,5,FALSE)</f>
        <v>1</v>
      </c>
      <c r="O116" s="9">
        <f>VLOOKUP($A116,'Temprorary Data'!$A:$G,6,FALSE)</f>
        <v>18</v>
      </c>
      <c r="P116" s="9">
        <f>VLOOKUP($A116,'Temprorary Data'!$A:$G,7,FALSE)</f>
        <v>19</v>
      </c>
      <c r="Q116" t="b">
        <f t="shared" si="9"/>
        <v>1</v>
      </c>
      <c r="R116" t="str">
        <f t="shared" si="10"/>
        <v>January</v>
      </c>
      <c r="S116" t="str">
        <f t="shared" si="11"/>
        <v>Wednesday</v>
      </c>
      <c r="T116" t="str">
        <f t="shared" si="12"/>
        <v>Weekday</v>
      </c>
      <c r="U116" t="str">
        <f t="shared" si="13"/>
        <v>Spring</v>
      </c>
      <c r="V116" t="str">
        <f t="shared" si="14"/>
        <v>Clear</v>
      </c>
      <c r="W116" t="str">
        <f t="shared" si="15"/>
        <v>Off Peak</v>
      </c>
      <c r="X116" t="str">
        <f t="shared" si="16"/>
        <v>Low</v>
      </c>
      <c r="Y116" t="str">
        <f t="shared" si="17"/>
        <v>Medium</v>
      </c>
    </row>
    <row r="117" spans="1:25" ht="15.75" thickBot="1">
      <c r="A117" s="1">
        <v>116</v>
      </c>
      <c r="B117" s="2">
        <v>40549</v>
      </c>
      <c r="C117" s="1">
        <v>1</v>
      </c>
      <c r="D117" s="1">
        <v>0</v>
      </c>
      <c r="E117" s="1">
        <v>1</v>
      </c>
      <c r="F117" s="1">
        <v>0</v>
      </c>
      <c r="G117" s="3" t="b">
        <v>0</v>
      </c>
      <c r="H117" s="1">
        <v>4</v>
      </c>
      <c r="I117" s="1">
        <v>1</v>
      </c>
      <c r="J117" s="7">
        <v>0.18</v>
      </c>
      <c r="K117" s="8">
        <f>VLOOKUP($A117,'Temprorary Data'!$A:$G,2,FALSE)</f>
        <v>0.2424</v>
      </c>
      <c r="L117" s="8">
        <f>VLOOKUP($A117,'Temprorary Data'!$A:$G,3,FALSE)</f>
        <v>0.55000000000000004</v>
      </c>
      <c r="M117" s="8">
        <f>VLOOKUP($A117,'Temprorary Data'!$A:$G,4,FALSE)</f>
        <v>0</v>
      </c>
      <c r="N117" s="9">
        <f>VLOOKUP($A117,'Temprorary Data'!$A:$G,5,FALSE)</f>
        <v>0</v>
      </c>
      <c r="O117" s="9">
        <f>VLOOKUP($A117,'Temprorary Data'!$A:$G,6,FALSE)</f>
        <v>11</v>
      </c>
      <c r="P117" s="9">
        <f>VLOOKUP($A117,'Temprorary Data'!$A:$G,7,FALSE)</f>
        <v>11</v>
      </c>
      <c r="Q117" t="b">
        <f t="shared" si="9"/>
        <v>1</v>
      </c>
      <c r="R117" t="str">
        <f t="shared" si="10"/>
        <v>January</v>
      </c>
      <c r="S117" t="str">
        <f t="shared" si="11"/>
        <v>Thursday</v>
      </c>
      <c r="T117" t="str">
        <f t="shared" si="12"/>
        <v>Weekday</v>
      </c>
      <c r="U117" t="str">
        <f t="shared" si="13"/>
        <v>Spring</v>
      </c>
      <c r="V117" t="str">
        <f t="shared" si="14"/>
        <v>Clear</v>
      </c>
      <c r="W117" t="str">
        <f t="shared" si="15"/>
        <v>Off Peak</v>
      </c>
      <c r="X117" t="str">
        <f t="shared" si="16"/>
        <v>Low</v>
      </c>
      <c r="Y117" t="str">
        <f t="shared" si="17"/>
        <v>Medium</v>
      </c>
    </row>
    <row r="118" spans="1:25" ht="15.75" thickBot="1">
      <c r="A118" s="1">
        <v>117</v>
      </c>
      <c r="B118" s="2">
        <v>40549</v>
      </c>
      <c r="C118" s="1">
        <v>1</v>
      </c>
      <c r="D118" s="1">
        <v>0</v>
      </c>
      <c r="E118" s="1">
        <v>1</v>
      </c>
      <c r="F118" s="1">
        <v>1</v>
      </c>
      <c r="G118" s="3" t="b">
        <v>0</v>
      </c>
      <c r="H118" s="1">
        <v>4</v>
      </c>
      <c r="I118" s="1">
        <v>1</v>
      </c>
      <c r="J118" s="7">
        <v>0.16</v>
      </c>
      <c r="K118" s="8">
        <f>VLOOKUP($A118,'Temprorary Data'!$A:$G,2,FALSE)</f>
        <v>0.2273</v>
      </c>
      <c r="L118" s="8">
        <f>VLOOKUP($A118,'Temprorary Data'!$A:$G,3,FALSE)</f>
        <v>0.64</v>
      </c>
      <c r="M118" s="8">
        <f>VLOOKUP($A118,'Temprorary Data'!$A:$G,4,FALSE)</f>
        <v>0</v>
      </c>
      <c r="N118" s="9">
        <f>VLOOKUP($A118,'Temprorary Data'!$A:$G,5,FALSE)</f>
        <v>0</v>
      </c>
      <c r="O118" s="9">
        <f>VLOOKUP($A118,'Temprorary Data'!$A:$G,6,FALSE)</f>
        <v>4</v>
      </c>
      <c r="P118" s="9">
        <f>VLOOKUP($A118,'Temprorary Data'!$A:$G,7,FALSE)</f>
        <v>4</v>
      </c>
      <c r="Q118" t="b">
        <f t="shared" si="9"/>
        <v>1</v>
      </c>
      <c r="R118" t="str">
        <f t="shared" si="10"/>
        <v>January</v>
      </c>
      <c r="S118" t="str">
        <f t="shared" si="11"/>
        <v>Thursday</v>
      </c>
      <c r="T118" t="str">
        <f t="shared" si="12"/>
        <v>Weekday</v>
      </c>
      <c r="U118" t="str">
        <f t="shared" si="13"/>
        <v>Spring</v>
      </c>
      <c r="V118" t="str">
        <f t="shared" si="14"/>
        <v>Clear</v>
      </c>
      <c r="W118" t="str">
        <f t="shared" si="15"/>
        <v>Off Peak</v>
      </c>
      <c r="X118" t="str">
        <f t="shared" si="16"/>
        <v>Low</v>
      </c>
      <c r="Y118" t="str">
        <f t="shared" si="17"/>
        <v>Medium</v>
      </c>
    </row>
    <row r="119" spans="1:25" ht="15.75" thickBot="1">
      <c r="A119" s="1">
        <v>118</v>
      </c>
      <c r="B119" s="2">
        <v>40549</v>
      </c>
      <c r="C119" s="1">
        <v>1</v>
      </c>
      <c r="D119" s="1">
        <v>0</v>
      </c>
      <c r="E119" s="1">
        <v>1</v>
      </c>
      <c r="F119" s="1">
        <v>2</v>
      </c>
      <c r="G119" s="3" t="b">
        <v>0</v>
      </c>
      <c r="H119" s="1">
        <v>4</v>
      </c>
      <c r="I119" s="1">
        <v>1</v>
      </c>
      <c r="J119" s="7">
        <v>0.16</v>
      </c>
      <c r="K119" s="8">
        <f>VLOOKUP($A119,'Temprorary Data'!$A:$G,2,FALSE)</f>
        <v>0.2273</v>
      </c>
      <c r="L119" s="8">
        <f>VLOOKUP($A119,'Temprorary Data'!$A:$G,3,FALSE)</f>
        <v>0.64</v>
      </c>
      <c r="M119" s="8">
        <f>VLOOKUP($A119,'Temprorary Data'!$A:$G,4,FALSE)</f>
        <v>0</v>
      </c>
      <c r="N119" s="9">
        <f>VLOOKUP($A119,'Temprorary Data'!$A:$G,5,FALSE)</f>
        <v>0</v>
      </c>
      <c r="O119" s="9">
        <f>VLOOKUP($A119,'Temprorary Data'!$A:$G,6,FALSE)</f>
        <v>2</v>
      </c>
      <c r="P119" s="9">
        <f>VLOOKUP($A119,'Temprorary Data'!$A:$G,7,FALSE)</f>
        <v>2</v>
      </c>
      <c r="Q119" t="b">
        <f t="shared" si="9"/>
        <v>1</v>
      </c>
      <c r="R119" t="str">
        <f t="shared" si="10"/>
        <v>January</v>
      </c>
      <c r="S119" t="str">
        <f t="shared" si="11"/>
        <v>Thursday</v>
      </c>
      <c r="T119" t="str">
        <f t="shared" si="12"/>
        <v>Weekday</v>
      </c>
      <c r="U119" t="str">
        <f t="shared" si="13"/>
        <v>Spring</v>
      </c>
      <c r="V119" t="str">
        <f t="shared" si="14"/>
        <v>Clear</v>
      </c>
      <c r="W119" t="str">
        <f t="shared" si="15"/>
        <v>Off Peak</v>
      </c>
      <c r="X119" t="str">
        <f t="shared" si="16"/>
        <v>Low</v>
      </c>
      <c r="Y119" t="str">
        <f t="shared" si="17"/>
        <v>Medium</v>
      </c>
    </row>
    <row r="120" spans="1:25" ht="15.75" thickBot="1">
      <c r="A120" s="1">
        <v>119</v>
      </c>
      <c r="B120" s="2">
        <v>40549</v>
      </c>
      <c r="C120" s="1">
        <v>1</v>
      </c>
      <c r="D120" s="1">
        <v>0</v>
      </c>
      <c r="E120" s="1">
        <v>1</v>
      </c>
      <c r="F120" s="1">
        <v>4</v>
      </c>
      <c r="G120" s="3" t="b">
        <v>0</v>
      </c>
      <c r="H120" s="1">
        <v>4</v>
      </c>
      <c r="I120" s="1">
        <v>2</v>
      </c>
      <c r="J120" s="7">
        <v>0.16</v>
      </c>
      <c r="K120" s="8">
        <f>VLOOKUP($A120,'Temprorary Data'!$A:$G,2,FALSE)</f>
        <v>0.19700000000000001</v>
      </c>
      <c r="L120" s="8">
        <f>VLOOKUP($A120,'Temprorary Data'!$A:$G,3,FALSE)</f>
        <v>0.64</v>
      </c>
      <c r="M120" s="8">
        <f>VLOOKUP($A120,'Temprorary Data'!$A:$G,4,FALSE)</f>
        <v>8.9599999999999999E-2</v>
      </c>
      <c r="N120" s="9">
        <f>VLOOKUP($A120,'Temprorary Data'!$A:$G,5,FALSE)</f>
        <v>0</v>
      </c>
      <c r="O120" s="9">
        <f>VLOOKUP($A120,'Temprorary Data'!$A:$G,6,FALSE)</f>
        <v>1</v>
      </c>
      <c r="P120" s="9">
        <f>VLOOKUP($A120,'Temprorary Data'!$A:$G,7,FALSE)</f>
        <v>1</v>
      </c>
      <c r="Q120" t="b">
        <f t="shared" si="9"/>
        <v>1</v>
      </c>
      <c r="R120" t="str">
        <f t="shared" si="10"/>
        <v>January</v>
      </c>
      <c r="S120" t="str">
        <f t="shared" si="11"/>
        <v>Thursday</v>
      </c>
      <c r="T120" t="str">
        <f t="shared" si="12"/>
        <v>Weekday</v>
      </c>
      <c r="U120" t="str">
        <f t="shared" si="13"/>
        <v>Spring</v>
      </c>
      <c r="V120" t="str">
        <f t="shared" si="14"/>
        <v>Mist</v>
      </c>
      <c r="W120" t="str">
        <f t="shared" si="15"/>
        <v>Off Peak</v>
      </c>
      <c r="X120" t="str">
        <f t="shared" si="16"/>
        <v>Low</v>
      </c>
      <c r="Y120" t="str">
        <f t="shared" si="17"/>
        <v>Medium</v>
      </c>
    </row>
    <row r="121" spans="1:25" ht="15.75" thickBot="1">
      <c r="A121" s="1">
        <v>120</v>
      </c>
      <c r="B121" s="2">
        <v>40549</v>
      </c>
      <c r="C121" s="1">
        <v>1</v>
      </c>
      <c r="D121" s="1">
        <v>0</v>
      </c>
      <c r="E121" s="1">
        <v>1</v>
      </c>
      <c r="F121" s="1">
        <v>5</v>
      </c>
      <c r="G121" s="3" t="b">
        <v>0</v>
      </c>
      <c r="H121" s="1">
        <v>4</v>
      </c>
      <c r="I121" s="1">
        <v>2</v>
      </c>
      <c r="J121" s="7">
        <v>0.14000000000000001</v>
      </c>
      <c r="K121" s="8">
        <f>VLOOKUP($A121,'Temprorary Data'!$A:$G,2,FALSE)</f>
        <v>0.18179999999999999</v>
      </c>
      <c r="L121" s="8">
        <f>VLOOKUP($A121,'Temprorary Data'!$A:$G,3,FALSE)</f>
        <v>0.69</v>
      </c>
      <c r="M121" s="8">
        <f>VLOOKUP($A121,'Temprorary Data'!$A:$G,4,FALSE)</f>
        <v>8.9599999999999999E-2</v>
      </c>
      <c r="N121" s="9">
        <f>VLOOKUP($A121,'Temprorary Data'!$A:$G,5,FALSE)</f>
        <v>0</v>
      </c>
      <c r="O121" s="9">
        <f>VLOOKUP($A121,'Temprorary Data'!$A:$G,6,FALSE)</f>
        <v>4</v>
      </c>
      <c r="P121" s="9">
        <f>VLOOKUP($A121,'Temprorary Data'!$A:$G,7,FALSE)</f>
        <v>4</v>
      </c>
      <c r="Q121" t="b">
        <f t="shared" si="9"/>
        <v>1</v>
      </c>
      <c r="R121" t="str">
        <f t="shared" si="10"/>
        <v>January</v>
      </c>
      <c r="S121" t="str">
        <f t="shared" si="11"/>
        <v>Thursday</v>
      </c>
      <c r="T121" t="str">
        <f t="shared" si="12"/>
        <v>Weekday</v>
      </c>
      <c r="U121" t="str">
        <f t="shared" si="13"/>
        <v>Spring</v>
      </c>
      <c r="V121" t="str">
        <f t="shared" si="14"/>
        <v>Mist</v>
      </c>
      <c r="W121" t="str">
        <f t="shared" si="15"/>
        <v>Off Peak</v>
      </c>
      <c r="X121" t="str">
        <f t="shared" si="16"/>
        <v>Low</v>
      </c>
      <c r="Y121" t="str">
        <f t="shared" si="17"/>
        <v>Medium</v>
      </c>
    </row>
    <row r="122" spans="1:25" ht="15.75" thickBot="1">
      <c r="A122" s="1">
        <v>121</v>
      </c>
      <c r="B122" s="2">
        <v>40549</v>
      </c>
      <c r="C122" s="1">
        <v>1</v>
      </c>
      <c r="D122" s="1">
        <v>0</v>
      </c>
      <c r="E122" s="1">
        <v>1</v>
      </c>
      <c r="F122" s="1">
        <v>6</v>
      </c>
      <c r="G122" s="3" t="b">
        <v>0</v>
      </c>
      <c r="H122" s="1">
        <v>4</v>
      </c>
      <c r="I122" s="1">
        <v>2</v>
      </c>
      <c r="J122" s="7">
        <v>0.14000000000000001</v>
      </c>
      <c r="K122" s="8">
        <f>VLOOKUP($A122,'Temprorary Data'!$A:$G,2,FALSE)</f>
        <v>0.16669999999999999</v>
      </c>
      <c r="L122" s="8">
        <f>VLOOKUP($A122,'Temprorary Data'!$A:$G,3,FALSE)</f>
        <v>0.63</v>
      </c>
      <c r="M122" s="8">
        <f>VLOOKUP($A122,'Temprorary Data'!$A:$G,4,FALSE)</f>
        <v>0.1045</v>
      </c>
      <c r="N122" s="9">
        <f>VLOOKUP($A122,'Temprorary Data'!$A:$G,5,FALSE)</f>
        <v>0</v>
      </c>
      <c r="O122" s="9">
        <f>VLOOKUP($A122,'Temprorary Data'!$A:$G,6,FALSE)</f>
        <v>36</v>
      </c>
      <c r="P122" s="9">
        <f>VLOOKUP($A122,'Temprorary Data'!$A:$G,7,FALSE)</f>
        <v>36</v>
      </c>
      <c r="Q122" t="b">
        <f t="shared" si="9"/>
        <v>1</v>
      </c>
      <c r="R122" t="str">
        <f t="shared" si="10"/>
        <v>January</v>
      </c>
      <c r="S122" t="str">
        <f t="shared" si="11"/>
        <v>Thursday</v>
      </c>
      <c r="T122" t="str">
        <f t="shared" si="12"/>
        <v>Weekday</v>
      </c>
      <c r="U122" t="str">
        <f t="shared" si="13"/>
        <v>Spring</v>
      </c>
      <c r="V122" t="str">
        <f t="shared" si="14"/>
        <v>Mist</v>
      </c>
      <c r="W122" t="str">
        <f t="shared" si="15"/>
        <v>Off Peak</v>
      </c>
      <c r="X122" t="str">
        <f t="shared" si="16"/>
        <v>Low</v>
      </c>
      <c r="Y122" t="str">
        <f t="shared" si="17"/>
        <v>Medium</v>
      </c>
    </row>
    <row r="123" spans="1:25" ht="15.75" thickBot="1">
      <c r="A123" s="1">
        <v>122</v>
      </c>
      <c r="B123" s="2">
        <v>40549</v>
      </c>
      <c r="C123" s="1">
        <v>1</v>
      </c>
      <c r="D123" s="1">
        <v>0</v>
      </c>
      <c r="E123" s="1">
        <v>1</v>
      </c>
      <c r="F123" s="1">
        <v>7</v>
      </c>
      <c r="G123" s="3" t="b">
        <v>0</v>
      </c>
      <c r="H123" s="1">
        <v>4</v>
      </c>
      <c r="I123" s="1">
        <v>2</v>
      </c>
      <c r="J123" s="7">
        <v>0.16</v>
      </c>
      <c r="K123" s="8">
        <f>VLOOKUP($A123,'Temprorary Data'!$A:$G,2,FALSE)</f>
        <v>0.2273</v>
      </c>
      <c r="L123" s="8">
        <f>VLOOKUP($A123,'Temprorary Data'!$A:$G,3,FALSE)</f>
        <v>0.59</v>
      </c>
      <c r="M123" s="8">
        <f>VLOOKUP($A123,'Temprorary Data'!$A:$G,4,FALSE)</f>
        <v>0</v>
      </c>
      <c r="N123" s="9">
        <f>VLOOKUP($A123,'Temprorary Data'!$A:$G,5,FALSE)</f>
        <v>0</v>
      </c>
      <c r="O123" s="9">
        <f>VLOOKUP($A123,'Temprorary Data'!$A:$G,6,FALSE)</f>
        <v>95</v>
      </c>
      <c r="P123" s="9">
        <f>VLOOKUP($A123,'Temprorary Data'!$A:$G,7,FALSE)</f>
        <v>95</v>
      </c>
      <c r="Q123" t="b">
        <f t="shared" si="9"/>
        <v>1</v>
      </c>
      <c r="R123" t="str">
        <f t="shared" si="10"/>
        <v>January</v>
      </c>
      <c r="S123" t="str">
        <f t="shared" si="11"/>
        <v>Thursday</v>
      </c>
      <c r="T123" t="str">
        <f t="shared" si="12"/>
        <v>Weekday</v>
      </c>
      <c r="U123" t="str">
        <f t="shared" si="13"/>
        <v>Spring</v>
      </c>
      <c r="V123" t="str">
        <f t="shared" si="14"/>
        <v>Mist</v>
      </c>
      <c r="W123" t="str">
        <f t="shared" si="15"/>
        <v>Morning Peak</v>
      </c>
      <c r="X123" t="str">
        <f t="shared" si="16"/>
        <v>Low</v>
      </c>
      <c r="Y123" t="str">
        <f t="shared" si="17"/>
        <v>Medium</v>
      </c>
    </row>
    <row r="124" spans="1:25" ht="15.75" thickBot="1">
      <c r="A124" s="1">
        <v>123</v>
      </c>
      <c r="B124" s="2">
        <v>40549</v>
      </c>
      <c r="C124" s="1">
        <v>1</v>
      </c>
      <c r="D124" s="1">
        <v>0</v>
      </c>
      <c r="E124" s="1">
        <v>1</v>
      </c>
      <c r="F124" s="1">
        <v>8</v>
      </c>
      <c r="G124" s="3" t="b">
        <v>0</v>
      </c>
      <c r="H124" s="1">
        <v>4</v>
      </c>
      <c r="I124" s="1">
        <v>1</v>
      </c>
      <c r="J124" s="7">
        <v>0.16</v>
      </c>
      <c r="K124" s="8">
        <f>VLOOKUP($A124,'Temprorary Data'!$A:$G,2,FALSE)</f>
        <v>0.2273</v>
      </c>
      <c r="L124" s="8">
        <f>VLOOKUP($A124,'Temprorary Data'!$A:$G,3,FALSE)</f>
        <v>0.59</v>
      </c>
      <c r="M124" s="8">
        <f>VLOOKUP($A124,'Temprorary Data'!$A:$G,4,FALSE)</f>
        <v>0</v>
      </c>
      <c r="N124" s="9">
        <f>VLOOKUP($A124,'Temprorary Data'!$A:$G,5,FALSE)</f>
        <v>3</v>
      </c>
      <c r="O124" s="9">
        <f>VLOOKUP($A124,'Temprorary Data'!$A:$G,6,FALSE)</f>
        <v>216</v>
      </c>
      <c r="P124" s="9">
        <f>VLOOKUP($A124,'Temprorary Data'!$A:$G,7,FALSE)</f>
        <v>219</v>
      </c>
      <c r="Q124" t="b">
        <f t="shared" si="9"/>
        <v>1</v>
      </c>
      <c r="R124" t="str">
        <f t="shared" si="10"/>
        <v>January</v>
      </c>
      <c r="S124" t="str">
        <f t="shared" si="11"/>
        <v>Thursday</v>
      </c>
      <c r="T124" t="str">
        <f t="shared" si="12"/>
        <v>Weekday</v>
      </c>
      <c r="U124" t="str">
        <f t="shared" si="13"/>
        <v>Spring</v>
      </c>
      <c r="V124" t="str">
        <f t="shared" si="14"/>
        <v>Clear</v>
      </c>
      <c r="W124" t="str">
        <f t="shared" si="15"/>
        <v>Morning Peak</v>
      </c>
      <c r="X124" t="str">
        <f t="shared" si="16"/>
        <v>Low</v>
      </c>
      <c r="Y124" t="str">
        <f t="shared" si="17"/>
        <v>Medium</v>
      </c>
    </row>
    <row r="125" spans="1:25" ht="15.75" thickBot="1">
      <c r="A125" s="1">
        <v>124</v>
      </c>
      <c r="B125" s="2">
        <v>40549</v>
      </c>
      <c r="C125" s="1">
        <v>1</v>
      </c>
      <c r="D125" s="1">
        <v>0</v>
      </c>
      <c r="E125" s="1">
        <v>1</v>
      </c>
      <c r="F125" s="1">
        <v>9</v>
      </c>
      <c r="G125" s="3" t="b">
        <v>0</v>
      </c>
      <c r="H125" s="1">
        <v>4</v>
      </c>
      <c r="I125" s="1">
        <v>2</v>
      </c>
      <c r="J125" s="7">
        <v>0.18</v>
      </c>
      <c r="K125" s="8">
        <f>VLOOKUP($A125,'Temprorary Data'!$A:$G,2,FALSE)</f>
        <v>0.2424</v>
      </c>
      <c r="L125" s="8">
        <f>VLOOKUP($A125,'Temprorary Data'!$A:$G,3,FALSE)</f>
        <v>0.51</v>
      </c>
      <c r="M125" s="8">
        <f>VLOOKUP($A125,'Temprorary Data'!$A:$G,4,FALSE)</f>
        <v>0</v>
      </c>
      <c r="N125" s="9">
        <f>VLOOKUP($A125,'Temprorary Data'!$A:$G,5,FALSE)</f>
        <v>6</v>
      </c>
      <c r="O125" s="9">
        <f>VLOOKUP($A125,'Temprorary Data'!$A:$G,6,FALSE)</f>
        <v>116</v>
      </c>
      <c r="P125" s="9">
        <f>VLOOKUP($A125,'Temprorary Data'!$A:$G,7,FALSE)</f>
        <v>122</v>
      </c>
      <c r="Q125" t="b">
        <f t="shared" si="9"/>
        <v>1</v>
      </c>
      <c r="R125" t="str">
        <f t="shared" si="10"/>
        <v>January</v>
      </c>
      <c r="S125" t="str">
        <f t="shared" si="11"/>
        <v>Thursday</v>
      </c>
      <c r="T125" t="str">
        <f t="shared" si="12"/>
        <v>Weekday</v>
      </c>
      <c r="U125" t="str">
        <f t="shared" si="13"/>
        <v>Spring</v>
      </c>
      <c r="V125" t="str">
        <f t="shared" si="14"/>
        <v>Mist</v>
      </c>
      <c r="W125" t="str">
        <f t="shared" si="15"/>
        <v>Morning Peak</v>
      </c>
      <c r="X125" t="str">
        <f t="shared" si="16"/>
        <v>Low</v>
      </c>
      <c r="Y125" t="str">
        <f t="shared" si="17"/>
        <v>Medium</v>
      </c>
    </row>
    <row r="126" spans="1:25" ht="15.75" thickBot="1">
      <c r="A126" s="1">
        <v>125</v>
      </c>
      <c r="B126" s="2">
        <v>40549</v>
      </c>
      <c r="C126" s="1">
        <v>1</v>
      </c>
      <c r="D126" s="1">
        <v>0</v>
      </c>
      <c r="E126" s="1">
        <v>1</v>
      </c>
      <c r="F126" s="1">
        <v>10</v>
      </c>
      <c r="G126" s="3" t="b">
        <v>0</v>
      </c>
      <c r="H126" s="1">
        <v>4</v>
      </c>
      <c r="I126" s="1">
        <v>1</v>
      </c>
      <c r="J126" s="7">
        <v>0.2</v>
      </c>
      <c r="K126" s="8">
        <f>VLOOKUP($A126,'Temprorary Data'!$A:$G,2,FALSE)</f>
        <v>0.2576</v>
      </c>
      <c r="L126" s="8">
        <f>VLOOKUP($A126,'Temprorary Data'!$A:$G,3,FALSE)</f>
        <v>0.47</v>
      </c>
      <c r="M126" s="8">
        <f>VLOOKUP($A126,'Temprorary Data'!$A:$G,4,FALSE)</f>
        <v>0</v>
      </c>
      <c r="N126" s="9">
        <f>VLOOKUP($A126,'Temprorary Data'!$A:$G,5,FALSE)</f>
        <v>3</v>
      </c>
      <c r="O126" s="9">
        <f>VLOOKUP($A126,'Temprorary Data'!$A:$G,6,FALSE)</f>
        <v>42</v>
      </c>
      <c r="P126" s="9">
        <f>VLOOKUP($A126,'Temprorary Data'!$A:$G,7,FALSE)</f>
        <v>45</v>
      </c>
      <c r="Q126" t="b">
        <f t="shared" si="9"/>
        <v>1</v>
      </c>
      <c r="R126" t="str">
        <f t="shared" si="10"/>
        <v>January</v>
      </c>
      <c r="S126" t="str">
        <f t="shared" si="11"/>
        <v>Thursday</v>
      </c>
      <c r="T126" t="str">
        <f t="shared" si="12"/>
        <v>Weekday</v>
      </c>
      <c r="U126" t="str">
        <f t="shared" si="13"/>
        <v>Spring</v>
      </c>
      <c r="V126" t="str">
        <f t="shared" si="14"/>
        <v>Clear</v>
      </c>
      <c r="W126" t="str">
        <f t="shared" si="15"/>
        <v>Off Peak</v>
      </c>
      <c r="X126" t="str">
        <f t="shared" si="16"/>
        <v>Low</v>
      </c>
      <c r="Y126" t="str">
        <f t="shared" si="17"/>
        <v>Medium</v>
      </c>
    </row>
    <row r="127" spans="1:25" ht="15.75" thickBot="1">
      <c r="A127" s="1">
        <v>126</v>
      </c>
      <c r="B127" s="2">
        <v>40549</v>
      </c>
      <c r="C127" s="1">
        <v>1</v>
      </c>
      <c r="D127" s="1">
        <v>0</v>
      </c>
      <c r="E127" s="1">
        <v>1</v>
      </c>
      <c r="F127" s="1">
        <v>11</v>
      </c>
      <c r="G127" s="3" t="b">
        <v>0</v>
      </c>
      <c r="H127" s="1">
        <v>4</v>
      </c>
      <c r="I127" s="1">
        <v>1</v>
      </c>
      <c r="J127" s="7">
        <v>0.22</v>
      </c>
      <c r="K127" s="8">
        <f>VLOOKUP($A127,'Temprorary Data'!$A:$G,2,FALSE)</f>
        <v>0.2576</v>
      </c>
      <c r="L127" s="8">
        <f>VLOOKUP($A127,'Temprorary Data'!$A:$G,3,FALSE)</f>
        <v>0.44</v>
      </c>
      <c r="M127" s="8">
        <f>VLOOKUP($A127,'Temprorary Data'!$A:$G,4,FALSE)</f>
        <v>8.9599999999999999E-2</v>
      </c>
      <c r="N127" s="9">
        <f>VLOOKUP($A127,'Temprorary Data'!$A:$G,5,FALSE)</f>
        <v>2</v>
      </c>
      <c r="O127" s="9">
        <f>VLOOKUP($A127,'Temprorary Data'!$A:$G,6,FALSE)</f>
        <v>57</v>
      </c>
      <c r="P127" s="9">
        <f>VLOOKUP($A127,'Temprorary Data'!$A:$G,7,FALSE)</f>
        <v>59</v>
      </c>
      <c r="Q127" t="b">
        <f t="shared" si="9"/>
        <v>1</v>
      </c>
      <c r="R127" t="str">
        <f t="shared" si="10"/>
        <v>January</v>
      </c>
      <c r="S127" t="str">
        <f t="shared" si="11"/>
        <v>Thursday</v>
      </c>
      <c r="T127" t="str">
        <f t="shared" si="12"/>
        <v>Weekday</v>
      </c>
      <c r="U127" t="str">
        <f t="shared" si="13"/>
        <v>Spring</v>
      </c>
      <c r="V127" t="str">
        <f t="shared" si="14"/>
        <v>Clear</v>
      </c>
      <c r="W127" t="str">
        <f t="shared" si="15"/>
        <v>Off Peak</v>
      </c>
      <c r="X127" t="str">
        <f t="shared" si="16"/>
        <v>Low</v>
      </c>
      <c r="Y127" t="str">
        <f t="shared" si="17"/>
        <v>Medium</v>
      </c>
    </row>
    <row r="128" spans="1:25" ht="15.75" thickBot="1">
      <c r="A128" s="1">
        <v>127</v>
      </c>
      <c r="B128" s="2">
        <v>40549</v>
      </c>
      <c r="C128" s="1">
        <v>1</v>
      </c>
      <c r="D128" s="1">
        <v>0</v>
      </c>
      <c r="E128" s="1">
        <v>1</v>
      </c>
      <c r="F128" s="1">
        <v>12</v>
      </c>
      <c r="G128" s="3" t="b">
        <v>0</v>
      </c>
      <c r="H128" s="1">
        <v>4</v>
      </c>
      <c r="I128" s="1">
        <v>1</v>
      </c>
      <c r="J128" s="7">
        <v>0.26</v>
      </c>
      <c r="K128" s="8">
        <f>VLOOKUP($A128,'Temprorary Data'!$A:$G,2,FALSE)</f>
        <v>0.28789999999999999</v>
      </c>
      <c r="L128" s="8">
        <f>VLOOKUP($A128,'Temprorary Data'!$A:$G,3,FALSE)</f>
        <v>0.35</v>
      </c>
      <c r="M128" s="8">
        <f>VLOOKUP($A128,'Temprorary Data'!$A:$G,4,FALSE)</f>
        <v>0</v>
      </c>
      <c r="N128" s="9">
        <f>VLOOKUP($A128,'Temprorary Data'!$A:$G,5,FALSE)</f>
        <v>6</v>
      </c>
      <c r="O128" s="9">
        <f>VLOOKUP($A128,'Temprorary Data'!$A:$G,6,FALSE)</f>
        <v>78</v>
      </c>
      <c r="P128" s="9">
        <f>VLOOKUP($A128,'Temprorary Data'!$A:$G,7,FALSE)</f>
        <v>84</v>
      </c>
      <c r="Q128" t="b">
        <f t="shared" si="9"/>
        <v>1</v>
      </c>
      <c r="R128" t="str">
        <f t="shared" si="10"/>
        <v>January</v>
      </c>
      <c r="S128" t="str">
        <f t="shared" si="11"/>
        <v>Thursday</v>
      </c>
      <c r="T128" t="str">
        <f t="shared" si="12"/>
        <v>Weekday</v>
      </c>
      <c r="U128" t="str">
        <f t="shared" si="13"/>
        <v>Spring</v>
      </c>
      <c r="V128" t="str">
        <f t="shared" si="14"/>
        <v>Clear</v>
      </c>
      <c r="W128" t="str">
        <f t="shared" si="15"/>
        <v>Off Peak</v>
      </c>
      <c r="X128" t="str">
        <f t="shared" si="16"/>
        <v>Low</v>
      </c>
      <c r="Y128" t="str">
        <f t="shared" si="17"/>
        <v>Low</v>
      </c>
    </row>
    <row r="129" spans="1:25" ht="15.75" thickBot="1">
      <c r="A129" s="1">
        <v>128</v>
      </c>
      <c r="B129" s="2">
        <v>40549</v>
      </c>
      <c r="C129" s="1">
        <v>1</v>
      </c>
      <c r="D129" s="1">
        <v>0</v>
      </c>
      <c r="E129" s="1">
        <v>1</v>
      </c>
      <c r="F129" s="1">
        <v>13</v>
      </c>
      <c r="G129" s="3" t="b">
        <v>0</v>
      </c>
      <c r="H129" s="1">
        <v>4</v>
      </c>
      <c r="I129" s="1">
        <v>1</v>
      </c>
      <c r="J129" s="7">
        <v>0.26</v>
      </c>
      <c r="K129" s="8">
        <f>VLOOKUP($A129,'Temprorary Data'!$A:$G,2,FALSE)</f>
        <v>0.2727</v>
      </c>
      <c r="L129" s="8">
        <f>VLOOKUP($A129,'Temprorary Data'!$A:$G,3,FALSE)</f>
        <v>0.35</v>
      </c>
      <c r="M129" s="8">
        <f>VLOOKUP($A129,'Temprorary Data'!$A:$G,4,FALSE)</f>
        <v>0.1045</v>
      </c>
      <c r="N129" s="9">
        <f>VLOOKUP($A129,'Temprorary Data'!$A:$G,5,FALSE)</f>
        <v>12</v>
      </c>
      <c r="O129" s="9">
        <f>VLOOKUP($A129,'Temprorary Data'!$A:$G,6,FALSE)</f>
        <v>55</v>
      </c>
      <c r="P129" s="9">
        <f>VLOOKUP($A129,'Temprorary Data'!$A:$G,7,FALSE)</f>
        <v>67</v>
      </c>
      <c r="Q129" t="b">
        <f t="shared" si="9"/>
        <v>1</v>
      </c>
      <c r="R129" t="str">
        <f t="shared" si="10"/>
        <v>January</v>
      </c>
      <c r="S129" t="str">
        <f t="shared" si="11"/>
        <v>Thursday</v>
      </c>
      <c r="T129" t="str">
        <f t="shared" si="12"/>
        <v>Weekday</v>
      </c>
      <c r="U129" t="str">
        <f t="shared" si="13"/>
        <v>Spring</v>
      </c>
      <c r="V129" t="str">
        <f t="shared" si="14"/>
        <v>Clear</v>
      </c>
      <c r="W129" t="str">
        <f t="shared" si="15"/>
        <v>Off Peak</v>
      </c>
      <c r="X129" t="str">
        <f t="shared" si="16"/>
        <v>Low</v>
      </c>
      <c r="Y129" t="str">
        <f t="shared" si="17"/>
        <v>Low</v>
      </c>
    </row>
    <row r="130" spans="1:25" ht="15.75" thickBot="1">
      <c r="A130" s="1">
        <v>129</v>
      </c>
      <c r="B130" s="2">
        <v>40549</v>
      </c>
      <c r="C130" s="1">
        <v>1</v>
      </c>
      <c r="D130" s="1">
        <v>0</v>
      </c>
      <c r="E130" s="1">
        <v>1</v>
      </c>
      <c r="F130" s="1">
        <v>14</v>
      </c>
      <c r="G130" s="3" t="b">
        <v>0</v>
      </c>
      <c r="H130" s="1">
        <v>4</v>
      </c>
      <c r="I130" s="1">
        <v>1</v>
      </c>
      <c r="J130" s="7">
        <v>0.28000000000000003</v>
      </c>
      <c r="K130" s="8">
        <f>VLOOKUP($A130,'Temprorary Data'!$A:$G,2,FALSE)</f>
        <v>0.2727</v>
      </c>
      <c r="L130" s="8">
        <f>VLOOKUP($A130,'Temprorary Data'!$A:$G,3,FALSE)</f>
        <v>0.36</v>
      </c>
      <c r="M130" s="8">
        <f>VLOOKUP($A130,'Temprorary Data'!$A:$G,4,FALSE)</f>
        <v>0.16420000000000001</v>
      </c>
      <c r="N130" s="9">
        <f>VLOOKUP($A130,'Temprorary Data'!$A:$G,5,FALSE)</f>
        <v>11</v>
      </c>
      <c r="O130" s="9">
        <f>VLOOKUP($A130,'Temprorary Data'!$A:$G,6,FALSE)</f>
        <v>59</v>
      </c>
      <c r="P130" s="9">
        <f>VLOOKUP($A130,'Temprorary Data'!$A:$G,7,FALSE)</f>
        <v>70</v>
      </c>
      <c r="Q130" t="b">
        <f t="shared" si="9"/>
        <v>1</v>
      </c>
      <c r="R130" t="str">
        <f t="shared" si="10"/>
        <v>January</v>
      </c>
      <c r="S130" t="str">
        <f t="shared" si="11"/>
        <v>Thursday</v>
      </c>
      <c r="T130" t="str">
        <f t="shared" si="12"/>
        <v>Weekday</v>
      </c>
      <c r="U130" t="str">
        <f t="shared" si="13"/>
        <v>Spring</v>
      </c>
      <c r="V130" t="str">
        <f t="shared" si="14"/>
        <v>Clear</v>
      </c>
      <c r="W130" t="str">
        <f t="shared" si="15"/>
        <v>Off Peak</v>
      </c>
      <c r="X130" t="str">
        <f t="shared" si="16"/>
        <v>Low</v>
      </c>
      <c r="Y130" t="str">
        <f t="shared" si="17"/>
        <v>Low</v>
      </c>
    </row>
    <row r="131" spans="1:25" ht="15.75" thickBot="1">
      <c r="A131" s="1">
        <v>130</v>
      </c>
      <c r="B131" s="2">
        <v>40549</v>
      </c>
      <c r="C131" s="1">
        <v>1</v>
      </c>
      <c r="D131" s="1">
        <v>0</v>
      </c>
      <c r="E131" s="1">
        <v>1</v>
      </c>
      <c r="F131" s="1">
        <v>15</v>
      </c>
      <c r="G131" s="3" t="b">
        <v>0</v>
      </c>
      <c r="H131" s="1">
        <v>4</v>
      </c>
      <c r="I131" s="1">
        <v>1</v>
      </c>
      <c r="J131" s="7">
        <v>0.28000000000000003</v>
      </c>
      <c r="K131" s="8">
        <f>VLOOKUP($A131,'Temprorary Data'!$A:$G,2,FALSE)</f>
        <v>0.2727</v>
      </c>
      <c r="L131" s="8">
        <f>VLOOKUP($A131,'Temprorary Data'!$A:$G,3,FALSE)</f>
        <v>0.36</v>
      </c>
      <c r="M131" s="8">
        <f>VLOOKUP($A131,'Temprorary Data'!$A:$G,4,FALSE)</f>
        <v>0</v>
      </c>
      <c r="N131" s="9">
        <f>VLOOKUP($A131,'Temprorary Data'!$A:$G,5,FALSE)</f>
        <v>8</v>
      </c>
      <c r="O131" s="9">
        <f>VLOOKUP($A131,'Temprorary Data'!$A:$G,6,FALSE)</f>
        <v>54</v>
      </c>
      <c r="P131" s="9">
        <f>VLOOKUP($A131,'Temprorary Data'!$A:$G,7,FALSE)</f>
        <v>62</v>
      </c>
      <c r="Q131" t="b">
        <f t="shared" ref="Q131:Q194" si="18">N131+O131=P131</f>
        <v>1</v>
      </c>
      <c r="R131" t="str">
        <f t="shared" ref="R131:R194" si="19">TEXT(B131,"mmmm")</f>
        <v>January</v>
      </c>
      <c r="S131" t="str">
        <f t="shared" ref="S131:S194" si="20">TEXT(B131,"dddd")</f>
        <v>Thursday</v>
      </c>
      <c r="T131" t="str">
        <f t="shared" ref="T131:T194" si="21">IF(OR(H131=0,H131=6),"Weekend","Weekday")</f>
        <v>Weekday</v>
      </c>
      <c r="U131" t="str">
        <f t="shared" ref="U131:U194" si="22">IF(C131=1,"Spring",IF(C131=2,"Summer",IF(C131=3,"Fall","Winter")))</f>
        <v>Spring</v>
      </c>
      <c r="V131" t="str">
        <f t="shared" ref="V131:V194" si="23">IF(I131=1,"Clear",IF(I131=2,"Mist",IF(I131=3,"Light Rain","Heavy Rain")))</f>
        <v>Clear</v>
      </c>
      <c r="W131" t="str">
        <f t="shared" ref="W131:W194" si="24">IF(AND(F131&gt;=7,F131&lt;=9),"Morning Peak",IF(AND(F131&gt;=17,F131&lt;=20),"Evening Peak","Off Peak"))</f>
        <v>Off Peak</v>
      </c>
      <c r="X131" t="str">
        <f t="shared" ref="X131:X194" si="25">IF(J131&lt;0.3,"Low",IF(J131&lt;0.6,"Medium","High"))</f>
        <v>Low</v>
      </c>
      <c r="Y131" t="str">
        <f t="shared" ref="Y131:Y194" si="26">IF(L131&lt;0.4,"Low",IF(L131&lt;0.7,"Medium","High"))</f>
        <v>Low</v>
      </c>
    </row>
    <row r="132" spans="1:25" ht="15.75" thickBot="1">
      <c r="A132" s="1">
        <v>131</v>
      </c>
      <c r="B132" s="2">
        <v>40549</v>
      </c>
      <c r="C132" s="1">
        <v>1</v>
      </c>
      <c r="D132" s="1">
        <v>0</v>
      </c>
      <c r="E132" s="1">
        <v>1</v>
      </c>
      <c r="F132" s="1">
        <v>16</v>
      </c>
      <c r="G132" s="3" t="b">
        <v>0</v>
      </c>
      <c r="H132" s="1">
        <v>4</v>
      </c>
      <c r="I132" s="1">
        <v>1</v>
      </c>
      <c r="J132" s="7">
        <v>0.26</v>
      </c>
      <c r="K132" s="8">
        <f>VLOOKUP($A132,'Temprorary Data'!$A:$G,2,FALSE)</f>
        <v>0.2576</v>
      </c>
      <c r="L132" s="8">
        <f>VLOOKUP($A132,'Temprorary Data'!$A:$G,3,FALSE)</f>
        <v>0.38</v>
      </c>
      <c r="M132" s="8">
        <f>VLOOKUP($A132,'Temprorary Data'!$A:$G,4,FALSE)</f>
        <v>0.16420000000000001</v>
      </c>
      <c r="N132" s="9">
        <f>VLOOKUP($A132,'Temprorary Data'!$A:$G,5,FALSE)</f>
        <v>12</v>
      </c>
      <c r="O132" s="9">
        <f>VLOOKUP($A132,'Temprorary Data'!$A:$G,6,FALSE)</f>
        <v>74</v>
      </c>
      <c r="P132" s="9">
        <f>VLOOKUP($A132,'Temprorary Data'!$A:$G,7,FALSE)</f>
        <v>86</v>
      </c>
      <c r="Q132" t="b">
        <f t="shared" si="18"/>
        <v>1</v>
      </c>
      <c r="R132" t="str">
        <f t="shared" si="19"/>
        <v>January</v>
      </c>
      <c r="S132" t="str">
        <f t="shared" si="20"/>
        <v>Thursday</v>
      </c>
      <c r="T132" t="str">
        <f t="shared" si="21"/>
        <v>Weekday</v>
      </c>
      <c r="U132" t="str">
        <f t="shared" si="22"/>
        <v>Spring</v>
      </c>
      <c r="V132" t="str">
        <f t="shared" si="23"/>
        <v>Clear</v>
      </c>
      <c r="W132" t="str">
        <f t="shared" si="24"/>
        <v>Off Peak</v>
      </c>
      <c r="X132" t="str">
        <f t="shared" si="25"/>
        <v>Low</v>
      </c>
      <c r="Y132" t="str">
        <f t="shared" si="26"/>
        <v>Low</v>
      </c>
    </row>
    <row r="133" spans="1:25" ht="15.75" thickBot="1">
      <c r="A133" s="1">
        <v>132</v>
      </c>
      <c r="B133" s="2">
        <v>40549</v>
      </c>
      <c r="C133" s="1">
        <v>1</v>
      </c>
      <c r="D133" s="1">
        <v>0</v>
      </c>
      <c r="E133" s="1">
        <v>1</v>
      </c>
      <c r="F133" s="1">
        <v>17</v>
      </c>
      <c r="G133" s="3" t="b">
        <v>0</v>
      </c>
      <c r="H133" s="1">
        <v>4</v>
      </c>
      <c r="I133" s="1">
        <v>1</v>
      </c>
      <c r="J133" s="7">
        <v>0.22</v>
      </c>
      <c r="K133" s="8">
        <f>VLOOKUP($A133,'Temprorary Data'!$A:$G,2,FALSE)</f>
        <v>0.2273</v>
      </c>
      <c r="L133" s="8">
        <f>VLOOKUP($A133,'Temprorary Data'!$A:$G,3,FALSE)</f>
        <v>0.51</v>
      </c>
      <c r="M133" s="8">
        <f>VLOOKUP($A133,'Temprorary Data'!$A:$G,4,FALSE)</f>
        <v>0.16420000000000001</v>
      </c>
      <c r="N133" s="9">
        <f>VLOOKUP($A133,'Temprorary Data'!$A:$G,5,FALSE)</f>
        <v>9</v>
      </c>
      <c r="O133" s="9">
        <f>VLOOKUP($A133,'Temprorary Data'!$A:$G,6,FALSE)</f>
        <v>163</v>
      </c>
      <c r="P133" s="9">
        <f>VLOOKUP($A133,'Temprorary Data'!$A:$G,7,FALSE)</f>
        <v>172</v>
      </c>
      <c r="Q133" t="b">
        <f t="shared" si="18"/>
        <v>1</v>
      </c>
      <c r="R133" t="str">
        <f t="shared" si="19"/>
        <v>January</v>
      </c>
      <c r="S133" t="str">
        <f t="shared" si="20"/>
        <v>Thursday</v>
      </c>
      <c r="T133" t="str">
        <f t="shared" si="21"/>
        <v>Weekday</v>
      </c>
      <c r="U133" t="str">
        <f t="shared" si="22"/>
        <v>Spring</v>
      </c>
      <c r="V133" t="str">
        <f t="shared" si="23"/>
        <v>Clear</v>
      </c>
      <c r="W133" t="str">
        <f t="shared" si="24"/>
        <v>Evening Peak</v>
      </c>
      <c r="X133" t="str">
        <f t="shared" si="25"/>
        <v>Low</v>
      </c>
      <c r="Y133" t="str">
        <f t="shared" si="26"/>
        <v>Medium</v>
      </c>
    </row>
    <row r="134" spans="1:25" ht="15.75" thickBot="1">
      <c r="A134" s="1">
        <v>133</v>
      </c>
      <c r="B134" s="2">
        <v>40549</v>
      </c>
      <c r="C134" s="1">
        <v>1</v>
      </c>
      <c r="D134" s="1">
        <v>0</v>
      </c>
      <c r="E134" s="1">
        <v>1</v>
      </c>
      <c r="F134" s="1">
        <v>18</v>
      </c>
      <c r="G134" s="3" t="b">
        <v>0</v>
      </c>
      <c r="H134" s="1">
        <v>4</v>
      </c>
      <c r="I134" s="1">
        <v>1</v>
      </c>
      <c r="J134" s="7">
        <v>0.22</v>
      </c>
      <c r="K134" s="8">
        <f>VLOOKUP($A134,'Temprorary Data'!$A:$G,2,FALSE)</f>
        <v>0.2273</v>
      </c>
      <c r="L134" s="8">
        <f>VLOOKUP($A134,'Temprorary Data'!$A:$G,3,FALSE)</f>
        <v>0.51</v>
      </c>
      <c r="M134" s="8">
        <f>VLOOKUP($A134,'Temprorary Data'!$A:$G,4,FALSE)</f>
        <v>0.1343</v>
      </c>
      <c r="N134" s="9">
        <f>VLOOKUP($A134,'Temprorary Data'!$A:$G,5,FALSE)</f>
        <v>5</v>
      </c>
      <c r="O134" s="9">
        <f>VLOOKUP($A134,'Temprorary Data'!$A:$G,6,FALSE)</f>
        <v>158</v>
      </c>
      <c r="P134" s="9">
        <f>VLOOKUP($A134,'Temprorary Data'!$A:$G,7,FALSE)</f>
        <v>163</v>
      </c>
      <c r="Q134" t="b">
        <f t="shared" si="18"/>
        <v>1</v>
      </c>
      <c r="R134" t="str">
        <f t="shared" si="19"/>
        <v>January</v>
      </c>
      <c r="S134" t="str">
        <f t="shared" si="20"/>
        <v>Thursday</v>
      </c>
      <c r="T134" t="str">
        <f t="shared" si="21"/>
        <v>Weekday</v>
      </c>
      <c r="U134" t="str">
        <f t="shared" si="22"/>
        <v>Spring</v>
      </c>
      <c r="V134" t="str">
        <f t="shared" si="23"/>
        <v>Clear</v>
      </c>
      <c r="W134" t="str">
        <f t="shared" si="24"/>
        <v>Evening Peak</v>
      </c>
      <c r="X134" t="str">
        <f t="shared" si="25"/>
        <v>Low</v>
      </c>
      <c r="Y134" t="str">
        <f t="shared" si="26"/>
        <v>Medium</v>
      </c>
    </row>
    <row r="135" spans="1:25" ht="15.75" thickBot="1">
      <c r="A135" s="1">
        <v>134</v>
      </c>
      <c r="B135" s="2">
        <v>40549</v>
      </c>
      <c r="C135" s="1">
        <v>1</v>
      </c>
      <c r="D135" s="1">
        <v>0</v>
      </c>
      <c r="E135" s="1">
        <v>1</v>
      </c>
      <c r="F135" s="1">
        <v>19</v>
      </c>
      <c r="G135" s="3" t="b">
        <v>0</v>
      </c>
      <c r="H135" s="1">
        <v>4</v>
      </c>
      <c r="I135" s="1">
        <v>1</v>
      </c>
      <c r="J135" s="7">
        <v>0.22</v>
      </c>
      <c r="K135" s="8">
        <f>VLOOKUP($A135,'Temprorary Data'!$A:$G,2,FALSE)</f>
        <v>0.2576</v>
      </c>
      <c r="L135" s="8">
        <f>VLOOKUP($A135,'Temprorary Data'!$A:$G,3,FALSE)</f>
        <v>0.55000000000000004</v>
      </c>
      <c r="M135" s="8">
        <f>VLOOKUP($A135,'Temprorary Data'!$A:$G,4,FALSE)</f>
        <v>8.9599999999999999E-2</v>
      </c>
      <c r="N135" s="9">
        <f>VLOOKUP($A135,'Temprorary Data'!$A:$G,5,FALSE)</f>
        <v>3</v>
      </c>
      <c r="O135" s="9">
        <f>VLOOKUP($A135,'Temprorary Data'!$A:$G,6,FALSE)</f>
        <v>109</v>
      </c>
      <c r="P135" s="9">
        <f>VLOOKUP($A135,'Temprorary Data'!$A:$G,7,FALSE)</f>
        <v>112</v>
      </c>
      <c r="Q135" t="b">
        <f t="shared" si="18"/>
        <v>1</v>
      </c>
      <c r="R135" t="str">
        <f t="shared" si="19"/>
        <v>January</v>
      </c>
      <c r="S135" t="str">
        <f t="shared" si="20"/>
        <v>Thursday</v>
      </c>
      <c r="T135" t="str">
        <f t="shared" si="21"/>
        <v>Weekday</v>
      </c>
      <c r="U135" t="str">
        <f t="shared" si="22"/>
        <v>Spring</v>
      </c>
      <c r="V135" t="str">
        <f t="shared" si="23"/>
        <v>Clear</v>
      </c>
      <c r="W135" t="str">
        <f t="shared" si="24"/>
        <v>Evening Peak</v>
      </c>
      <c r="X135" t="str">
        <f t="shared" si="25"/>
        <v>Low</v>
      </c>
      <c r="Y135" t="str">
        <f t="shared" si="26"/>
        <v>Medium</v>
      </c>
    </row>
    <row r="136" spans="1:25" ht="15.75" thickBot="1">
      <c r="A136" s="1">
        <v>135</v>
      </c>
      <c r="B136" s="2">
        <v>40549</v>
      </c>
      <c r="C136" s="1">
        <v>1</v>
      </c>
      <c r="D136" s="1">
        <v>0</v>
      </c>
      <c r="E136" s="1">
        <v>1</v>
      </c>
      <c r="F136" s="1">
        <v>20</v>
      </c>
      <c r="G136" s="3" t="b">
        <v>0</v>
      </c>
      <c r="H136" s="1">
        <v>4</v>
      </c>
      <c r="I136" s="1">
        <v>1</v>
      </c>
      <c r="J136" s="7">
        <v>0.2</v>
      </c>
      <c r="K136" s="8">
        <f>VLOOKUP($A136,'Temprorary Data'!$A:$G,2,FALSE)</f>
        <v>0.21210000000000001</v>
      </c>
      <c r="L136" s="8">
        <f>VLOOKUP($A136,'Temprorary Data'!$A:$G,3,FALSE)</f>
        <v>0.51</v>
      </c>
      <c r="M136" s="8">
        <f>VLOOKUP($A136,'Temprorary Data'!$A:$G,4,FALSE)</f>
        <v>0.16420000000000001</v>
      </c>
      <c r="N136" s="9">
        <f>VLOOKUP($A136,'Temprorary Data'!$A:$G,5,FALSE)</f>
        <v>3</v>
      </c>
      <c r="O136" s="9">
        <f>VLOOKUP($A136,'Temprorary Data'!$A:$G,6,FALSE)</f>
        <v>66</v>
      </c>
      <c r="P136" s="9">
        <f>VLOOKUP($A136,'Temprorary Data'!$A:$G,7,FALSE)</f>
        <v>69</v>
      </c>
      <c r="Q136" t="b">
        <f t="shared" si="18"/>
        <v>1</v>
      </c>
      <c r="R136" t="str">
        <f t="shared" si="19"/>
        <v>January</v>
      </c>
      <c r="S136" t="str">
        <f t="shared" si="20"/>
        <v>Thursday</v>
      </c>
      <c r="T136" t="str">
        <f t="shared" si="21"/>
        <v>Weekday</v>
      </c>
      <c r="U136" t="str">
        <f t="shared" si="22"/>
        <v>Spring</v>
      </c>
      <c r="V136" t="str">
        <f t="shared" si="23"/>
        <v>Clear</v>
      </c>
      <c r="W136" t="str">
        <f t="shared" si="24"/>
        <v>Evening Peak</v>
      </c>
      <c r="X136" t="str">
        <f t="shared" si="25"/>
        <v>Low</v>
      </c>
      <c r="Y136" t="str">
        <f t="shared" si="26"/>
        <v>Medium</v>
      </c>
    </row>
    <row r="137" spans="1:25" ht="15.75" thickBot="1">
      <c r="A137" s="1">
        <v>136</v>
      </c>
      <c r="B137" s="2">
        <v>40549</v>
      </c>
      <c r="C137" s="1">
        <v>1</v>
      </c>
      <c r="D137" s="1">
        <v>0</v>
      </c>
      <c r="E137" s="1">
        <v>1</v>
      </c>
      <c r="F137" s="1">
        <v>21</v>
      </c>
      <c r="G137" s="3" t="b">
        <v>0</v>
      </c>
      <c r="H137" s="1">
        <v>4</v>
      </c>
      <c r="I137" s="1">
        <v>2</v>
      </c>
      <c r="J137" s="7">
        <v>0.22</v>
      </c>
      <c r="K137" s="8">
        <f>VLOOKUP($A137,'Temprorary Data'!$A:$G,2,FALSE)</f>
        <v>0.21210000000000001</v>
      </c>
      <c r="L137" s="8">
        <f>VLOOKUP($A137,'Temprorary Data'!$A:$G,3,FALSE)</f>
        <v>0.55000000000000004</v>
      </c>
      <c r="M137" s="8">
        <f>VLOOKUP($A137,'Temprorary Data'!$A:$G,4,FALSE)</f>
        <v>0.22389999999999999</v>
      </c>
      <c r="N137" s="9">
        <f>VLOOKUP($A137,'Temprorary Data'!$A:$G,5,FALSE)</f>
        <v>0</v>
      </c>
      <c r="O137" s="9">
        <f>VLOOKUP($A137,'Temprorary Data'!$A:$G,6,FALSE)</f>
        <v>48</v>
      </c>
      <c r="P137" s="9">
        <f>VLOOKUP($A137,'Temprorary Data'!$A:$G,7,FALSE)</f>
        <v>48</v>
      </c>
      <c r="Q137" t="b">
        <f t="shared" si="18"/>
        <v>1</v>
      </c>
      <c r="R137" t="str">
        <f t="shared" si="19"/>
        <v>January</v>
      </c>
      <c r="S137" t="str">
        <f t="shared" si="20"/>
        <v>Thursday</v>
      </c>
      <c r="T137" t="str">
        <f t="shared" si="21"/>
        <v>Weekday</v>
      </c>
      <c r="U137" t="str">
        <f t="shared" si="22"/>
        <v>Spring</v>
      </c>
      <c r="V137" t="str">
        <f t="shared" si="23"/>
        <v>Mist</v>
      </c>
      <c r="W137" t="str">
        <f t="shared" si="24"/>
        <v>Off Peak</v>
      </c>
      <c r="X137" t="str">
        <f t="shared" si="25"/>
        <v>Low</v>
      </c>
      <c r="Y137" t="str">
        <f t="shared" si="26"/>
        <v>Medium</v>
      </c>
    </row>
    <row r="138" spans="1:25" ht="15.75" thickBot="1">
      <c r="A138" s="1">
        <v>137</v>
      </c>
      <c r="B138" s="2">
        <v>40549</v>
      </c>
      <c r="C138" s="1">
        <v>1</v>
      </c>
      <c r="D138" s="1">
        <v>0</v>
      </c>
      <c r="E138" s="1">
        <v>1</v>
      </c>
      <c r="F138" s="1">
        <v>22</v>
      </c>
      <c r="G138" s="3" t="b">
        <v>0</v>
      </c>
      <c r="H138" s="1">
        <v>4</v>
      </c>
      <c r="I138" s="1">
        <v>2</v>
      </c>
      <c r="J138" s="7">
        <v>0.22</v>
      </c>
      <c r="K138" s="8">
        <f>VLOOKUP($A138,'Temprorary Data'!$A:$G,2,FALSE)</f>
        <v>0.21210000000000001</v>
      </c>
      <c r="L138" s="8">
        <f>VLOOKUP($A138,'Temprorary Data'!$A:$G,3,FALSE)</f>
        <v>0.51</v>
      </c>
      <c r="M138" s="8">
        <f>VLOOKUP($A138,'Temprorary Data'!$A:$G,4,FALSE)</f>
        <v>0.28360000000000002</v>
      </c>
      <c r="N138" s="9">
        <f>VLOOKUP($A138,'Temprorary Data'!$A:$G,5,FALSE)</f>
        <v>1</v>
      </c>
      <c r="O138" s="9">
        <f>VLOOKUP($A138,'Temprorary Data'!$A:$G,6,FALSE)</f>
        <v>51</v>
      </c>
      <c r="P138" s="9">
        <f>VLOOKUP($A138,'Temprorary Data'!$A:$G,7,FALSE)</f>
        <v>52</v>
      </c>
      <c r="Q138" t="b">
        <f t="shared" si="18"/>
        <v>1</v>
      </c>
      <c r="R138" t="str">
        <f t="shared" si="19"/>
        <v>January</v>
      </c>
      <c r="S138" t="str">
        <f t="shared" si="20"/>
        <v>Thursday</v>
      </c>
      <c r="T138" t="str">
        <f t="shared" si="21"/>
        <v>Weekday</v>
      </c>
      <c r="U138" t="str">
        <f t="shared" si="22"/>
        <v>Spring</v>
      </c>
      <c r="V138" t="str">
        <f t="shared" si="23"/>
        <v>Mist</v>
      </c>
      <c r="W138" t="str">
        <f t="shared" si="24"/>
        <v>Off Peak</v>
      </c>
      <c r="X138" t="str">
        <f t="shared" si="25"/>
        <v>Low</v>
      </c>
      <c r="Y138" t="str">
        <f t="shared" si="26"/>
        <v>Medium</v>
      </c>
    </row>
    <row r="139" spans="1:25" ht="15.75" thickBot="1">
      <c r="A139" s="1">
        <v>138</v>
      </c>
      <c r="B139" s="2">
        <v>40549</v>
      </c>
      <c r="C139" s="1">
        <v>1</v>
      </c>
      <c r="D139" s="1">
        <v>0</v>
      </c>
      <c r="E139" s="1">
        <v>1</v>
      </c>
      <c r="F139" s="1">
        <v>23</v>
      </c>
      <c r="G139" s="3" t="b">
        <v>0</v>
      </c>
      <c r="H139" s="1">
        <v>4</v>
      </c>
      <c r="I139" s="1">
        <v>2</v>
      </c>
      <c r="J139" s="7">
        <v>0.2</v>
      </c>
      <c r="K139" s="8">
        <f>VLOOKUP($A139,'Temprorary Data'!$A:$G,2,FALSE)</f>
        <v>0.19700000000000001</v>
      </c>
      <c r="L139" s="8">
        <f>VLOOKUP($A139,'Temprorary Data'!$A:$G,3,FALSE)</f>
        <v>0.59</v>
      </c>
      <c r="M139" s="8">
        <f>VLOOKUP($A139,'Temprorary Data'!$A:$G,4,FALSE)</f>
        <v>0.19400000000000001</v>
      </c>
      <c r="N139" s="9">
        <f>VLOOKUP($A139,'Temprorary Data'!$A:$G,5,FALSE)</f>
        <v>4</v>
      </c>
      <c r="O139" s="9">
        <f>VLOOKUP($A139,'Temprorary Data'!$A:$G,6,FALSE)</f>
        <v>19</v>
      </c>
      <c r="P139" s="9">
        <f>VLOOKUP($A139,'Temprorary Data'!$A:$G,7,FALSE)</f>
        <v>23</v>
      </c>
      <c r="Q139" t="b">
        <f t="shared" si="18"/>
        <v>1</v>
      </c>
      <c r="R139" t="str">
        <f t="shared" si="19"/>
        <v>January</v>
      </c>
      <c r="S139" t="str">
        <f t="shared" si="20"/>
        <v>Thursday</v>
      </c>
      <c r="T139" t="str">
        <f t="shared" si="21"/>
        <v>Weekday</v>
      </c>
      <c r="U139" t="str">
        <f t="shared" si="22"/>
        <v>Spring</v>
      </c>
      <c r="V139" t="str">
        <f t="shared" si="23"/>
        <v>Mist</v>
      </c>
      <c r="W139" t="str">
        <f t="shared" si="24"/>
        <v>Off Peak</v>
      </c>
      <c r="X139" t="str">
        <f t="shared" si="25"/>
        <v>Low</v>
      </c>
      <c r="Y139" t="str">
        <f t="shared" si="26"/>
        <v>Medium</v>
      </c>
    </row>
    <row r="140" spans="1:25" ht="15.75" thickBot="1">
      <c r="A140" s="1">
        <v>139</v>
      </c>
      <c r="B140" s="2">
        <v>40550</v>
      </c>
      <c r="C140" s="1">
        <v>1</v>
      </c>
      <c r="D140" s="1">
        <v>0</v>
      </c>
      <c r="E140" s="1">
        <v>1</v>
      </c>
      <c r="F140" s="1">
        <v>0</v>
      </c>
      <c r="G140" s="3" t="b">
        <v>0</v>
      </c>
      <c r="H140" s="1">
        <v>5</v>
      </c>
      <c r="I140" s="1">
        <v>2</v>
      </c>
      <c r="J140" s="7">
        <v>0.2</v>
      </c>
      <c r="K140" s="8">
        <f>VLOOKUP($A140,'Temprorary Data'!$A:$G,2,FALSE)</f>
        <v>0.19700000000000001</v>
      </c>
      <c r="L140" s="8">
        <f>VLOOKUP($A140,'Temprorary Data'!$A:$G,3,FALSE)</f>
        <v>0.64</v>
      </c>
      <c r="M140" s="8">
        <f>VLOOKUP($A140,'Temprorary Data'!$A:$G,4,FALSE)</f>
        <v>0.19400000000000001</v>
      </c>
      <c r="N140" s="9">
        <f>VLOOKUP($A140,'Temprorary Data'!$A:$G,5,FALSE)</f>
        <v>4</v>
      </c>
      <c r="O140" s="9">
        <f>VLOOKUP($A140,'Temprorary Data'!$A:$G,6,FALSE)</f>
        <v>13</v>
      </c>
      <c r="P140" s="9">
        <f>VLOOKUP($A140,'Temprorary Data'!$A:$G,7,FALSE)</f>
        <v>17</v>
      </c>
      <c r="Q140" t="b">
        <f t="shared" si="18"/>
        <v>1</v>
      </c>
      <c r="R140" t="str">
        <f t="shared" si="19"/>
        <v>January</v>
      </c>
      <c r="S140" t="str">
        <f t="shared" si="20"/>
        <v>Friday</v>
      </c>
      <c r="T140" t="str">
        <f t="shared" si="21"/>
        <v>Weekday</v>
      </c>
      <c r="U140" t="str">
        <f t="shared" si="22"/>
        <v>Spring</v>
      </c>
      <c r="V140" t="str">
        <f t="shared" si="23"/>
        <v>Mist</v>
      </c>
      <c r="W140" t="str">
        <f t="shared" si="24"/>
        <v>Off Peak</v>
      </c>
      <c r="X140" t="str">
        <f t="shared" si="25"/>
        <v>Low</v>
      </c>
      <c r="Y140" t="str">
        <f t="shared" si="26"/>
        <v>Medium</v>
      </c>
    </row>
    <row r="141" spans="1:25" ht="15.75" thickBot="1">
      <c r="A141" s="1">
        <v>140</v>
      </c>
      <c r="B141" s="2">
        <v>40550</v>
      </c>
      <c r="C141" s="1">
        <v>1</v>
      </c>
      <c r="D141" s="1">
        <v>0</v>
      </c>
      <c r="E141" s="1">
        <v>1</v>
      </c>
      <c r="F141" s="1">
        <v>1</v>
      </c>
      <c r="G141" s="3" t="b">
        <v>0</v>
      </c>
      <c r="H141" s="1">
        <v>5</v>
      </c>
      <c r="I141" s="1">
        <v>2</v>
      </c>
      <c r="J141" s="7">
        <v>0.2</v>
      </c>
      <c r="K141" s="8">
        <f>VLOOKUP($A141,'Temprorary Data'!$A:$G,2,FALSE)</f>
        <v>0.19700000000000001</v>
      </c>
      <c r="L141" s="8">
        <f>VLOOKUP($A141,'Temprorary Data'!$A:$G,3,FALSE)</f>
        <v>0.69</v>
      </c>
      <c r="M141" s="8">
        <f>VLOOKUP($A141,'Temprorary Data'!$A:$G,4,FALSE)</f>
        <v>0.22389999999999999</v>
      </c>
      <c r="N141" s="9">
        <f>VLOOKUP($A141,'Temprorary Data'!$A:$G,5,FALSE)</f>
        <v>2</v>
      </c>
      <c r="O141" s="9">
        <f>VLOOKUP($A141,'Temprorary Data'!$A:$G,6,FALSE)</f>
        <v>5</v>
      </c>
      <c r="P141" s="9">
        <f>VLOOKUP($A141,'Temprorary Data'!$A:$G,7,FALSE)</f>
        <v>7</v>
      </c>
      <c r="Q141" t="b">
        <f t="shared" si="18"/>
        <v>1</v>
      </c>
      <c r="R141" t="str">
        <f t="shared" si="19"/>
        <v>January</v>
      </c>
      <c r="S141" t="str">
        <f t="shared" si="20"/>
        <v>Friday</v>
      </c>
      <c r="T141" t="str">
        <f t="shared" si="21"/>
        <v>Weekday</v>
      </c>
      <c r="U141" t="str">
        <f t="shared" si="22"/>
        <v>Spring</v>
      </c>
      <c r="V141" t="str">
        <f t="shared" si="23"/>
        <v>Mist</v>
      </c>
      <c r="W141" t="str">
        <f t="shared" si="24"/>
        <v>Off Peak</v>
      </c>
      <c r="X141" t="str">
        <f t="shared" si="25"/>
        <v>Low</v>
      </c>
      <c r="Y141" t="str">
        <f t="shared" si="26"/>
        <v>Medium</v>
      </c>
    </row>
    <row r="142" spans="1:25" ht="15.75" thickBot="1">
      <c r="A142" s="1">
        <v>141</v>
      </c>
      <c r="B142" s="2">
        <v>40550</v>
      </c>
      <c r="C142" s="1">
        <v>1</v>
      </c>
      <c r="D142" s="1">
        <v>0</v>
      </c>
      <c r="E142" s="1">
        <v>1</v>
      </c>
      <c r="F142" s="1">
        <v>2</v>
      </c>
      <c r="G142" s="3" t="b">
        <v>0</v>
      </c>
      <c r="H142" s="1">
        <v>5</v>
      </c>
      <c r="I142" s="1">
        <v>2</v>
      </c>
      <c r="J142" s="7">
        <v>0.2</v>
      </c>
      <c r="K142" s="8">
        <f>VLOOKUP($A142,'Temprorary Data'!$A:$G,2,FALSE)</f>
        <v>0.19700000000000001</v>
      </c>
      <c r="L142" s="8">
        <f>VLOOKUP($A142,'Temprorary Data'!$A:$G,3,FALSE)</f>
        <v>0.69</v>
      </c>
      <c r="M142" s="8">
        <f>VLOOKUP($A142,'Temprorary Data'!$A:$G,4,FALSE)</f>
        <v>0.22389999999999999</v>
      </c>
      <c r="N142" s="9">
        <f>VLOOKUP($A142,'Temprorary Data'!$A:$G,5,FALSE)</f>
        <v>0</v>
      </c>
      <c r="O142" s="9">
        <f>VLOOKUP($A142,'Temprorary Data'!$A:$G,6,FALSE)</f>
        <v>1</v>
      </c>
      <c r="P142" s="9">
        <f>VLOOKUP($A142,'Temprorary Data'!$A:$G,7,FALSE)</f>
        <v>1</v>
      </c>
      <c r="Q142" t="b">
        <f t="shared" si="18"/>
        <v>1</v>
      </c>
      <c r="R142" t="str">
        <f t="shared" si="19"/>
        <v>January</v>
      </c>
      <c r="S142" t="str">
        <f t="shared" si="20"/>
        <v>Friday</v>
      </c>
      <c r="T142" t="str">
        <f t="shared" si="21"/>
        <v>Weekday</v>
      </c>
      <c r="U142" t="str">
        <f t="shared" si="22"/>
        <v>Spring</v>
      </c>
      <c r="V142" t="str">
        <f t="shared" si="23"/>
        <v>Mist</v>
      </c>
      <c r="W142" t="str">
        <f t="shared" si="24"/>
        <v>Off Peak</v>
      </c>
      <c r="X142" t="str">
        <f t="shared" si="25"/>
        <v>Low</v>
      </c>
      <c r="Y142" t="str">
        <f t="shared" si="26"/>
        <v>Medium</v>
      </c>
    </row>
    <row r="143" spans="1:25" ht="15.75" thickBot="1">
      <c r="A143" s="1">
        <v>142</v>
      </c>
      <c r="B143" s="2">
        <v>40550</v>
      </c>
      <c r="C143" s="1">
        <v>1</v>
      </c>
      <c r="D143" s="1">
        <v>0</v>
      </c>
      <c r="E143" s="1">
        <v>1</v>
      </c>
      <c r="F143" s="1">
        <v>4</v>
      </c>
      <c r="G143" s="3" t="b">
        <v>0</v>
      </c>
      <c r="H143" s="1">
        <v>5</v>
      </c>
      <c r="I143" s="1">
        <v>2</v>
      </c>
      <c r="J143" s="7">
        <v>0.2</v>
      </c>
      <c r="K143" s="8">
        <f>VLOOKUP($A143,'Temprorary Data'!$A:$G,2,FALSE)</f>
        <v>0.21210000000000001</v>
      </c>
      <c r="L143" s="8">
        <f>VLOOKUP($A143,'Temprorary Data'!$A:$G,3,FALSE)</f>
        <v>0.69</v>
      </c>
      <c r="M143" s="8">
        <f>VLOOKUP($A143,'Temprorary Data'!$A:$G,4,FALSE)</f>
        <v>0.1343</v>
      </c>
      <c r="N143" s="9">
        <f>VLOOKUP($A143,'Temprorary Data'!$A:$G,5,FALSE)</f>
        <v>0</v>
      </c>
      <c r="O143" s="9">
        <f>VLOOKUP($A143,'Temprorary Data'!$A:$G,6,FALSE)</f>
        <v>1</v>
      </c>
      <c r="P143" s="9">
        <f>VLOOKUP($A143,'Temprorary Data'!$A:$G,7,FALSE)</f>
        <v>1</v>
      </c>
      <c r="Q143" t="b">
        <f t="shared" si="18"/>
        <v>1</v>
      </c>
      <c r="R143" t="str">
        <f t="shared" si="19"/>
        <v>January</v>
      </c>
      <c r="S143" t="str">
        <f t="shared" si="20"/>
        <v>Friday</v>
      </c>
      <c r="T143" t="str">
        <f t="shared" si="21"/>
        <v>Weekday</v>
      </c>
      <c r="U143" t="str">
        <f t="shared" si="22"/>
        <v>Spring</v>
      </c>
      <c r="V143" t="str">
        <f t="shared" si="23"/>
        <v>Mist</v>
      </c>
      <c r="W143" t="str">
        <f t="shared" si="24"/>
        <v>Off Peak</v>
      </c>
      <c r="X143" t="str">
        <f t="shared" si="25"/>
        <v>Low</v>
      </c>
      <c r="Y143" t="str">
        <f t="shared" si="26"/>
        <v>Medium</v>
      </c>
    </row>
    <row r="144" spans="1:25" ht="15.75" thickBot="1">
      <c r="A144" s="1">
        <v>143</v>
      </c>
      <c r="B144" s="2">
        <v>40550</v>
      </c>
      <c r="C144" s="1">
        <v>1</v>
      </c>
      <c r="D144" s="1">
        <v>0</v>
      </c>
      <c r="E144" s="1">
        <v>1</v>
      </c>
      <c r="F144" s="1">
        <v>5</v>
      </c>
      <c r="G144" s="3" t="b">
        <v>0</v>
      </c>
      <c r="H144" s="1">
        <v>5</v>
      </c>
      <c r="I144" s="1">
        <v>3</v>
      </c>
      <c r="J144" s="7">
        <v>0.22</v>
      </c>
      <c r="K144" s="8">
        <f>VLOOKUP($A144,'Temprorary Data'!$A:$G,2,FALSE)</f>
        <v>0.2727</v>
      </c>
      <c r="L144" s="8">
        <f>VLOOKUP($A144,'Temprorary Data'!$A:$G,3,FALSE)</f>
        <v>0.55000000000000004</v>
      </c>
      <c r="M144" s="8">
        <f>VLOOKUP($A144,'Temprorary Data'!$A:$G,4,FALSE)</f>
        <v>0</v>
      </c>
      <c r="N144" s="9">
        <f>VLOOKUP($A144,'Temprorary Data'!$A:$G,5,FALSE)</f>
        <v>0</v>
      </c>
      <c r="O144" s="9">
        <f>VLOOKUP($A144,'Temprorary Data'!$A:$G,6,FALSE)</f>
        <v>5</v>
      </c>
      <c r="P144" s="9">
        <f>VLOOKUP($A144,'Temprorary Data'!$A:$G,7,FALSE)</f>
        <v>5</v>
      </c>
      <c r="Q144" t="b">
        <f t="shared" si="18"/>
        <v>1</v>
      </c>
      <c r="R144" t="str">
        <f t="shared" si="19"/>
        <v>January</v>
      </c>
      <c r="S144" t="str">
        <f t="shared" si="20"/>
        <v>Friday</v>
      </c>
      <c r="T144" t="str">
        <f t="shared" si="21"/>
        <v>Weekday</v>
      </c>
      <c r="U144" t="str">
        <f t="shared" si="22"/>
        <v>Spring</v>
      </c>
      <c r="V144" t="str">
        <f t="shared" si="23"/>
        <v>Light Rain</v>
      </c>
      <c r="W144" t="str">
        <f t="shared" si="24"/>
        <v>Off Peak</v>
      </c>
      <c r="X144" t="str">
        <f t="shared" si="25"/>
        <v>Low</v>
      </c>
      <c r="Y144" t="str">
        <f t="shared" si="26"/>
        <v>Medium</v>
      </c>
    </row>
    <row r="145" spans="1:25" ht="15.75" thickBot="1">
      <c r="A145" s="1">
        <v>144</v>
      </c>
      <c r="B145" s="2">
        <v>40550</v>
      </c>
      <c r="C145" s="1">
        <v>1</v>
      </c>
      <c r="D145" s="1">
        <v>0</v>
      </c>
      <c r="E145" s="1">
        <v>1</v>
      </c>
      <c r="F145" s="1">
        <v>6</v>
      </c>
      <c r="G145" s="3" t="b">
        <v>0</v>
      </c>
      <c r="H145" s="1">
        <v>5</v>
      </c>
      <c r="I145" s="1">
        <v>2</v>
      </c>
      <c r="J145" s="7">
        <v>0.2</v>
      </c>
      <c r="K145" s="8">
        <f>VLOOKUP($A145,'Temprorary Data'!$A:$G,2,FALSE)</f>
        <v>0.2576</v>
      </c>
      <c r="L145" s="8">
        <f>VLOOKUP($A145,'Temprorary Data'!$A:$G,3,FALSE)</f>
        <v>0.69</v>
      </c>
      <c r="M145" s="8">
        <f>VLOOKUP($A145,'Temprorary Data'!$A:$G,4,FALSE)</f>
        <v>0</v>
      </c>
      <c r="N145" s="9">
        <f>VLOOKUP($A145,'Temprorary Data'!$A:$G,5,FALSE)</f>
        <v>8</v>
      </c>
      <c r="O145" s="9">
        <f>VLOOKUP($A145,'Temprorary Data'!$A:$G,6,FALSE)</f>
        <v>26</v>
      </c>
      <c r="P145" s="9">
        <f>VLOOKUP($A145,'Temprorary Data'!$A:$G,7,FALSE)</f>
        <v>34</v>
      </c>
      <c r="Q145" t="b">
        <f t="shared" si="18"/>
        <v>1</v>
      </c>
      <c r="R145" t="str">
        <f t="shared" si="19"/>
        <v>January</v>
      </c>
      <c r="S145" t="str">
        <f t="shared" si="20"/>
        <v>Friday</v>
      </c>
      <c r="T145" t="str">
        <f t="shared" si="21"/>
        <v>Weekday</v>
      </c>
      <c r="U145" t="str">
        <f t="shared" si="22"/>
        <v>Spring</v>
      </c>
      <c r="V145" t="str">
        <f t="shared" si="23"/>
        <v>Mist</v>
      </c>
      <c r="W145" t="str">
        <f t="shared" si="24"/>
        <v>Off Peak</v>
      </c>
      <c r="X145" t="str">
        <f t="shared" si="25"/>
        <v>Low</v>
      </c>
      <c r="Y145" t="str">
        <f t="shared" si="26"/>
        <v>Medium</v>
      </c>
    </row>
    <row r="146" spans="1:25" ht="15.75" thickBot="1">
      <c r="A146" s="1">
        <v>145</v>
      </c>
      <c r="B146" s="2">
        <v>40550</v>
      </c>
      <c r="C146" s="1">
        <v>1</v>
      </c>
      <c r="D146" s="1">
        <v>0</v>
      </c>
      <c r="E146" s="1">
        <v>1</v>
      </c>
      <c r="F146" s="1">
        <v>7</v>
      </c>
      <c r="G146" s="3" t="b">
        <v>0</v>
      </c>
      <c r="H146" s="1">
        <v>5</v>
      </c>
      <c r="I146" s="1">
        <v>1</v>
      </c>
      <c r="J146" s="7">
        <v>0.2</v>
      </c>
      <c r="K146" s="8">
        <f>VLOOKUP($A146,'Temprorary Data'!$A:$G,2,FALSE)</f>
        <v>0.21210000000000001</v>
      </c>
      <c r="L146" s="8">
        <f>VLOOKUP($A146,'Temprorary Data'!$A:$G,3,FALSE)</f>
        <v>0.69</v>
      </c>
      <c r="M146" s="8">
        <f>VLOOKUP($A146,'Temprorary Data'!$A:$G,4,FALSE)</f>
        <v>0.1343</v>
      </c>
      <c r="N146" s="9">
        <f>VLOOKUP($A146,'Temprorary Data'!$A:$G,5,FALSE)</f>
        <v>8</v>
      </c>
      <c r="O146" s="9">
        <f>VLOOKUP($A146,'Temprorary Data'!$A:$G,6,FALSE)</f>
        <v>76</v>
      </c>
      <c r="P146" s="9">
        <f>VLOOKUP($A146,'Temprorary Data'!$A:$G,7,FALSE)</f>
        <v>84</v>
      </c>
      <c r="Q146" t="b">
        <f t="shared" si="18"/>
        <v>1</v>
      </c>
      <c r="R146" t="str">
        <f t="shared" si="19"/>
        <v>January</v>
      </c>
      <c r="S146" t="str">
        <f t="shared" si="20"/>
        <v>Friday</v>
      </c>
      <c r="T146" t="str">
        <f t="shared" si="21"/>
        <v>Weekday</v>
      </c>
      <c r="U146" t="str">
        <f t="shared" si="22"/>
        <v>Spring</v>
      </c>
      <c r="V146" t="str">
        <f t="shared" si="23"/>
        <v>Clear</v>
      </c>
      <c r="W146" t="str">
        <f t="shared" si="24"/>
        <v>Morning Peak</v>
      </c>
      <c r="X146" t="str">
        <f t="shared" si="25"/>
        <v>Low</v>
      </c>
      <c r="Y146" t="str">
        <f t="shared" si="26"/>
        <v>Medium</v>
      </c>
    </row>
    <row r="147" spans="1:25" ht="15.75" thickBot="1">
      <c r="A147" s="1">
        <v>146</v>
      </c>
      <c r="B147" s="2">
        <v>40550</v>
      </c>
      <c r="C147" s="1">
        <v>1</v>
      </c>
      <c r="D147" s="1">
        <v>0</v>
      </c>
      <c r="E147" s="1">
        <v>1</v>
      </c>
      <c r="F147" s="1">
        <v>8</v>
      </c>
      <c r="G147" s="3" t="b">
        <v>0</v>
      </c>
      <c r="H147" s="1">
        <v>5</v>
      </c>
      <c r="I147" s="1">
        <v>1</v>
      </c>
      <c r="J147" s="7">
        <v>0.2</v>
      </c>
      <c r="K147" s="8">
        <f>VLOOKUP($A147,'Temprorary Data'!$A:$G,2,FALSE)</f>
        <v>0.19700000000000001</v>
      </c>
      <c r="L147" s="8">
        <f>VLOOKUP($A147,'Temprorary Data'!$A:$G,3,FALSE)</f>
        <v>0.51</v>
      </c>
      <c r="M147" s="8">
        <f>VLOOKUP($A147,'Temprorary Data'!$A:$G,4,FALSE)</f>
        <v>0.25369999999999998</v>
      </c>
      <c r="N147" s="9">
        <f>VLOOKUP($A147,'Temprorary Data'!$A:$G,5,FALSE)</f>
        <v>20</v>
      </c>
      <c r="O147" s="9">
        <f>VLOOKUP($A147,'Temprorary Data'!$A:$G,6,FALSE)</f>
        <v>190</v>
      </c>
      <c r="P147" s="9">
        <f>VLOOKUP($A147,'Temprorary Data'!$A:$G,7,FALSE)</f>
        <v>210</v>
      </c>
      <c r="Q147" t="b">
        <f t="shared" si="18"/>
        <v>1</v>
      </c>
      <c r="R147" t="str">
        <f t="shared" si="19"/>
        <v>January</v>
      </c>
      <c r="S147" t="str">
        <f t="shared" si="20"/>
        <v>Friday</v>
      </c>
      <c r="T147" t="str">
        <f t="shared" si="21"/>
        <v>Weekday</v>
      </c>
      <c r="U147" t="str">
        <f t="shared" si="22"/>
        <v>Spring</v>
      </c>
      <c r="V147" t="str">
        <f t="shared" si="23"/>
        <v>Clear</v>
      </c>
      <c r="W147" t="str">
        <f t="shared" si="24"/>
        <v>Morning Peak</v>
      </c>
      <c r="X147" t="str">
        <f t="shared" si="25"/>
        <v>Low</v>
      </c>
      <c r="Y147" t="str">
        <f t="shared" si="26"/>
        <v>Medium</v>
      </c>
    </row>
    <row r="148" spans="1:25" ht="15.75" thickBot="1">
      <c r="A148" s="1">
        <v>147</v>
      </c>
      <c r="B148" s="2">
        <v>40550</v>
      </c>
      <c r="C148" s="1">
        <v>1</v>
      </c>
      <c r="D148" s="1">
        <v>0</v>
      </c>
      <c r="E148" s="1">
        <v>1</v>
      </c>
      <c r="F148" s="1">
        <v>9</v>
      </c>
      <c r="G148" s="3" t="b">
        <v>0</v>
      </c>
      <c r="H148" s="1">
        <v>5</v>
      </c>
      <c r="I148" s="1">
        <v>1</v>
      </c>
      <c r="J148" s="7">
        <v>0.2</v>
      </c>
      <c r="K148" s="8">
        <f>VLOOKUP($A148,'Temprorary Data'!$A:$G,2,FALSE)</f>
        <v>0.18179999999999999</v>
      </c>
      <c r="L148" s="8">
        <f>VLOOKUP($A148,'Temprorary Data'!$A:$G,3,FALSE)</f>
        <v>0.47</v>
      </c>
      <c r="M148" s="8">
        <f>VLOOKUP($A148,'Temprorary Data'!$A:$G,4,FALSE)</f>
        <v>0.29849999999999999</v>
      </c>
      <c r="N148" s="9">
        <f>VLOOKUP($A148,'Temprorary Data'!$A:$G,5,FALSE)</f>
        <v>9</v>
      </c>
      <c r="O148" s="9">
        <f>VLOOKUP($A148,'Temprorary Data'!$A:$G,6,FALSE)</f>
        <v>125</v>
      </c>
      <c r="P148" s="9">
        <f>VLOOKUP($A148,'Temprorary Data'!$A:$G,7,FALSE)</f>
        <v>134</v>
      </c>
      <c r="Q148" t="b">
        <f t="shared" si="18"/>
        <v>1</v>
      </c>
      <c r="R148" t="str">
        <f t="shared" si="19"/>
        <v>January</v>
      </c>
      <c r="S148" t="str">
        <f t="shared" si="20"/>
        <v>Friday</v>
      </c>
      <c r="T148" t="str">
        <f t="shared" si="21"/>
        <v>Weekday</v>
      </c>
      <c r="U148" t="str">
        <f t="shared" si="22"/>
        <v>Spring</v>
      </c>
      <c r="V148" t="str">
        <f t="shared" si="23"/>
        <v>Clear</v>
      </c>
      <c r="W148" t="str">
        <f t="shared" si="24"/>
        <v>Morning Peak</v>
      </c>
      <c r="X148" t="str">
        <f t="shared" si="25"/>
        <v>Low</v>
      </c>
      <c r="Y148" t="str">
        <f t="shared" si="26"/>
        <v>Medium</v>
      </c>
    </row>
    <row r="149" spans="1:25" ht="15.75" thickBot="1">
      <c r="A149" s="1">
        <v>148</v>
      </c>
      <c r="B149" s="2">
        <v>40550</v>
      </c>
      <c r="C149" s="1">
        <v>1</v>
      </c>
      <c r="D149" s="1">
        <v>0</v>
      </c>
      <c r="E149" s="1">
        <v>1</v>
      </c>
      <c r="F149" s="1">
        <v>10</v>
      </c>
      <c r="G149" s="3" t="b">
        <v>0</v>
      </c>
      <c r="H149" s="1">
        <v>5</v>
      </c>
      <c r="I149" s="1">
        <v>1</v>
      </c>
      <c r="J149" s="7">
        <v>0.22</v>
      </c>
      <c r="K149" s="8">
        <f>VLOOKUP($A149,'Temprorary Data'!$A:$G,2,FALSE)</f>
        <v>0.19700000000000001</v>
      </c>
      <c r="L149" s="8">
        <f>VLOOKUP($A149,'Temprorary Data'!$A:$G,3,FALSE)</f>
        <v>0.37</v>
      </c>
      <c r="M149" s="8">
        <f>VLOOKUP($A149,'Temprorary Data'!$A:$G,4,FALSE)</f>
        <v>0.32840000000000003</v>
      </c>
      <c r="N149" s="9">
        <f>VLOOKUP($A149,'Temprorary Data'!$A:$G,5,FALSE)</f>
        <v>16</v>
      </c>
      <c r="O149" s="9">
        <f>VLOOKUP($A149,'Temprorary Data'!$A:$G,6,FALSE)</f>
        <v>47</v>
      </c>
      <c r="P149" s="9">
        <f>VLOOKUP($A149,'Temprorary Data'!$A:$G,7,FALSE)</f>
        <v>63</v>
      </c>
      <c r="Q149" t="b">
        <f t="shared" si="18"/>
        <v>1</v>
      </c>
      <c r="R149" t="str">
        <f t="shared" si="19"/>
        <v>January</v>
      </c>
      <c r="S149" t="str">
        <f t="shared" si="20"/>
        <v>Friday</v>
      </c>
      <c r="T149" t="str">
        <f t="shared" si="21"/>
        <v>Weekday</v>
      </c>
      <c r="U149" t="str">
        <f t="shared" si="22"/>
        <v>Spring</v>
      </c>
      <c r="V149" t="str">
        <f t="shared" si="23"/>
        <v>Clear</v>
      </c>
      <c r="W149" t="str">
        <f t="shared" si="24"/>
        <v>Off Peak</v>
      </c>
      <c r="X149" t="str">
        <f t="shared" si="25"/>
        <v>Low</v>
      </c>
      <c r="Y149" t="str">
        <f t="shared" si="26"/>
        <v>Low</v>
      </c>
    </row>
    <row r="150" spans="1:25" ht="15.75" thickBot="1">
      <c r="A150" s="1">
        <v>149</v>
      </c>
      <c r="B150" s="2">
        <v>40550</v>
      </c>
      <c r="C150" s="1">
        <v>1</v>
      </c>
      <c r="D150" s="1">
        <v>0</v>
      </c>
      <c r="E150" s="1">
        <v>1</v>
      </c>
      <c r="F150" s="1">
        <v>11</v>
      </c>
      <c r="G150" s="3" t="b">
        <v>0</v>
      </c>
      <c r="H150" s="1">
        <v>5</v>
      </c>
      <c r="I150" s="1">
        <v>2</v>
      </c>
      <c r="J150" s="7">
        <v>0.2</v>
      </c>
      <c r="K150" s="8">
        <f>VLOOKUP($A150,'Temprorary Data'!$A:$G,2,FALSE)</f>
        <v>0.19700000000000001</v>
      </c>
      <c r="L150" s="8">
        <f>VLOOKUP($A150,'Temprorary Data'!$A:$G,3,FALSE)</f>
        <v>0.4</v>
      </c>
      <c r="M150" s="8">
        <f>VLOOKUP($A150,'Temprorary Data'!$A:$G,4,FALSE)</f>
        <v>0.22389999999999999</v>
      </c>
      <c r="N150" s="9">
        <f>VLOOKUP($A150,'Temprorary Data'!$A:$G,5,FALSE)</f>
        <v>19</v>
      </c>
      <c r="O150" s="9">
        <f>VLOOKUP($A150,'Temprorary Data'!$A:$G,6,FALSE)</f>
        <v>48</v>
      </c>
      <c r="P150" s="9">
        <f>VLOOKUP($A150,'Temprorary Data'!$A:$G,7,FALSE)</f>
        <v>67</v>
      </c>
      <c r="Q150" t="b">
        <f t="shared" si="18"/>
        <v>1</v>
      </c>
      <c r="R150" t="str">
        <f t="shared" si="19"/>
        <v>January</v>
      </c>
      <c r="S150" t="str">
        <f t="shared" si="20"/>
        <v>Friday</v>
      </c>
      <c r="T150" t="str">
        <f t="shared" si="21"/>
        <v>Weekday</v>
      </c>
      <c r="U150" t="str">
        <f t="shared" si="22"/>
        <v>Spring</v>
      </c>
      <c r="V150" t="str">
        <f t="shared" si="23"/>
        <v>Mist</v>
      </c>
      <c r="W150" t="str">
        <f t="shared" si="24"/>
        <v>Off Peak</v>
      </c>
      <c r="X150" t="str">
        <f t="shared" si="25"/>
        <v>Low</v>
      </c>
      <c r="Y150" t="str">
        <f t="shared" si="26"/>
        <v>Medium</v>
      </c>
    </row>
    <row r="151" spans="1:25" ht="15.75" thickBot="1">
      <c r="A151" s="1">
        <v>150</v>
      </c>
      <c r="B151" s="2">
        <v>40550</v>
      </c>
      <c r="C151" s="1">
        <v>1</v>
      </c>
      <c r="D151" s="1">
        <v>0</v>
      </c>
      <c r="E151" s="1">
        <v>1</v>
      </c>
      <c r="F151" s="1">
        <v>12</v>
      </c>
      <c r="G151" s="3" t="b">
        <v>0</v>
      </c>
      <c r="H151" s="1">
        <v>5</v>
      </c>
      <c r="I151" s="1">
        <v>2</v>
      </c>
      <c r="J151" s="7">
        <v>0.2</v>
      </c>
      <c r="K151" s="8">
        <f>VLOOKUP($A151,'Temprorary Data'!$A:$G,2,FALSE)</f>
        <v>0.19700000000000001</v>
      </c>
      <c r="L151" s="8">
        <f>VLOOKUP($A151,'Temprorary Data'!$A:$G,3,FALSE)</f>
        <v>0.37</v>
      </c>
      <c r="M151" s="8">
        <f>VLOOKUP($A151,'Temprorary Data'!$A:$G,4,FALSE)</f>
        <v>0.25369999999999998</v>
      </c>
      <c r="N151" s="9">
        <f>VLOOKUP($A151,'Temprorary Data'!$A:$G,5,FALSE)</f>
        <v>9</v>
      </c>
      <c r="O151" s="9">
        <f>VLOOKUP($A151,'Temprorary Data'!$A:$G,6,FALSE)</f>
        <v>50</v>
      </c>
      <c r="P151" s="9">
        <f>VLOOKUP($A151,'Temprorary Data'!$A:$G,7,FALSE)</f>
        <v>59</v>
      </c>
      <c r="Q151" t="b">
        <f t="shared" si="18"/>
        <v>1</v>
      </c>
      <c r="R151" t="str">
        <f t="shared" si="19"/>
        <v>January</v>
      </c>
      <c r="S151" t="str">
        <f t="shared" si="20"/>
        <v>Friday</v>
      </c>
      <c r="T151" t="str">
        <f t="shared" si="21"/>
        <v>Weekday</v>
      </c>
      <c r="U151" t="str">
        <f t="shared" si="22"/>
        <v>Spring</v>
      </c>
      <c r="V151" t="str">
        <f t="shared" si="23"/>
        <v>Mist</v>
      </c>
      <c r="W151" t="str">
        <f t="shared" si="24"/>
        <v>Off Peak</v>
      </c>
      <c r="X151" t="str">
        <f t="shared" si="25"/>
        <v>Low</v>
      </c>
      <c r="Y151" t="str">
        <f t="shared" si="26"/>
        <v>Low</v>
      </c>
    </row>
    <row r="152" spans="1:25" ht="15.75" thickBot="1">
      <c r="A152" s="1">
        <v>151</v>
      </c>
      <c r="B152" s="2">
        <v>40550</v>
      </c>
      <c r="C152" s="1">
        <v>1</v>
      </c>
      <c r="D152" s="1">
        <v>0</v>
      </c>
      <c r="E152" s="1">
        <v>1</v>
      </c>
      <c r="F152" s="1">
        <v>13</v>
      </c>
      <c r="G152" s="3" t="b">
        <v>0</v>
      </c>
      <c r="H152" s="1">
        <v>5</v>
      </c>
      <c r="I152" s="1">
        <v>2</v>
      </c>
      <c r="J152" s="7">
        <v>0.2</v>
      </c>
      <c r="K152" s="8">
        <f>VLOOKUP($A152,'Temprorary Data'!$A:$G,2,FALSE)</f>
        <v>0.18179999999999999</v>
      </c>
      <c r="L152" s="8">
        <f>VLOOKUP($A152,'Temprorary Data'!$A:$G,3,FALSE)</f>
        <v>0.37</v>
      </c>
      <c r="M152" s="8">
        <f>VLOOKUP($A152,'Temprorary Data'!$A:$G,4,FALSE)</f>
        <v>0.28360000000000002</v>
      </c>
      <c r="N152" s="9">
        <f>VLOOKUP($A152,'Temprorary Data'!$A:$G,5,FALSE)</f>
        <v>9</v>
      </c>
      <c r="O152" s="9">
        <f>VLOOKUP($A152,'Temprorary Data'!$A:$G,6,FALSE)</f>
        <v>64</v>
      </c>
      <c r="P152" s="9">
        <f>VLOOKUP($A152,'Temprorary Data'!$A:$G,7,FALSE)</f>
        <v>73</v>
      </c>
      <c r="Q152" t="b">
        <f t="shared" si="18"/>
        <v>1</v>
      </c>
      <c r="R152" t="str">
        <f t="shared" si="19"/>
        <v>January</v>
      </c>
      <c r="S152" t="str">
        <f t="shared" si="20"/>
        <v>Friday</v>
      </c>
      <c r="T152" t="str">
        <f t="shared" si="21"/>
        <v>Weekday</v>
      </c>
      <c r="U152" t="str">
        <f t="shared" si="22"/>
        <v>Spring</v>
      </c>
      <c r="V152" t="str">
        <f t="shared" si="23"/>
        <v>Mist</v>
      </c>
      <c r="W152" t="str">
        <f t="shared" si="24"/>
        <v>Off Peak</v>
      </c>
      <c r="X152" t="str">
        <f t="shared" si="25"/>
        <v>Low</v>
      </c>
      <c r="Y152" t="str">
        <f t="shared" si="26"/>
        <v>Low</v>
      </c>
    </row>
    <row r="153" spans="1:25" ht="15.75" thickBot="1">
      <c r="A153" s="1">
        <v>152</v>
      </c>
      <c r="B153" s="2">
        <v>40550</v>
      </c>
      <c r="C153" s="1">
        <v>1</v>
      </c>
      <c r="D153" s="1">
        <v>0</v>
      </c>
      <c r="E153" s="1">
        <v>1</v>
      </c>
      <c r="F153" s="1">
        <v>14</v>
      </c>
      <c r="G153" s="3" t="b">
        <v>0</v>
      </c>
      <c r="H153" s="1">
        <v>5</v>
      </c>
      <c r="I153" s="1">
        <v>2</v>
      </c>
      <c r="J153" s="7">
        <v>0.2</v>
      </c>
      <c r="K153" s="8">
        <f>VLOOKUP($A153,'Temprorary Data'!$A:$G,2,FALSE)</f>
        <v>0.19700000000000001</v>
      </c>
      <c r="L153" s="8">
        <f>VLOOKUP($A153,'Temprorary Data'!$A:$G,3,FALSE)</f>
        <v>0.4</v>
      </c>
      <c r="M153" s="8">
        <f>VLOOKUP($A153,'Temprorary Data'!$A:$G,4,FALSE)</f>
        <v>0.25369999999999998</v>
      </c>
      <c r="N153" s="9">
        <f>VLOOKUP($A153,'Temprorary Data'!$A:$G,5,FALSE)</f>
        <v>7</v>
      </c>
      <c r="O153" s="9">
        <f>VLOOKUP($A153,'Temprorary Data'!$A:$G,6,FALSE)</f>
        <v>43</v>
      </c>
      <c r="P153" s="9">
        <f>VLOOKUP($A153,'Temprorary Data'!$A:$G,7,FALSE)</f>
        <v>50</v>
      </c>
      <c r="Q153" t="b">
        <f t="shared" si="18"/>
        <v>1</v>
      </c>
      <c r="R153" t="str">
        <f t="shared" si="19"/>
        <v>January</v>
      </c>
      <c r="S153" t="str">
        <f t="shared" si="20"/>
        <v>Friday</v>
      </c>
      <c r="T153" t="str">
        <f t="shared" si="21"/>
        <v>Weekday</v>
      </c>
      <c r="U153" t="str">
        <f t="shared" si="22"/>
        <v>Spring</v>
      </c>
      <c r="V153" t="str">
        <f t="shared" si="23"/>
        <v>Mist</v>
      </c>
      <c r="W153" t="str">
        <f t="shared" si="24"/>
        <v>Off Peak</v>
      </c>
      <c r="X153" t="str">
        <f t="shared" si="25"/>
        <v>Low</v>
      </c>
      <c r="Y153" t="str">
        <f t="shared" si="26"/>
        <v>Medium</v>
      </c>
    </row>
    <row r="154" spans="1:25" ht="15.75" thickBot="1">
      <c r="A154" s="1">
        <v>153</v>
      </c>
      <c r="B154" s="2">
        <v>40550</v>
      </c>
      <c r="C154" s="1">
        <v>1</v>
      </c>
      <c r="D154" s="1">
        <v>0</v>
      </c>
      <c r="E154" s="1">
        <v>1</v>
      </c>
      <c r="F154" s="1">
        <v>15</v>
      </c>
      <c r="G154" s="3" t="b">
        <v>0</v>
      </c>
      <c r="H154" s="1">
        <v>5</v>
      </c>
      <c r="I154" s="1">
        <v>2</v>
      </c>
      <c r="J154" s="7">
        <v>0.2</v>
      </c>
      <c r="K154" s="8">
        <f>VLOOKUP($A154,'Temprorary Data'!$A:$G,2,FALSE)</f>
        <v>0.21210000000000001</v>
      </c>
      <c r="L154" s="8">
        <f>VLOOKUP($A154,'Temprorary Data'!$A:$G,3,FALSE)</f>
        <v>0.37</v>
      </c>
      <c r="M154" s="8">
        <f>VLOOKUP($A154,'Temprorary Data'!$A:$G,4,FALSE)</f>
        <v>0.16420000000000001</v>
      </c>
      <c r="N154" s="9">
        <f>VLOOKUP($A154,'Temprorary Data'!$A:$G,5,FALSE)</f>
        <v>9</v>
      </c>
      <c r="O154" s="9">
        <f>VLOOKUP($A154,'Temprorary Data'!$A:$G,6,FALSE)</f>
        <v>63</v>
      </c>
      <c r="P154" s="9">
        <f>VLOOKUP($A154,'Temprorary Data'!$A:$G,7,FALSE)</f>
        <v>72</v>
      </c>
      <c r="Q154" t="b">
        <f t="shared" si="18"/>
        <v>1</v>
      </c>
      <c r="R154" t="str">
        <f t="shared" si="19"/>
        <v>January</v>
      </c>
      <c r="S154" t="str">
        <f t="shared" si="20"/>
        <v>Friday</v>
      </c>
      <c r="T154" t="str">
        <f t="shared" si="21"/>
        <v>Weekday</v>
      </c>
      <c r="U154" t="str">
        <f t="shared" si="22"/>
        <v>Spring</v>
      </c>
      <c r="V154" t="str">
        <f t="shared" si="23"/>
        <v>Mist</v>
      </c>
      <c r="W154" t="str">
        <f t="shared" si="24"/>
        <v>Off Peak</v>
      </c>
      <c r="X154" t="str">
        <f t="shared" si="25"/>
        <v>Low</v>
      </c>
      <c r="Y154" t="str">
        <f t="shared" si="26"/>
        <v>Low</v>
      </c>
    </row>
    <row r="155" spans="1:25" ht="15.75" thickBot="1">
      <c r="A155" s="1">
        <v>154</v>
      </c>
      <c r="B155" s="2">
        <v>40550</v>
      </c>
      <c r="C155" s="1">
        <v>1</v>
      </c>
      <c r="D155" s="1">
        <v>0</v>
      </c>
      <c r="E155" s="1">
        <v>1</v>
      </c>
      <c r="F155" s="1">
        <v>16</v>
      </c>
      <c r="G155" s="3" t="b">
        <v>0</v>
      </c>
      <c r="H155" s="1">
        <v>5</v>
      </c>
      <c r="I155" s="1">
        <v>2</v>
      </c>
      <c r="J155" s="7">
        <v>0.2</v>
      </c>
      <c r="K155" s="8">
        <f>VLOOKUP($A155,'Temprorary Data'!$A:$G,2,FALSE)</f>
        <v>0.21210000000000001</v>
      </c>
      <c r="L155" s="8">
        <f>VLOOKUP($A155,'Temprorary Data'!$A:$G,3,FALSE)</f>
        <v>0.37</v>
      </c>
      <c r="M155" s="8">
        <f>VLOOKUP($A155,'Temprorary Data'!$A:$G,4,FALSE)</f>
        <v>0.16420000000000001</v>
      </c>
      <c r="N155" s="9">
        <f>VLOOKUP($A155,'Temprorary Data'!$A:$G,5,FALSE)</f>
        <v>5</v>
      </c>
      <c r="O155" s="9">
        <f>VLOOKUP($A155,'Temprorary Data'!$A:$G,6,FALSE)</f>
        <v>82</v>
      </c>
      <c r="P155" s="9">
        <f>VLOOKUP($A155,'Temprorary Data'!$A:$G,7,FALSE)</f>
        <v>87</v>
      </c>
      <c r="Q155" t="b">
        <f t="shared" si="18"/>
        <v>1</v>
      </c>
      <c r="R155" t="str">
        <f t="shared" si="19"/>
        <v>January</v>
      </c>
      <c r="S155" t="str">
        <f t="shared" si="20"/>
        <v>Friday</v>
      </c>
      <c r="T155" t="str">
        <f t="shared" si="21"/>
        <v>Weekday</v>
      </c>
      <c r="U155" t="str">
        <f t="shared" si="22"/>
        <v>Spring</v>
      </c>
      <c r="V155" t="str">
        <f t="shared" si="23"/>
        <v>Mist</v>
      </c>
      <c r="W155" t="str">
        <f t="shared" si="24"/>
        <v>Off Peak</v>
      </c>
      <c r="X155" t="str">
        <f t="shared" si="25"/>
        <v>Low</v>
      </c>
      <c r="Y155" t="str">
        <f t="shared" si="26"/>
        <v>Low</v>
      </c>
    </row>
    <row r="156" spans="1:25" ht="15.75" thickBot="1">
      <c r="A156" s="1">
        <v>155</v>
      </c>
      <c r="B156" s="2">
        <v>40550</v>
      </c>
      <c r="C156" s="1">
        <v>1</v>
      </c>
      <c r="D156" s="1">
        <v>0</v>
      </c>
      <c r="E156" s="1">
        <v>1</v>
      </c>
      <c r="F156" s="1">
        <v>17</v>
      </c>
      <c r="G156" s="3" t="b">
        <v>0</v>
      </c>
      <c r="H156" s="1">
        <v>5</v>
      </c>
      <c r="I156" s="1">
        <v>2</v>
      </c>
      <c r="J156" s="7">
        <v>0.2</v>
      </c>
      <c r="K156" s="8">
        <f>VLOOKUP($A156,'Temprorary Data'!$A:$G,2,FALSE)</f>
        <v>0.2576</v>
      </c>
      <c r="L156" s="8">
        <f>VLOOKUP($A156,'Temprorary Data'!$A:$G,3,FALSE)</f>
        <v>0.37</v>
      </c>
      <c r="M156" s="8">
        <f>VLOOKUP($A156,'Temprorary Data'!$A:$G,4,FALSE)</f>
        <v>0</v>
      </c>
      <c r="N156" s="9">
        <f>VLOOKUP($A156,'Temprorary Data'!$A:$G,5,FALSE)</f>
        <v>9</v>
      </c>
      <c r="O156" s="9">
        <f>VLOOKUP($A156,'Temprorary Data'!$A:$G,6,FALSE)</f>
        <v>178</v>
      </c>
      <c r="P156" s="9">
        <f>VLOOKUP($A156,'Temprorary Data'!$A:$G,7,FALSE)</f>
        <v>187</v>
      </c>
      <c r="Q156" t="b">
        <f t="shared" si="18"/>
        <v>1</v>
      </c>
      <c r="R156" t="str">
        <f t="shared" si="19"/>
        <v>January</v>
      </c>
      <c r="S156" t="str">
        <f t="shared" si="20"/>
        <v>Friday</v>
      </c>
      <c r="T156" t="str">
        <f t="shared" si="21"/>
        <v>Weekday</v>
      </c>
      <c r="U156" t="str">
        <f t="shared" si="22"/>
        <v>Spring</v>
      </c>
      <c r="V156" t="str">
        <f t="shared" si="23"/>
        <v>Mist</v>
      </c>
      <c r="W156" t="str">
        <f t="shared" si="24"/>
        <v>Evening Peak</v>
      </c>
      <c r="X156" t="str">
        <f t="shared" si="25"/>
        <v>Low</v>
      </c>
      <c r="Y156" t="str">
        <f t="shared" si="26"/>
        <v>Low</v>
      </c>
    </row>
    <row r="157" spans="1:25" ht="15.75" thickBot="1">
      <c r="A157" s="1">
        <v>156</v>
      </c>
      <c r="B157" s="2">
        <v>40550</v>
      </c>
      <c r="C157" s="1">
        <v>1</v>
      </c>
      <c r="D157" s="1">
        <v>0</v>
      </c>
      <c r="E157" s="1">
        <v>1</v>
      </c>
      <c r="F157" s="1">
        <v>18</v>
      </c>
      <c r="G157" s="3" t="b">
        <v>0</v>
      </c>
      <c r="H157" s="1">
        <v>5</v>
      </c>
      <c r="I157" s="1">
        <v>1</v>
      </c>
      <c r="J157" s="7">
        <v>0.2</v>
      </c>
      <c r="K157" s="8">
        <f>VLOOKUP($A157,'Temprorary Data'!$A:$G,2,FALSE)</f>
        <v>0.2273</v>
      </c>
      <c r="L157" s="8">
        <f>VLOOKUP($A157,'Temprorary Data'!$A:$G,3,FALSE)</f>
        <v>0.4</v>
      </c>
      <c r="M157" s="8">
        <f>VLOOKUP($A157,'Temprorary Data'!$A:$G,4,FALSE)</f>
        <v>8.9599999999999999E-2</v>
      </c>
      <c r="N157" s="9">
        <f>VLOOKUP($A157,'Temprorary Data'!$A:$G,5,FALSE)</f>
        <v>7</v>
      </c>
      <c r="O157" s="9">
        <f>VLOOKUP($A157,'Temprorary Data'!$A:$G,6,FALSE)</f>
        <v>116</v>
      </c>
      <c r="P157" s="9">
        <f>VLOOKUP($A157,'Temprorary Data'!$A:$G,7,FALSE)</f>
        <v>123</v>
      </c>
      <c r="Q157" t="b">
        <f t="shared" si="18"/>
        <v>1</v>
      </c>
      <c r="R157" t="str">
        <f t="shared" si="19"/>
        <v>January</v>
      </c>
      <c r="S157" t="str">
        <f t="shared" si="20"/>
        <v>Friday</v>
      </c>
      <c r="T157" t="str">
        <f t="shared" si="21"/>
        <v>Weekday</v>
      </c>
      <c r="U157" t="str">
        <f t="shared" si="22"/>
        <v>Spring</v>
      </c>
      <c r="V157" t="str">
        <f t="shared" si="23"/>
        <v>Clear</v>
      </c>
      <c r="W157" t="str">
        <f t="shared" si="24"/>
        <v>Evening Peak</v>
      </c>
      <c r="X157" t="str">
        <f t="shared" si="25"/>
        <v>Low</v>
      </c>
      <c r="Y157" t="str">
        <f t="shared" si="26"/>
        <v>Medium</v>
      </c>
    </row>
    <row r="158" spans="1:25" ht="15.75" thickBot="1">
      <c r="A158" s="1">
        <v>157</v>
      </c>
      <c r="B158" s="2">
        <v>40550</v>
      </c>
      <c r="C158" s="1">
        <v>1</v>
      </c>
      <c r="D158" s="1">
        <v>0</v>
      </c>
      <c r="E158" s="1">
        <v>1</v>
      </c>
      <c r="F158" s="1">
        <v>19</v>
      </c>
      <c r="G158" s="3" t="b">
        <v>0</v>
      </c>
      <c r="H158" s="1">
        <v>5</v>
      </c>
      <c r="I158" s="1">
        <v>1</v>
      </c>
      <c r="J158" s="7">
        <v>0.16</v>
      </c>
      <c r="K158" s="8">
        <f>VLOOKUP($A158,'Temprorary Data'!$A:$G,2,FALSE)</f>
        <v>0.19700000000000001</v>
      </c>
      <c r="L158" s="8">
        <f>VLOOKUP($A158,'Temprorary Data'!$A:$G,3,FALSE)</f>
        <v>0.55000000000000004</v>
      </c>
      <c r="M158" s="8">
        <f>VLOOKUP($A158,'Temprorary Data'!$A:$G,4,FALSE)</f>
        <v>8.9599999999999999E-2</v>
      </c>
      <c r="N158" s="9">
        <f>VLOOKUP($A158,'Temprorary Data'!$A:$G,5,FALSE)</f>
        <v>3</v>
      </c>
      <c r="O158" s="9">
        <f>VLOOKUP($A158,'Temprorary Data'!$A:$G,6,FALSE)</f>
        <v>92</v>
      </c>
      <c r="P158" s="9">
        <f>VLOOKUP($A158,'Temprorary Data'!$A:$G,7,FALSE)</f>
        <v>95</v>
      </c>
      <c r="Q158" t="b">
        <f t="shared" si="18"/>
        <v>1</v>
      </c>
      <c r="R158" t="str">
        <f t="shared" si="19"/>
        <v>January</v>
      </c>
      <c r="S158" t="str">
        <f t="shared" si="20"/>
        <v>Friday</v>
      </c>
      <c r="T158" t="str">
        <f t="shared" si="21"/>
        <v>Weekday</v>
      </c>
      <c r="U158" t="str">
        <f t="shared" si="22"/>
        <v>Spring</v>
      </c>
      <c r="V158" t="str">
        <f t="shared" si="23"/>
        <v>Clear</v>
      </c>
      <c r="W158" t="str">
        <f t="shared" si="24"/>
        <v>Evening Peak</v>
      </c>
      <c r="X158" t="str">
        <f t="shared" si="25"/>
        <v>Low</v>
      </c>
      <c r="Y158" t="str">
        <f t="shared" si="26"/>
        <v>Medium</v>
      </c>
    </row>
    <row r="159" spans="1:25" ht="15.75" thickBot="1">
      <c r="A159" s="1">
        <v>158</v>
      </c>
      <c r="B159" s="2">
        <v>40550</v>
      </c>
      <c r="C159" s="1">
        <v>1</v>
      </c>
      <c r="D159" s="1">
        <v>0</v>
      </c>
      <c r="E159" s="1">
        <v>1</v>
      </c>
      <c r="F159" s="1">
        <v>20</v>
      </c>
      <c r="G159" s="3" t="b">
        <v>0</v>
      </c>
      <c r="H159" s="1">
        <v>5</v>
      </c>
      <c r="I159" s="1">
        <v>1</v>
      </c>
      <c r="J159" s="7">
        <v>0.18</v>
      </c>
      <c r="K159" s="8">
        <f>VLOOKUP($A159,'Temprorary Data'!$A:$G,2,FALSE)</f>
        <v>0.21210000000000001</v>
      </c>
      <c r="L159" s="8">
        <f>VLOOKUP($A159,'Temprorary Data'!$A:$G,3,FALSE)</f>
        <v>0.47</v>
      </c>
      <c r="M159" s="8">
        <f>VLOOKUP($A159,'Temprorary Data'!$A:$G,4,FALSE)</f>
        <v>0.1045</v>
      </c>
      <c r="N159" s="9">
        <f>VLOOKUP($A159,'Temprorary Data'!$A:$G,5,FALSE)</f>
        <v>1</v>
      </c>
      <c r="O159" s="9">
        <f>VLOOKUP($A159,'Temprorary Data'!$A:$G,6,FALSE)</f>
        <v>50</v>
      </c>
      <c r="P159" s="9">
        <f>VLOOKUP($A159,'Temprorary Data'!$A:$G,7,FALSE)</f>
        <v>51</v>
      </c>
      <c r="Q159" t="b">
        <f t="shared" si="18"/>
        <v>1</v>
      </c>
      <c r="R159" t="str">
        <f t="shared" si="19"/>
        <v>January</v>
      </c>
      <c r="S159" t="str">
        <f t="shared" si="20"/>
        <v>Friday</v>
      </c>
      <c r="T159" t="str">
        <f t="shared" si="21"/>
        <v>Weekday</v>
      </c>
      <c r="U159" t="str">
        <f t="shared" si="22"/>
        <v>Spring</v>
      </c>
      <c r="V159" t="str">
        <f t="shared" si="23"/>
        <v>Clear</v>
      </c>
      <c r="W159" t="str">
        <f t="shared" si="24"/>
        <v>Evening Peak</v>
      </c>
      <c r="X159" t="str">
        <f t="shared" si="25"/>
        <v>Low</v>
      </c>
      <c r="Y159" t="str">
        <f t="shared" si="26"/>
        <v>Medium</v>
      </c>
    </row>
    <row r="160" spans="1:25" ht="15.75" thickBot="1">
      <c r="A160" s="1">
        <v>159</v>
      </c>
      <c r="B160" s="2">
        <v>40550</v>
      </c>
      <c r="C160" s="1">
        <v>1</v>
      </c>
      <c r="D160" s="1">
        <v>0</v>
      </c>
      <c r="E160" s="1">
        <v>1</v>
      </c>
      <c r="F160" s="1">
        <v>21</v>
      </c>
      <c r="G160" s="3" t="b">
        <v>0</v>
      </c>
      <c r="H160" s="1">
        <v>5</v>
      </c>
      <c r="I160" s="1">
        <v>1</v>
      </c>
      <c r="J160" s="7">
        <v>0.18</v>
      </c>
      <c r="K160" s="8">
        <f>VLOOKUP($A160,'Temprorary Data'!$A:$G,2,FALSE)</f>
        <v>0.19700000000000001</v>
      </c>
      <c r="L160" s="8">
        <f>VLOOKUP($A160,'Temprorary Data'!$A:$G,3,FALSE)</f>
        <v>0.47</v>
      </c>
      <c r="M160" s="8">
        <f>VLOOKUP($A160,'Temprorary Data'!$A:$G,4,FALSE)</f>
        <v>0.1343</v>
      </c>
      <c r="N160" s="9">
        <f>VLOOKUP($A160,'Temprorary Data'!$A:$G,5,FALSE)</f>
        <v>0</v>
      </c>
      <c r="O160" s="9">
        <f>VLOOKUP($A160,'Temprorary Data'!$A:$G,6,FALSE)</f>
        <v>39</v>
      </c>
      <c r="P160" s="9">
        <f>VLOOKUP($A160,'Temprorary Data'!$A:$G,7,FALSE)</f>
        <v>39</v>
      </c>
      <c r="Q160" t="b">
        <f t="shared" si="18"/>
        <v>1</v>
      </c>
      <c r="R160" t="str">
        <f t="shared" si="19"/>
        <v>January</v>
      </c>
      <c r="S160" t="str">
        <f t="shared" si="20"/>
        <v>Friday</v>
      </c>
      <c r="T160" t="str">
        <f t="shared" si="21"/>
        <v>Weekday</v>
      </c>
      <c r="U160" t="str">
        <f t="shared" si="22"/>
        <v>Spring</v>
      </c>
      <c r="V160" t="str">
        <f t="shared" si="23"/>
        <v>Clear</v>
      </c>
      <c r="W160" t="str">
        <f t="shared" si="24"/>
        <v>Off Peak</v>
      </c>
      <c r="X160" t="str">
        <f t="shared" si="25"/>
        <v>Low</v>
      </c>
      <c r="Y160" t="str">
        <f t="shared" si="26"/>
        <v>Medium</v>
      </c>
    </row>
    <row r="161" spans="1:25" ht="15.75" thickBot="1">
      <c r="A161" s="1">
        <v>160</v>
      </c>
      <c r="B161" s="2">
        <v>40550</v>
      </c>
      <c r="C161" s="1">
        <v>1</v>
      </c>
      <c r="D161" s="1">
        <v>0</v>
      </c>
      <c r="E161" s="1">
        <v>1</v>
      </c>
      <c r="F161" s="1">
        <v>22</v>
      </c>
      <c r="G161" s="3" t="b">
        <v>0</v>
      </c>
      <c r="H161" s="1">
        <v>5</v>
      </c>
      <c r="I161" s="1">
        <v>2</v>
      </c>
      <c r="J161" s="7">
        <v>0.18</v>
      </c>
      <c r="K161" s="8">
        <f>VLOOKUP($A161,'Temprorary Data'!$A:$G,2,FALSE)</f>
        <v>0.19700000000000001</v>
      </c>
      <c r="L161" s="8">
        <f>VLOOKUP($A161,'Temprorary Data'!$A:$G,3,FALSE)</f>
        <v>0.43</v>
      </c>
      <c r="M161" s="8">
        <f>VLOOKUP($A161,'Temprorary Data'!$A:$G,4,FALSE)</f>
        <v>0.16420000000000001</v>
      </c>
      <c r="N161" s="9">
        <f>VLOOKUP($A161,'Temprorary Data'!$A:$G,5,FALSE)</f>
        <v>2</v>
      </c>
      <c r="O161" s="9">
        <f>VLOOKUP($A161,'Temprorary Data'!$A:$G,6,FALSE)</f>
        <v>34</v>
      </c>
      <c r="P161" s="9">
        <f>VLOOKUP($A161,'Temprorary Data'!$A:$G,7,FALSE)</f>
        <v>36</v>
      </c>
      <c r="Q161" t="b">
        <f t="shared" si="18"/>
        <v>1</v>
      </c>
      <c r="R161" t="str">
        <f t="shared" si="19"/>
        <v>January</v>
      </c>
      <c r="S161" t="str">
        <f t="shared" si="20"/>
        <v>Friday</v>
      </c>
      <c r="T161" t="str">
        <f t="shared" si="21"/>
        <v>Weekday</v>
      </c>
      <c r="U161" t="str">
        <f t="shared" si="22"/>
        <v>Spring</v>
      </c>
      <c r="V161" t="str">
        <f t="shared" si="23"/>
        <v>Mist</v>
      </c>
      <c r="W161" t="str">
        <f t="shared" si="24"/>
        <v>Off Peak</v>
      </c>
      <c r="X161" t="str">
        <f t="shared" si="25"/>
        <v>Low</v>
      </c>
      <c r="Y161" t="str">
        <f t="shared" si="26"/>
        <v>Medium</v>
      </c>
    </row>
    <row r="162" spans="1:25" ht="15.75" thickBot="1">
      <c r="A162" s="1">
        <v>161</v>
      </c>
      <c r="B162" s="2">
        <v>40550</v>
      </c>
      <c r="C162" s="1">
        <v>1</v>
      </c>
      <c r="D162" s="1">
        <v>0</v>
      </c>
      <c r="E162" s="1">
        <v>1</v>
      </c>
      <c r="F162" s="1">
        <v>23</v>
      </c>
      <c r="G162" s="3" t="b">
        <v>0</v>
      </c>
      <c r="H162" s="1">
        <v>5</v>
      </c>
      <c r="I162" s="1">
        <v>2</v>
      </c>
      <c r="J162" s="7">
        <v>0.18</v>
      </c>
      <c r="K162" s="8">
        <f>VLOOKUP($A162,'Temprorary Data'!$A:$G,2,FALSE)</f>
        <v>0.19700000000000001</v>
      </c>
      <c r="L162" s="8">
        <f>VLOOKUP($A162,'Temprorary Data'!$A:$G,3,FALSE)</f>
        <v>0.51</v>
      </c>
      <c r="M162" s="8">
        <f>VLOOKUP($A162,'Temprorary Data'!$A:$G,4,FALSE)</f>
        <v>0.16420000000000001</v>
      </c>
      <c r="N162" s="9">
        <f>VLOOKUP($A162,'Temprorary Data'!$A:$G,5,FALSE)</f>
        <v>1</v>
      </c>
      <c r="O162" s="9">
        <f>VLOOKUP($A162,'Temprorary Data'!$A:$G,6,FALSE)</f>
        <v>14</v>
      </c>
      <c r="P162" s="9">
        <f>VLOOKUP($A162,'Temprorary Data'!$A:$G,7,FALSE)</f>
        <v>15</v>
      </c>
      <c r="Q162" t="b">
        <f t="shared" si="18"/>
        <v>1</v>
      </c>
      <c r="R162" t="str">
        <f t="shared" si="19"/>
        <v>January</v>
      </c>
      <c r="S162" t="str">
        <f t="shared" si="20"/>
        <v>Friday</v>
      </c>
      <c r="T162" t="str">
        <f t="shared" si="21"/>
        <v>Weekday</v>
      </c>
      <c r="U162" t="str">
        <f t="shared" si="22"/>
        <v>Spring</v>
      </c>
      <c r="V162" t="str">
        <f t="shared" si="23"/>
        <v>Mist</v>
      </c>
      <c r="W162" t="str">
        <f t="shared" si="24"/>
        <v>Off Peak</v>
      </c>
      <c r="X162" t="str">
        <f t="shared" si="25"/>
        <v>Low</v>
      </c>
      <c r="Y162" t="str">
        <f t="shared" si="26"/>
        <v>Medium</v>
      </c>
    </row>
    <row r="163" spans="1:25" ht="15.75" thickBot="1">
      <c r="A163" s="1">
        <v>162</v>
      </c>
      <c r="B163" s="2">
        <v>40551</v>
      </c>
      <c r="C163" s="1">
        <v>1</v>
      </c>
      <c r="D163" s="1">
        <v>0</v>
      </c>
      <c r="E163" s="1">
        <v>1</v>
      </c>
      <c r="F163" s="1">
        <v>0</v>
      </c>
      <c r="G163" s="3" t="b">
        <v>0</v>
      </c>
      <c r="H163" s="1">
        <v>6</v>
      </c>
      <c r="I163" s="1">
        <v>2</v>
      </c>
      <c r="J163" s="7">
        <v>0.18</v>
      </c>
      <c r="K163" s="8">
        <f>VLOOKUP($A163,'Temprorary Data'!$A:$G,2,FALSE)</f>
        <v>0.19700000000000001</v>
      </c>
      <c r="L163" s="8">
        <f>VLOOKUP($A163,'Temprorary Data'!$A:$G,3,FALSE)</f>
        <v>0.51</v>
      </c>
      <c r="M163" s="8">
        <f>VLOOKUP($A163,'Temprorary Data'!$A:$G,4,FALSE)</f>
        <v>0.16420000000000001</v>
      </c>
      <c r="N163" s="9">
        <f>VLOOKUP($A163,'Temprorary Data'!$A:$G,5,FALSE)</f>
        <v>1</v>
      </c>
      <c r="O163" s="9">
        <f>VLOOKUP($A163,'Temprorary Data'!$A:$G,6,FALSE)</f>
        <v>24</v>
      </c>
      <c r="P163" s="9">
        <f>VLOOKUP($A163,'Temprorary Data'!$A:$G,7,FALSE)</f>
        <v>25</v>
      </c>
      <c r="Q163" t="b">
        <f t="shared" si="18"/>
        <v>1</v>
      </c>
      <c r="R163" t="str">
        <f t="shared" si="19"/>
        <v>January</v>
      </c>
      <c r="S163" t="str">
        <f t="shared" si="20"/>
        <v>Saturday</v>
      </c>
      <c r="T163" t="str">
        <f t="shared" si="21"/>
        <v>Weekend</v>
      </c>
      <c r="U163" t="str">
        <f t="shared" si="22"/>
        <v>Spring</v>
      </c>
      <c r="V163" t="str">
        <f t="shared" si="23"/>
        <v>Mist</v>
      </c>
      <c r="W163" t="str">
        <f t="shared" si="24"/>
        <v>Off Peak</v>
      </c>
      <c r="X163" t="str">
        <f t="shared" si="25"/>
        <v>Low</v>
      </c>
      <c r="Y163" t="str">
        <f t="shared" si="26"/>
        <v>Medium</v>
      </c>
    </row>
    <row r="164" spans="1:25" ht="15.75" thickBot="1">
      <c r="A164" s="1">
        <v>163</v>
      </c>
      <c r="B164" s="2">
        <v>40551</v>
      </c>
      <c r="C164" s="1">
        <v>1</v>
      </c>
      <c r="D164" s="1">
        <v>0</v>
      </c>
      <c r="E164" s="1">
        <v>1</v>
      </c>
      <c r="F164" s="1">
        <v>1</v>
      </c>
      <c r="G164" s="3" t="b">
        <v>0</v>
      </c>
      <c r="H164" s="1">
        <v>6</v>
      </c>
      <c r="I164" s="1">
        <v>2</v>
      </c>
      <c r="J164" s="7">
        <v>0.18</v>
      </c>
      <c r="K164" s="8">
        <f>VLOOKUP($A164,'Temprorary Data'!$A:$G,2,FALSE)</f>
        <v>0.21210000000000001</v>
      </c>
      <c r="L164" s="8">
        <f>VLOOKUP($A164,'Temprorary Data'!$A:$G,3,FALSE)</f>
        <v>0.55000000000000004</v>
      </c>
      <c r="M164" s="8">
        <f>VLOOKUP($A164,'Temprorary Data'!$A:$G,4,FALSE)</f>
        <v>8.9599999999999999E-2</v>
      </c>
      <c r="N164" s="9">
        <f>VLOOKUP($A164,'Temprorary Data'!$A:$G,5,FALSE)</f>
        <v>1</v>
      </c>
      <c r="O164" s="9">
        <f>VLOOKUP($A164,'Temprorary Data'!$A:$G,6,FALSE)</f>
        <v>15</v>
      </c>
      <c r="P164" s="9">
        <f>VLOOKUP($A164,'Temprorary Data'!$A:$G,7,FALSE)</f>
        <v>16</v>
      </c>
      <c r="Q164" t="b">
        <f t="shared" si="18"/>
        <v>1</v>
      </c>
      <c r="R164" t="str">
        <f t="shared" si="19"/>
        <v>January</v>
      </c>
      <c r="S164" t="str">
        <f t="shared" si="20"/>
        <v>Saturday</v>
      </c>
      <c r="T164" t="str">
        <f t="shared" si="21"/>
        <v>Weekend</v>
      </c>
      <c r="U164" t="str">
        <f t="shared" si="22"/>
        <v>Spring</v>
      </c>
      <c r="V164" t="str">
        <f t="shared" si="23"/>
        <v>Mist</v>
      </c>
      <c r="W164" t="str">
        <f t="shared" si="24"/>
        <v>Off Peak</v>
      </c>
      <c r="X164" t="str">
        <f t="shared" si="25"/>
        <v>Low</v>
      </c>
      <c r="Y164" t="str">
        <f t="shared" si="26"/>
        <v>Medium</v>
      </c>
    </row>
    <row r="165" spans="1:25" ht="15.75" thickBot="1">
      <c r="A165" s="1">
        <v>164</v>
      </c>
      <c r="B165" s="2">
        <v>40551</v>
      </c>
      <c r="C165" s="1">
        <v>1</v>
      </c>
      <c r="D165" s="1">
        <v>0</v>
      </c>
      <c r="E165" s="1">
        <v>1</v>
      </c>
      <c r="F165" s="1">
        <v>2</v>
      </c>
      <c r="G165" s="3" t="b">
        <v>0</v>
      </c>
      <c r="H165" s="1">
        <v>6</v>
      </c>
      <c r="I165" s="1">
        <v>2</v>
      </c>
      <c r="J165" s="7">
        <v>0.18</v>
      </c>
      <c r="K165" s="8">
        <f>VLOOKUP($A165,'Temprorary Data'!$A:$G,2,FALSE)</f>
        <v>0.2424</v>
      </c>
      <c r="L165" s="8">
        <f>VLOOKUP($A165,'Temprorary Data'!$A:$G,3,FALSE)</f>
        <v>0.55000000000000004</v>
      </c>
      <c r="M165" s="8">
        <f>VLOOKUP($A165,'Temprorary Data'!$A:$G,4,FALSE)</f>
        <v>0</v>
      </c>
      <c r="N165" s="9">
        <f>VLOOKUP($A165,'Temprorary Data'!$A:$G,5,FALSE)</f>
        <v>3</v>
      </c>
      <c r="O165" s="9">
        <f>VLOOKUP($A165,'Temprorary Data'!$A:$G,6,FALSE)</f>
        <v>13</v>
      </c>
      <c r="P165" s="9">
        <f>VLOOKUP($A165,'Temprorary Data'!$A:$G,7,FALSE)</f>
        <v>16</v>
      </c>
      <c r="Q165" t="b">
        <f t="shared" si="18"/>
        <v>1</v>
      </c>
      <c r="R165" t="str">
        <f t="shared" si="19"/>
        <v>January</v>
      </c>
      <c r="S165" t="str">
        <f t="shared" si="20"/>
        <v>Saturday</v>
      </c>
      <c r="T165" t="str">
        <f t="shared" si="21"/>
        <v>Weekend</v>
      </c>
      <c r="U165" t="str">
        <f t="shared" si="22"/>
        <v>Spring</v>
      </c>
      <c r="V165" t="str">
        <f t="shared" si="23"/>
        <v>Mist</v>
      </c>
      <c r="W165" t="str">
        <f t="shared" si="24"/>
        <v>Off Peak</v>
      </c>
      <c r="X165" t="str">
        <f t="shared" si="25"/>
        <v>Low</v>
      </c>
      <c r="Y165" t="str">
        <f t="shared" si="26"/>
        <v>Medium</v>
      </c>
    </row>
    <row r="166" spans="1:25" ht="15.75" thickBot="1">
      <c r="A166" s="1">
        <v>165</v>
      </c>
      <c r="B166" s="2">
        <v>40551</v>
      </c>
      <c r="C166" s="1">
        <v>1</v>
      </c>
      <c r="D166" s="1">
        <v>0</v>
      </c>
      <c r="E166" s="1">
        <v>1</v>
      </c>
      <c r="F166" s="1">
        <v>3</v>
      </c>
      <c r="G166" s="3" t="b">
        <v>0</v>
      </c>
      <c r="H166" s="1">
        <v>6</v>
      </c>
      <c r="I166" s="1">
        <v>3</v>
      </c>
      <c r="J166" s="7">
        <v>0.18</v>
      </c>
      <c r="K166" s="8">
        <f>VLOOKUP($A166,'Temprorary Data'!$A:$G,2,FALSE)</f>
        <v>0.19700000000000001</v>
      </c>
      <c r="L166" s="8">
        <f>VLOOKUP($A166,'Temprorary Data'!$A:$G,3,FALSE)</f>
        <v>0.55000000000000004</v>
      </c>
      <c r="M166" s="8">
        <f>VLOOKUP($A166,'Temprorary Data'!$A:$G,4,FALSE)</f>
        <v>0.16420000000000001</v>
      </c>
      <c r="N166" s="9">
        <f>VLOOKUP($A166,'Temprorary Data'!$A:$G,5,FALSE)</f>
        <v>0</v>
      </c>
      <c r="O166" s="9">
        <f>VLOOKUP($A166,'Temprorary Data'!$A:$G,6,FALSE)</f>
        <v>7</v>
      </c>
      <c r="P166" s="9">
        <f>VLOOKUP($A166,'Temprorary Data'!$A:$G,7,FALSE)</f>
        <v>7</v>
      </c>
      <c r="Q166" t="b">
        <f t="shared" si="18"/>
        <v>1</v>
      </c>
      <c r="R166" t="str">
        <f t="shared" si="19"/>
        <v>January</v>
      </c>
      <c r="S166" t="str">
        <f t="shared" si="20"/>
        <v>Saturday</v>
      </c>
      <c r="T166" t="str">
        <f t="shared" si="21"/>
        <v>Weekend</v>
      </c>
      <c r="U166" t="str">
        <f t="shared" si="22"/>
        <v>Spring</v>
      </c>
      <c r="V166" t="str">
        <f t="shared" si="23"/>
        <v>Light Rain</v>
      </c>
      <c r="W166" t="str">
        <f t="shared" si="24"/>
        <v>Off Peak</v>
      </c>
      <c r="X166" t="str">
        <f t="shared" si="25"/>
        <v>Low</v>
      </c>
      <c r="Y166" t="str">
        <f t="shared" si="26"/>
        <v>Medium</v>
      </c>
    </row>
    <row r="167" spans="1:25" ht="15.75" thickBot="1">
      <c r="A167" s="1">
        <v>166</v>
      </c>
      <c r="B167" s="2">
        <v>40551</v>
      </c>
      <c r="C167" s="1">
        <v>1</v>
      </c>
      <c r="D167" s="1">
        <v>0</v>
      </c>
      <c r="E167" s="1">
        <v>1</v>
      </c>
      <c r="F167" s="1">
        <v>4</v>
      </c>
      <c r="G167" s="3" t="b">
        <v>0</v>
      </c>
      <c r="H167" s="1">
        <v>6</v>
      </c>
      <c r="I167" s="1">
        <v>3</v>
      </c>
      <c r="J167" s="7">
        <v>0.18</v>
      </c>
      <c r="K167" s="8">
        <f>VLOOKUP($A167,'Temprorary Data'!$A:$G,2,FALSE)</f>
        <v>0.19700000000000001</v>
      </c>
      <c r="L167" s="8">
        <f>VLOOKUP($A167,'Temprorary Data'!$A:$G,3,FALSE)</f>
        <v>0.55000000000000004</v>
      </c>
      <c r="M167" s="8">
        <f>VLOOKUP($A167,'Temprorary Data'!$A:$G,4,FALSE)</f>
        <v>0.16420000000000001</v>
      </c>
      <c r="N167" s="9">
        <f>VLOOKUP($A167,'Temprorary Data'!$A:$G,5,FALSE)</f>
        <v>0</v>
      </c>
      <c r="O167" s="9">
        <f>VLOOKUP($A167,'Temprorary Data'!$A:$G,6,FALSE)</f>
        <v>1</v>
      </c>
      <c r="P167" s="9">
        <f>VLOOKUP($A167,'Temprorary Data'!$A:$G,7,FALSE)</f>
        <v>1</v>
      </c>
      <c r="Q167" t="b">
        <f t="shared" si="18"/>
        <v>1</v>
      </c>
      <c r="R167" t="str">
        <f t="shared" si="19"/>
        <v>January</v>
      </c>
      <c r="S167" t="str">
        <f t="shared" si="20"/>
        <v>Saturday</v>
      </c>
      <c r="T167" t="str">
        <f t="shared" si="21"/>
        <v>Weekend</v>
      </c>
      <c r="U167" t="str">
        <f t="shared" si="22"/>
        <v>Spring</v>
      </c>
      <c r="V167" t="str">
        <f t="shared" si="23"/>
        <v>Light Rain</v>
      </c>
      <c r="W167" t="str">
        <f t="shared" si="24"/>
        <v>Off Peak</v>
      </c>
      <c r="X167" t="str">
        <f t="shared" si="25"/>
        <v>Low</v>
      </c>
      <c r="Y167" t="str">
        <f t="shared" si="26"/>
        <v>Medium</v>
      </c>
    </row>
    <row r="168" spans="1:25" ht="15.75" thickBot="1">
      <c r="A168" s="1">
        <v>167</v>
      </c>
      <c r="B168" s="2">
        <v>40551</v>
      </c>
      <c r="C168" s="1">
        <v>1</v>
      </c>
      <c r="D168" s="1">
        <v>0</v>
      </c>
      <c r="E168" s="1">
        <v>1</v>
      </c>
      <c r="F168" s="1">
        <v>5</v>
      </c>
      <c r="G168" s="3" t="b">
        <v>0</v>
      </c>
      <c r="H168" s="1">
        <v>6</v>
      </c>
      <c r="I168" s="1">
        <v>2</v>
      </c>
      <c r="J168" s="7">
        <v>0.16</v>
      </c>
      <c r="K168" s="8">
        <f>VLOOKUP($A168,'Temprorary Data'!$A:$G,2,FALSE)</f>
        <v>0.16669999999999999</v>
      </c>
      <c r="L168" s="8">
        <f>VLOOKUP($A168,'Temprorary Data'!$A:$G,3,FALSE)</f>
        <v>0.74</v>
      </c>
      <c r="M168" s="8">
        <f>VLOOKUP($A168,'Temprorary Data'!$A:$G,4,FALSE)</f>
        <v>0.16420000000000001</v>
      </c>
      <c r="N168" s="9">
        <f>VLOOKUP($A168,'Temprorary Data'!$A:$G,5,FALSE)</f>
        <v>0</v>
      </c>
      <c r="O168" s="9">
        <f>VLOOKUP($A168,'Temprorary Data'!$A:$G,6,FALSE)</f>
        <v>5</v>
      </c>
      <c r="P168" s="9">
        <f>VLOOKUP($A168,'Temprorary Data'!$A:$G,7,FALSE)</f>
        <v>5</v>
      </c>
      <c r="Q168" t="b">
        <f t="shared" si="18"/>
        <v>1</v>
      </c>
      <c r="R168" t="str">
        <f t="shared" si="19"/>
        <v>January</v>
      </c>
      <c r="S168" t="str">
        <f t="shared" si="20"/>
        <v>Saturday</v>
      </c>
      <c r="T168" t="str">
        <f t="shared" si="21"/>
        <v>Weekend</v>
      </c>
      <c r="U168" t="str">
        <f t="shared" si="22"/>
        <v>Spring</v>
      </c>
      <c r="V168" t="str">
        <f t="shared" si="23"/>
        <v>Mist</v>
      </c>
      <c r="W168" t="str">
        <f t="shared" si="24"/>
        <v>Off Peak</v>
      </c>
      <c r="X168" t="str">
        <f t="shared" si="25"/>
        <v>Low</v>
      </c>
      <c r="Y168" t="str">
        <f t="shared" si="26"/>
        <v>High</v>
      </c>
    </row>
    <row r="169" spans="1:25" ht="15.75" thickBot="1">
      <c r="A169" s="1">
        <v>168</v>
      </c>
      <c r="B169" s="2">
        <v>40551</v>
      </c>
      <c r="C169" s="1">
        <v>1</v>
      </c>
      <c r="D169" s="1">
        <v>0</v>
      </c>
      <c r="E169" s="1">
        <v>1</v>
      </c>
      <c r="F169" s="1">
        <v>6</v>
      </c>
      <c r="G169" s="3" t="b">
        <v>0</v>
      </c>
      <c r="H169" s="1">
        <v>6</v>
      </c>
      <c r="I169" s="1">
        <v>2</v>
      </c>
      <c r="J169" s="7">
        <v>0.16</v>
      </c>
      <c r="K169" s="8">
        <f>VLOOKUP($A169,'Temprorary Data'!$A:$G,2,FALSE)</f>
        <v>0.16669999999999999</v>
      </c>
      <c r="L169" s="8">
        <f>VLOOKUP($A169,'Temprorary Data'!$A:$G,3,FALSE)</f>
        <v>0.74</v>
      </c>
      <c r="M169" s="8">
        <f>VLOOKUP($A169,'Temprorary Data'!$A:$G,4,FALSE)</f>
        <v>0.16420000000000001</v>
      </c>
      <c r="N169" s="9">
        <f>VLOOKUP($A169,'Temprorary Data'!$A:$G,5,FALSE)</f>
        <v>0</v>
      </c>
      <c r="O169" s="9">
        <f>VLOOKUP($A169,'Temprorary Data'!$A:$G,6,FALSE)</f>
        <v>2</v>
      </c>
      <c r="P169" s="9">
        <f>VLOOKUP($A169,'Temprorary Data'!$A:$G,7,FALSE)</f>
        <v>2</v>
      </c>
      <c r="Q169" t="b">
        <f t="shared" si="18"/>
        <v>1</v>
      </c>
      <c r="R169" t="str">
        <f t="shared" si="19"/>
        <v>January</v>
      </c>
      <c r="S169" t="str">
        <f t="shared" si="20"/>
        <v>Saturday</v>
      </c>
      <c r="T169" t="str">
        <f t="shared" si="21"/>
        <v>Weekend</v>
      </c>
      <c r="U169" t="str">
        <f t="shared" si="22"/>
        <v>Spring</v>
      </c>
      <c r="V169" t="str">
        <f t="shared" si="23"/>
        <v>Mist</v>
      </c>
      <c r="W169" t="str">
        <f t="shared" si="24"/>
        <v>Off Peak</v>
      </c>
      <c r="X169" t="str">
        <f t="shared" si="25"/>
        <v>Low</v>
      </c>
      <c r="Y169" t="str">
        <f t="shared" si="26"/>
        <v>High</v>
      </c>
    </row>
    <row r="170" spans="1:25" ht="15.75" thickBot="1">
      <c r="A170" s="1">
        <v>169</v>
      </c>
      <c r="B170" s="2">
        <v>40551</v>
      </c>
      <c r="C170" s="1">
        <v>1</v>
      </c>
      <c r="D170" s="1">
        <v>0</v>
      </c>
      <c r="E170" s="1">
        <v>1</v>
      </c>
      <c r="F170" s="1">
        <v>7</v>
      </c>
      <c r="G170" s="3" t="b">
        <v>0</v>
      </c>
      <c r="H170" s="1">
        <v>6</v>
      </c>
      <c r="I170" s="1">
        <v>2</v>
      </c>
      <c r="J170" s="7">
        <v>0.16</v>
      </c>
      <c r="K170" s="8">
        <f>VLOOKUP($A170,'Temprorary Data'!$A:$G,2,FALSE)</f>
        <v>0.18179999999999999</v>
      </c>
      <c r="L170" s="8">
        <f>VLOOKUP($A170,'Temprorary Data'!$A:$G,3,FALSE)</f>
        <v>0.74</v>
      </c>
      <c r="M170" s="8">
        <f>VLOOKUP($A170,'Temprorary Data'!$A:$G,4,FALSE)</f>
        <v>0.1045</v>
      </c>
      <c r="N170" s="9">
        <f>VLOOKUP($A170,'Temprorary Data'!$A:$G,5,FALSE)</f>
        <v>1</v>
      </c>
      <c r="O170" s="9">
        <f>VLOOKUP($A170,'Temprorary Data'!$A:$G,6,FALSE)</f>
        <v>8</v>
      </c>
      <c r="P170" s="9">
        <f>VLOOKUP($A170,'Temprorary Data'!$A:$G,7,FALSE)</f>
        <v>9</v>
      </c>
      <c r="Q170" t="b">
        <f t="shared" si="18"/>
        <v>1</v>
      </c>
      <c r="R170" t="str">
        <f t="shared" si="19"/>
        <v>January</v>
      </c>
      <c r="S170" t="str">
        <f t="shared" si="20"/>
        <v>Saturday</v>
      </c>
      <c r="T170" t="str">
        <f t="shared" si="21"/>
        <v>Weekend</v>
      </c>
      <c r="U170" t="str">
        <f t="shared" si="22"/>
        <v>Spring</v>
      </c>
      <c r="V170" t="str">
        <f t="shared" si="23"/>
        <v>Mist</v>
      </c>
      <c r="W170" t="str">
        <f t="shared" si="24"/>
        <v>Morning Peak</v>
      </c>
      <c r="X170" t="str">
        <f t="shared" si="25"/>
        <v>Low</v>
      </c>
      <c r="Y170" t="str">
        <f t="shared" si="26"/>
        <v>High</v>
      </c>
    </row>
    <row r="171" spans="1:25" ht="15.75" thickBot="1">
      <c r="A171" s="1">
        <v>170</v>
      </c>
      <c r="B171" s="2">
        <v>40551</v>
      </c>
      <c r="C171" s="1">
        <v>1</v>
      </c>
      <c r="D171" s="1">
        <v>0</v>
      </c>
      <c r="E171" s="1">
        <v>1</v>
      </c>
      <c r="F171" s="1">
        <v>8</v>
      </c>
      <c r="G171" s="3" t="b">
        <v>0</v>
      </c>
      <c r="H171" s="1">
        <v>6</v>
      </c>
      <c r="I171" s="1">
        <v>3</v>
      </c>
      <c r="J171" s="7">
        <v>0.16</v>
      </c>
      <c r="K171" s="8">
        <f>VLOOKUP($A171,'Temprorary Data'!$A:$G,2,FALSE)</f>
        <v>0.18179999999999999</v>
      </c>
      <c r="L171" s="8">
        <f>VLOOKUP($A171,'Temprorary Data'!$A:$G,3,FALSE)</f>
        <v>0.93</v>
      </c>
      <c r="M171" s="8">
        <f>VLOOKUP($A171,'Temprorary Data'!$A:$G,4,FALSE)</f>
        <v>0.1045</v>
      </c>
      <c r="N171" s="9">
        <f>VLOOKUP($A171,'Temprorary Data'!$A:$G,5,FALSE)</f>
        <v>0</v>
      </c>
      <c r="O171" s="9">
        <f>VLOOKUP($A171,'Temprorary Data'!$A:$G,6,FALSE)</f>
        <v>15</v>
      </c>
      <c r="P171" s="9">
        <f>VLOOKUP($A171,'Temprorary Data'!$A:$G,7,FALSE)</f>
        <v>15</v>
      </c>
      <c r="Q171" t="b">
        <f t="shared" si="18"/>
        <v>1</v>
      </c>
      <c r="R171" t="str">
        <f t="shared" si="19"/>
        <v>January</v>
      </c>
      <c r="S171" t="str">
        <f t="shared" si="20"/>
        <v>Saturday</v>
      </c>
      <c r="T171" t="str">
        <f t="shared" si="21"/>
        <v>Weekend</v>
      </c>
      <c r="U171" t="str">
        <f t="shared" si="22"/>
        <v>Spring</v>
      </c>
      <c r="V171" t="str">
        <f t="shared" si="23"/>
        <v>Light Rain</v>
      </c>
      <c r="W171" t="str">
        <f t="shared" si="24"/>
        <v>Morning Peak</v>
      </c>
      <c r="X171" t="str">
        <f t="shared" si="25"/>
        <v>Low</v>
      </c>
      <c r="Y171" t="str">
        <f t="shared" si="26"/>
        <v>High</v>
      </c>
    </row>
    <row r="172" spans="1:25" ht="15.75" thickBot="1">
      <c r="A172" s="1">
        <v>171</v>
      </c>
      <c r="B172" s="2">
        <v>40551</v>
      </c>
      <c r="C172" s="1">
        <v>1</v>
      </c>
      <c r="D172" s="1">
        <v>0</v>
      </c>
      <c r="E172" s="1">
        <v>1</v>
      </c>
      <c r="F172" s="1">
        <v>9</v>
      </c>
      <c r="G172" s="3" t="b">
        <v>0</v>
      </c>
      <c r="H172" s="1">
        <v>6</v>
      </c>
      <c r="I172" s="1">
        <v>3</v>
      </c>
      <c r="J172" s="7">
        <v>0.16</v>
      </c>
      <c r="K172" s="8">
        <f>VLOOKUP($A172,'Temprorary Data'!$A:$G,2,FALSE)</f>
        <v>0.18179999999999999</v>
      </c>
      <c r="L172" s="8">
        <f>VLOOKUP($A172,'Temprorary Data'!$A:$G,3,FALSE)</f>
        <v>0.93</v>
      </c>
      <c r="M172" s="8">
        <f>VLOOKUP($A172,'Temprorary Data'!$A:$G,4,FALSE)</f>
        <v>0.1045</v>
      </c>
      <c r="N172" s="9">
        <f>VLOOKUP($A172,'Temprorary Data'!$A:$G,5,FALSE)</f>
        <v>0</v>
      </c>
      <c r="O172" s="9">
        <f>VLOOKUP($A172,'Temprorary Data'!$A:$G,6,FALSE)</f>
        <v>20</v>
      </c>
      <c r="P172" s="9">
        <f>VLOOKUP($A172,'Temprorary Data'!$A:$G,7,FALSE)</f>
        <v>20</v>
      </c>
      <c r="Q172" t="b">
        <f t="shared" si="18"/>
        <v>1</v>
      </c>
      <c r="R172" t="str">
        <f t="shared" si="19"/>
        <v>January</v>
      </c>
      <c r="S172" t="str">
        <f t="shared" si="20"/>
        <v>Saturday</v>
      </c>
      <c r="T172" t="str">
        <f t="shared" si="21"/>
        <v>Weekend</v>
      </c>
      <c r="U172" t="str">
        <f t="shared" si="22"/>
        <v>Spring</v>
      </c>
      <c r="V172" t="str">
        <f t="shared" si="23"/>
        <v>Light Rain</v>
      </c>
      <c r="W172" t="str">
        <f t="shared" si="24"/>
        <v>Morning Peak</v>
      </c>
      <c r="X172" t="str">
        <f t="shared" si="25"/>
        <v>Low</v>
      </c>
      <c r="Y172" t="str">
        <f t="shared" si="26"/>
        <v>High</v>
      </c>
    </row>
    <row r="173" spans="1:25" ht="15.75" thickBot="1">
      <c r="A173" s="1">
        <v>172</v>
      </c>
      <c r="B173" s="2">
        <v>40551</v>
      </c>
      <c r="C173" s="1">
        <v>1</v>
      </c>
      <c r="D173" s="1">
        <v>0</v>
      </c>
      <c r="E173" s="1">
        <v>1</v>
      </c>
      <c r="F173" s="1">
        <v>10</v>
      </c>
      <c r="G173" s="3" t="b">
        <v>0</v>
      </c>
      <c r="H173" s="1">
        <v>6</v>
      </c>
      <c r="I173" s="1">
        <v>2</v>
      </c>
      <c r="J173" s="7">
        <v>0.18</v>
      </c>
      <c r="K173" s="8">
        <f>VLOOKUP($A173,'Temprorary Data'!$A:$G,2,FALSE)</f>
        <v>0.19700000000000001</v>
      </c>
      <c r="L173" s="8">
        <f>VLOOKUP($A173,'Temprorary Data'!$A:$G,3,FALSE)</f>
        <v>0.8</v>
      </c>
      <c r="M173" s="8">
        <f>VLOOKUP($A173,'Temprorary Data'!$A:$G,4,FALSE)</f>
        <v>0.16420000000000001</v>
      </c>
      <c r="N173" s="9">
        <f>VLOOKUP($A173,'Temprorary Data'!$A:$G,5,FALSE)</f>
        <v>5</v>
      </c>
      <c r="O173" s="9">
        <f>VLOOKUP($A173,'Temprorary Data'!$A:$G,6,FALSE)</f>
        <v>56</v>
      </c>
      <c r="P173" s="9">
        <f>VLOOKUP($A173,'Temprorary Data'!$A:$G,7,FALSE)</f>
        <v>61</v>
      </c>
      <c r="Q173" t="b">
        <f t="shared" si="18"/>
        <v>1</v>
      </c>
      <c r="R173" t="str">
        <f t="shared" si="19"/>
        <v>January</v>
      </c>
      <c r="S173" t="str">
        <f t="shared" si="20"/>
        <v>Saturday</v>
      </c>
      <c r="T173" t="str">
        <f t="shared" si="21"/>
        <v>Weekend</v>
      </c>
      <c r="U173" t="str">
        <f t="shared" si="22"/>
        <v>Spring</v>
      </c>
      <c r="V173" t="str">
        <f t="shared" si="23"/>
        <v>Mist</v>
      </c>
      <c r="W173" t="str">
        <f t="shared" si="24"/>
        <v>Off Peak</v>
      </c>
      <c r="X173" t="str">
        <f t="shared" si="25"/>
        <v>Low</v>
      </c>
      <c r="Y173" t="str">
        <f t="shared" si="26"/>
        <v>High</v>
      </c>
    </row>
    <row r="174" spans="1:25" ht="15.75" thickBot="1">
      <c r="A174" s="1">
        <v>173</v>
      </c>
      <c r="B174" s="2">
        <v>40551</v>
      </c>
      <c r="C174" s="1">
        <v>1</v>
      </c>
      <c r="D174" s="1">
        <v>0</v>
      </c>
      <c r="E174" s="1">
        <v>1</v>
      </c>
      <c r="F174" s="1">
        <v>11</v>
      </c>
      <c r="G174" s="3" t="b">
        <v>0</v>
      </c>
      <c r="H174" s="1">
        <v>6</v>
      </c>
      <c r="I174" s="1">
        <v>2</v>
      </c>
      <c r="J174" s="7">
        <v>0.2</v>
      </c>
      <c r="K174" s="8">
        <f>VLOOKUP($A174,'Temprorary Data'!$A:$G,2,FALSE)</f>
        <v>0.18179999999999999</v>
      </c>
      <c r="L174" s="8">
        <f>VLOOKUP($A174,'Temprorary Data'!$A:$G,3,FALSE)</f>
        <v>0.69</v>
      </c>
      <c r="M174" s="8">
        <f>VLOOKUP($A174,'Temprorary Data'!$A:$G,4,FALSE)</f>
        <v>0.3881</v>
      </c>
      <c r="N174" s="9">
        <f>VLOOKUP($A174,'Temprorary Data'!$A:$G,5,FALSE)</f>
        <v>2</v>
      </c>
      <c r="O174" s="9">
        <f>VLOOKUP($A174,'Temprorary Data'!$A:$G,6,FALSE)</f>
        <v>60</v>
      </c>
      <c r="P174" s="9">
        <f>VLOOKUP($A174,'Temprorary Data'!$A:$G,7,FALSE)</f>
        <v>62</v>
      </c>
      <c r="Q174" t="b">
        <f t="shared" si="18"/>
        <v>1</v>
      </c>
      <c r="R174" t="str">
        <f t="shared" si="19"/>
        <v>January</v>
      </c>
      <c r="S174" t="str">
        <f t="shared" si="20"/>
        <v>Saturday</v>
      </c>
      <c r="T174" t="str">
        <f t="shared" si="21"/>
        <v>Weekend</v>
      </c>
      <c r="U174" t="str">
        <f t="shared" si="22"/>
        <v>Spring</v>
      </c>
      <c r="V174" t="str">
        <f t="shared" si="23"/>
        <v>Mist</v>
      </c>
      <c r="W174" t="str">
        <f t="shared" si="24"/>
        <v>Off Peak</v>
      </c>
      <c r="X174" t="str">
        <f t="shared" si="25"/>
        <v>Low</v>
      </c>
      <c r="Y174" t="str">
        <f t="shared" si="26"/>
        <v>Medium</v>
      </c>
    </row>
    <row r="175" spans="1:25" ht="15.75" thickBot="1">
      <c r="A175" s="1">
        <v>174</v>
      </c>
      <c r="B175" s="2">
        <v>40551</v>
      </c>
      <c r="C175" s="1">
        <v>1</v>
      </c>
      <c r="D175" s="1">
        <v>0</v>
      </c>
      <c r="E175" s="1">
        <v>1</v>
      </c>
      <c r="F175" s="1">
        <v>12</v>
      </c>
      <c r="G175" s="3" t="b">
        <v>0</v>
      </c>
      <c r="H175" s="1">
        <v>6</v>
      </c>
      <c r="I175" s="1">
        <v>2</v>
      </c>
      <c r="J175" s="7">
        <v>0.2</v>
      </c>
      <c r="K175" s="8">
        <f>VLOOKUP($A175,'Temprorary Data'!$A:$G,2,FALSE)</f>
        <v>0.18179999999999999</v>
      </c>
      <c r="L175" s="8">
        <f>VLOOKUP($A175,'Temprorary Data'!$A:$G,3,FALSE)</f>
        <v>0.59</v>
      </c>
      <c r="M175" s="8">
        <f>VLOOKUP($A175,'Temprorary Data'!$A:$G,4,FALSE)</f>
        <v>0.35820000000000002</v>
      </c>
      <c r="N175" s="9">
        <f>VLOOKUP($A175,'Temprorary Data'!$A:$G,5,FALSE)</f>
        <v>8</v>
      </c>
      <c r="O175" s="9">
        <f>VLOOKUP($A175,'Temprorary Data'!$A:$G,6,FALSE)</f>
        <v>90</v>
      </c>
      <c r="P175" s="9">
        <f>VLOOKUP($A175,'Temprorary Data'!$A:$G,7,FALSE)</f>
        <v>98</v>
      </c>
      <c r="Q175" t="b">
        <f t="shared" si="18"/>
        <v>1</v>
      </c>
      <c r="R175" t="str">
        <f t="shared" si="19"/>
        <v>January</v>
      </c>
      <c r="S175" t="str">
        <f t="shared" si="20"/>
        <v>Saturday</v>
      </c>
      <c r="T175" t="str">
        <f t="shared" si="21"/>
        <v>Weekend</v>
      </c>
      <c r="U175" t="str">
        <f t="shared" si="22"/>
        <v>Spring</v>
      </c>
      <c r="V175" t="str">
        <f t="shared" si="23"/>
        <v>Mist</v>
      </c>
      <c r="W175" t="str">
        <f t="shared" si="24"/>
        <v>Off Peak</v>
      </c>
      <c r="X175" t="str">
        <f t="shared" si="25"/>
        <v>Low</v>
      </c>
      <c r="Y175" t="str">
        <f t="shared" si="26"/>
        <v>Medium</v>
      </c>
    </row>
    <row r="176" spans="1:25" ht="15.75" thickBot="1">
      <c r="A176" s="1">
        <v>175</v>
      </c>
      <c r="B176" s="2">
        <v>40551</v>
      </c>
      <c r="C176" s="1">
        <v>1</v>
      </c>
      <c r="D176" s="1">
        <v>0</v>
      </c>
      <c r="E176" s="1">
        <v>1</v>
      </c>
      <c r="F176" s="1">
        <v>13</v>
      </c>
      <c r="G176" s="3" t="b">
        <v>0</v>
      </c>
      <c r="H176" s="1">
        <v>6</v>
      </c>
      <c r="I176" s="1">
        <v>1</v>
      </c>
      <c r="J176" s="7">
        <v>0.2</v>
      </c>
      <c r="K176" s="8">
        <f>VLOOKUP($A176,'Temprorary Data'!$A:$G,2,FALSE)</f>
        <v>0.18179999999999999</v>
      </c>
      <c r="L176" s="8">
        <f>VLOOKUP($A176,'Temprorary Data'!$A:$G,3,FALSE)</f>
        <v>0.44</v>
      </c>
      <c r="M176" s="8">
        <f>VLOOKUP($A176,'Temprorary Data'!$A:$G,4,FALSE)</f>
        <v>0.32840000000000003</v>
      </c>
      <c r="N176" s="9">
        <f>VLOOKUP($A176,'Temprorary Data'!$A:$G,5,FALSE)</f>
        <v>7</v>
      </c>
      <c r="O176" s="9">
        <f>VLOOKUP($A176,'Temprorary Data'!$A:$G,6,FALSE)</f>
        <v>95</v>
      </c>
      <c r="P176" s="9">
        <f>VLOOKUP($A176,'Temprorary Data'!$A:$G,7,FALSE)</f>
        <v>102</v>
      </c>
      <c r="Q176" t="b">
        <f t="shared" si="18"/>
        <v>1</v>
      </c>
      <c r="R176" t="str">
        <f t="shared" si="19"/>
        <v>January</v>
      </c>
      <c r="S176" t="str">
        <f t="shared" si="20"/>
        <v>Saturday</v>
      </c>
      <c r="T176" t="str">
        <f t="shared" si="21"/>
        <v>Weekend</v>
      </c>
      <c r="U176" t="str">
        <f t="shared" si="22"/>
        <v>Spring</v>
      </c>
      <c r="V176" t="str">
        <f t="shared" si="23"/>
        <v>Clear</v>
      </c>
      <c r="W176" t="str">
        <f t="shared" si="24"/>
        <v>Off Peak</v>
      </c>
      <c r="X176" t="str">
        <f t="shared" si="25"/>
        <v>Low</v>
      </c>
      <c r="Y176" t="str">
        <f t="shared" si="26"/>
        <v>Medium</v>
      </c>
    </row>
    <row r="177" spans="1:25" ht="15.75" thickBot="1">
      <c r="A177" s="1">
        <v>176</v>
      </c>
      <c r="B177" s="2">
        <v>40551</v>
      </c>
      <c r="C177" s="1">
        <v>1</v>
      </c>
      <c r="D177" s="1">
        <v>0</v>
      </c>
      <c r="E177" s="1">
        <v>1</v>
      </c>
      <c r="F177" s="1">
        <v>14</v>
      </c>
      <c r="G177" s="3" t="b">
        <v>0</v>
      </c>
      <c r="H177" s="1">
        <v>6</v>
      </c>
      <c r="I177" s="1">
        <v>1</v>
      </c>
      <c r="J177" s="7">
        <v>0.2</v>
      </c>
      <c r="K177" s="8">
        <f>VLOOKUP($A177,'Temprorary Data'!$A:$G,2,FALSE)</f>
        <v>0.16669999999999999</v>
      </c>
      <c r="L177" s="8">
        <f>VLOOKUP($A177,'Temprorary Data'!$A:$G,3,FALSE)</f>
        <v>0.32</v>
      </c>
      <c r="M177" s="8">
        <f>VLOOKUP($A177,'Temprorary Data'!$A:$G,4,FALSE)</f>
        <v>0.49249999999999999</v>
      </c>
      <c r="N177" s="9">
        <f>VLOOKUP($A177,'Temprorary Data'!$A:$G,5,FALSE)</f>
        <v>12</v>
      </c>
      <c r="O177" s="9">
        <f>VLOOKUP($A177,'Temprorary Data'!$A:$G,6,FALSE)</f>
        <v>83</v>
      </c>
      <c r="P177" s="9">
        <f>VLOOKUP($A177,'Temprorary Data'!$A:$G,7,FALSE)</f>
        <v>95</v>
      </c>
      <c r="Q177" t="b">
        <f t="shared" si="18"/>
        <v>1</v>
      </c>
      <c r="R177" t="str">
        <f t="shared" si="19"/>
        <v>January</v>
      </c>
      <c r="S177" t="str">
        <f t="shared" si="20"/>
        <v>Saturday</v>
      </c>
      <c r="T177" t="str">
        <f t="shared" si="21"/>
        <v>Weekend</v>
      </c>
      <c r="U177" t="str">
        <f t="shared" si="22"/>
        <v>Spring</v>
      </c>
      <c r="V177" t="str">
        <f t="shared" si="23"/>
        <v>Clear</v>
      </c>
      <c r="W177" t="str">
        <f t="shared" si="24"/>
        <v>Off Peak</v>
      </c>
      <c r="X177" t="str">
        <f t="shared" si="25"/>
        <v>Low</v>
      </c>
      <c r="Y177" t="str">
        <f t="shared" si="26"/>
        <v>Low</v>
      </c>
    </row>
    <row r="178" spans="1:25" ht="15.75" thickBot="1">
      <c r="A178" s="1">
        <v>177</v>
      </c>
      <c r="B178" s="2">
        <v>40551</v>
      </c>
      <c r="C178" s="1">
        <v>1</v>
      </c>
      <c r="D178" s="1">
        <v>0</v>
      </c>
      <c r="E178" s="1">
        <v>1</v>
      </c>
      <c r="F178" s="1">
        <v>15</v>
      </c>
      <c r="G178" s="3" t="b">
        <v>0</v>
      </c>
      <c r="H178" s="1">
        <v>6</v>
      </c>
      <c r="I178" s="1">
        <v>1</v>
      </c>
      <c r="J178" s="7">
        <v>0.2</v>
      </c>
      <c r="K178" s="8">
        <f>VLOOKUP($A178,'Temprorary Data'!$A:$G,2,FALSE)</f>
        <v>0.16669999999999999</v>
      </c>
      <c r="L178" s="8">
        <f>VLOOKUP($A178,'Temprorary Data'!$A:$G,3,FALSE)</f>
        <v>0.32</v>
      </c>
      <c r="M178" s="8">
        <f>VLOOKUP($A178,'Temprorary Data'!$A:$G,4,FALSE)</f>
        <v>0.44779999999999998</v>
      </c>
      <c r="N178" s="9">
        <f>VLOOKUP($A178,'Temprorary Data'!$A:$G,5,FALSE)</f>
        <v>5</v>
      </c>
      <c r="O178" s="9">
        <f>VLOOKUP($A178,'Temprorary Data'!$A:$G,6,FALSE)</f>
        <v>69</v>
      </c>
      <c r="P178" s="9">
        <f>VLOOKUP($A178,'Temprorary Data'!$A:$G,7,FALSE)</f>
        <v>74</v>
      </c>
      <c r="Q178" t="b">
        <f t="shared" si="18"/>
        <v>1</v>
      </c>
      <c r="R178" t="str">
        <f t="shared" si="19"/>
        <v>January</v>
      </c>
      <c r="S178" t="str">
        <f t="shared" si="20"/>
        <v>Saturday</v>
      </c>
      <c r="T178" t="str">
        <f t="shared" si="21"/>
        <v>Weekend</v>
      </c>
      <c r="U178" t="str">
        <f t="shared" si="22"/>
        <v>Spring</v>
      </c>
      <c r="V178" t="str">
        <f t="shared" si="23"/>
        <v>Clear</v>
      </c>
      <c r="W178" t="str">
        <f t="shared" si="24"/>
        <v>Off Peak</v>
      </c>
      <c r="X178" t="str">
        <f t="shared" si="25"/>
        <v>Low</v>
      </c>
      <c r="Y178" t="str">
        <f t="shared" si="26"/>
        <v>Low</v>
      </c>
    </row>
    <row r="179" spans="1:25" ht="15.75" thickBot="1">
      <c r="A179" s="1">
        <v>178</v>
      </c>
      <c r="B179" s="2">
        <v>40551</v>
      </c>
      <c r="C179" s="1">
        <v>1</v>
      </c>
      <c r="D179" s="1">
        <v>0</v>
      </c>
      <c r="E179" s="1">
        <v>1</v>
      </c>
      <c r="F179" s="1">
        <v>16</v>
      </c>
      <c r="G179" s="3" t="b">
        <v>0</v>
      </c>
      <c r="H179" s="1">
        <v>6</v>
      </c>
      <c r="I179" s="1">
        <v>1</v>
      </c>
      <c r="J179" s="7">
        <v>0.18</v>
      </c>
      <c r="K179" s="8">
        <f>VLOOKUP($A179,'Temprorary Data'!$A:$G,2,FALSE)</f>
        <v>0.13639999999999999</v>
      </c>
      <c r="L179" s="8">
        <f>VLOOKUP($A179,'Temprorary Data'!$A:$G,3,FALSE)</f>
        <v>0.28999999999999998</v>
      </c>
      <c r="M179" s="8">
        <f>VLOOKUP($A179,'Temprorary Data'!$A:$G,4,FALSE)</f>
        <v>0.44779999999999998</v>
      </c>
      <c r="N179" s="9">
        <f>VLOOKUP($A179,'Temprorary Data'!$A:$G,5,FALSE)</f>
        <v>8</v>
      </c>
      <c r="O179" s="9">
        <f>VLOOKUP($A179,'Temprorary Data'!$A:$G,6,FALSE)</f>
        <v>68</v>
      </c>
      <c r="P179" s="9">
        <f>VLOOKUP($A179,'Temprorary Data'!$A:$G,7,FALSE)</f>
        <v>76</v>
      </c>
      <c r="Q179" t="b">
        <f t="shared" si="18"/>
        <v>1</v>
      </c>
      <c r="R179" t="str">
        <f t="shared" si="19"/>
        <v>January</v>
      </c>
      <c r="S179" t="str">
        <f t="shared" si="20"/>
        <v>Saturday</v>
      </c>
      <c r="T179" t="str">
        <f t="shared" si="21"/>
        <v>Weekend</v>
      </c>
      <c r="U179" t="str">
        <f t="shared" si="22"/>
        <v>Spring</v>
      </c>
      <c r="V179" t="str">
        <f t="shared" si="23"/>
        <v>Clear</v>
      </c>
      <c r="W179" t="str">
        <f t="shared" si="24"/>
        <v>Off Peak</v>
      </c>
      <c r="X179" t="str">
        <f t="shared" si="25"/>
        <v>Low</v>
      </c>
      <c r="Y179" t="str">
        <f t="shared" si="26"/>
        <v>Low</v>
      </c>
    </row>
    <row r="180" spans="1:25" ht="15.75" thickBot="1">
      <c r="A180" s="1">
        <v>179</v>
      </c>
      <c r="B180" s="2">
        <v>40551</v>
      </c>
      <c r="C180" s="1">
        <v>1</v>
      </c>
      <c r="D180" s="1">
        <v>0</v>
      </c>
      <c r="E180" s="1">
        <v>1</v>
      </c>
      <c r="F180" s="1">
        <v>17</v>
      </c>
      <c r="G180" s="3" t="b">
        <v>0</v>
      </c>
      <c r="H180" s="1">
        <v>6</v>
      </c>
      <c r="I180" s="1">
        <v>1</v>
      </c>
      <c r="J180" s="7">
        <v>0.16</v>
      </c>
      <c r="K180" s="8">
        <f>VLOOKUP($A180,'Temprorary Data'!$A:$G,2,FALSE)</f>
        <v>0.1212</v>
      </c>
      <c r="L180" s="8">
        <f>VLOOKUP($A180,'Temprorary Data'!$A:$G,3,FALSE)</f>
        <v>0.37</v>
      </c>
      <c r="M180" s="8">
        <f>VLOOKUP($A180,'Temprorary Data'!$A:$G,4,FALSE)</f>
        <v>0.55220000000000002</v>
      </c>
      <c r="N180" s="9">
        <f>VLOOKUP($A180,'Temprorary Data'!$A:$G,5,FALSE)</f>
        <v>5</v>
      </c>
      <c r="O180" s="9">
        <f>VLOOKUP($A180,'Temprorary Data'!$A:$G,6,FALSE)</f>
        <v>64</v>
      </c>
      <c r="P180" s="9">
        <f>VLOOKUP($A180,'Temprorary Data'!$A:$G,7,FALSE)</f>
        <v>69</v>
      </c>
      <c r="Q180" t="b">
        <f t="shared" si="18"/>
        <v>1</v>
      </c>
      <c r="R180" t="str">
        <f t="shared" si="19"/>
        <v>January</v>
      </c>
      <c r="S180" t="str">
        <f t="shared" si="20"/>
        <v>Saturday</v>
      </c>
      <c r="T180" t="str">
        <f t="shared" si="21"/>
        <v>Weekend</v>
      </c>
      <c r="U180" t="str">
        <f t="shared" si="22"/>
        <v>Spring</v>
      </c>
      <c r="V180" t="str">
        <f t="shared" si="23"/>
        <v>Clear</v>
      </c>
      <c r="W180" t="str">
        <f t="shared" si="24"/>
        <v>Evening Peak</v>
      </c>
      <c r="X180" t="str">
        <f t="shared" si="25"/>
        <v>Low</v>
      </c>
      <c r="Y180" t="str">
        <f t="shared" si="26"/>
        <v>Low</v>
      </c>
    </row>
    <row r="181" spans="1:25" ht="15.75" thickBot="1">
      <c r="A181" s="1">
        <v>180</v>
      </c>
      <c r="B181" s="2">
        <v>40551</v>
      </c>
      <c r="C181" s="1">
        <v>1</v>
      </c>
      <c r="D181" s="1">
        <v>0</v>
      </c>
      <c r="E181" s="1">
        <v>1</v>
      </c>
      <c r="F181" s="1">
        <v>18</v>
      </c>
      <c r="G181" s="3" t="b">
        <v>0</v>
      </c>
      <c r="H181" s="1">
        <v>6</v>
      </c>
      <c r="I181" s="1">
        <v>1</v>
      </c>
      <c r="J181" s="7">
        <v>0.14000000000000001</v>
      </c>
      <c r="K181" s="8">
        <f>VLOOKUP($A181,'Temprorary Data'!$A:$G,2,FALSE)</f>
        <v>0.1212</v>
      </c>
      <c r="L181" s="8">
        <f>VLOOKUP($A181,'Temprorary Data'!$A:$G,3,FALSE)</f>
        <v>0.39</v>
      </c>
      <c r="M181" s="8">
        <f>VLOOKUP($A181,'Temprorary Data'!$A:$G,4,FALSE)</f>
        <v>0.29849999999999999</v>
      </c>
      <c r="N181" s="9">
        <f>VLOOKUP($A181,'Temprorary Data'!$A:$G,5,FALSE)</f>
        <v>3</v>
      </c>
      <c r="O181" s="9">
        <f>VLOOKUP($A181,'Temprorary Data'!$A:$G,6,FALSE)</f>
        <v>52</v>
      </c>
      <c r="P181" s="9">
        <f>VLOOKUP($A181,'Temprorary Data'!$A:$G,7,FALSE)</f>
        <v>55</v>
      </c>
      <c r="Q181" t="b">
        <f t="shared" si="18"/>
        <v>1</v>
      </c>
      <c r="R181" t="str">
        <f t="shared" si="19"/>
        <v>January</v>
      </c>
      <c r="S181" t="str">
        <f t="shared" si="20"/>
        <v>Saturday</v>
      </c>
      <c r="T181" t="str">
        <f t="shared" si="21"/>
        <v>Weekend</v>
      </c>
      <c r="U181" t="str">
        <f t="shared" si="22"/>
        <v>Spring</v>
      </c>
      <c r="V181" t="str">
        <f t="shared" si="23"/>
        <v>Clear</v>
      </c>
      <c r="W181" t="str">
        <f t="shared" si="24"/>
        <v>Evening Peak</v>
      </c>
      <c r="X181" t="str">
        <f t="shared" si="25"/>
        <v>Low</v>
      </c>
      <c r="Y181" t="str">
        <f t="shared" si="26"/>
        <v>Low</v>
      </c>
    </row>
    <row r="182" spans="1:25" ht="15.75" thickBot="1">
      <c r="A182" s="1">
        <v>181</v>
      </c>
      <c r="B182" s="2">
        <v>40551</v>
      </c>
      <c r="C182" s="1">
        <v>1</v>
      </c>
      <c r="D182" s="1">
        <v>0</v>
      </c>
      <c r="E182" s="1">
        <v>1</v>
      </c>
      <c r="F182" s="1">
        <v>19</v>
      </c>
      <c r="G182" s="3" t="b">
        <v>0</v>
      </c>
      <c r="H182" s="1">
        <v>6</v>
      </c>
      <c r="I182" s="1">
        <v>1</v>
      </c>
      <c r="J182" s="7">
        <v>0.14000000000000001</v>
      </c>
      <c r="K182" s="8">
        <f>VLOOKUP($A182,'Temprorary Data'!$A:$G,2,FALSE)</f>
        <v>0.1212</v>
      </c>
      <c r="L182" s="8">
        <f>VLOOKUP($A182,'Temprorary Data'!$A:$G,3,FALSE)</f>
        <v>0.36</v>
      </c>
      <c r="M182" s="8">
        <f>VLOOKUP($A182,'Temprorary Data'!$A:$G,4,FALSE)</f>
        <v>0.25369999999999998</v>
      </c>
      <c r="N182" s="9">
        <f>VLOOKUP($A182,'Temprorary Data'!$A:$G,5,FALSE)</f>
        <v>4</v>
      </c>
      <c r="O182" s="9">
        <f>VLOOKUP($A182,'Temprorary Data'!$A:$G,6,FALSE)</f>
        <v>26</v>
      </c>
      <c r="P182" s="9">
        <f>VLOOKUP($A182,'Temprorary Data'!$A:$G,7,FALSE)</f>
        <v>30</v>
      </c>
      <c r="Q182" t="b">
        <f t="shared" si="18"/>
        <v>1</v>
      </c>
      <c r="R182" t="str">
        <f t="shared" si="19"/>
        <v>January</v>
      </c>
      <c r="S182" t="str">
        <f t="shared" si="20"/>
        <v>Saturday</v>
      </c>
      <c r="T182" t="str">
        <f t="shared" si="21"/>
        <v>Weekend</v>
      </c>
      <c r="U182" t="str">
        <f t="shared" si="22"/>
        <v>Spring</v>
      </c>
      <c r="V182" t="str">
        <f t="shared" si="23"/>
        <v>Clear</v>
      </c>
      <c r="W182" t="str">
        <f t="shared" si="24"/>
        <v>Evening Peak</v>
      </c>
      <c r="X182" t="str">
        <f t="shared" si="25"/>
        <v>Low</v>
      </c>
      <c r="Y182" t="str">
        <f t="shared" si="26"/>
        <v>Low</v>
      </c>
    </row>
    <row r="183" spans="1:25" ht="15.75" thickBot="1">
      <c r="A183" s="1">
        <v>182</v>
      </c>
      <c r="B183" s="2">
        <v>40551</v>
      </c>
      <c r="C183" s="1">
        <v>1</v>
      </c>
      <c r="D183" s="1">
        <v>0</v>
      </c>
      <c r="E183" s="1">
        <v>1</v>
      </c>
      <c r="F183" s="1">
        <v>20</v>
      </c>
      <c r="G183" s="3" t="b">
        <v>0</v>
      </c>
      <c r="H183" s="1">
        <v>6</v>
      </c>
      <c r="I183" s="1">
        <v>1</v>
      </c>
      <c r="J183" s="7">
        <v>0.12</v>
      </c>
      <c r="K183" s="8">
        <f>VLOOKUP($A183,'Temprorary Data'!$A:$G,2,FALSE)</f>
        <v>0.1212</v>
      </c>
      <c r="L183" s="8">
        <f>VLOOKUP($A183,'Temprorary Data'!$A:$G,3,FALSE)</f>
        <v>0.36</v>
      </c>
      <c r="M183" s="8">
        <f>VLOOKUP($A183,'Temprorary Data'!$A:$G,4,FALSE)</f>
        <v>0.25369999999999998</v>
      </c>
      <c r="N183" s="9">
        <f>VLOOKUP($A183,'Temprorary Data'!$A:$G,5,FALSE)</f>
        <v>0</v>
      </c>
      <c r="O183" s="9">
        <f>VLOOKUP($A183,'Temprorary Data'!$A:$G,6,FALSE)</f>
        <v>28</v>
      </c>
      <c r="P183" s="9">
        <f>VLOOKUP($A183,'Temprorary Data'!$A:$G,7,FALSE)</f>
        <v>28</v>
      </c>
      <c r="Q183" t="b">
        <f t="shared" si="18"/>
        <v>1</v>
      </c>
      <c r="R183" t="str">
        <f t="shared" si="19"/>
        <v>January</v>
      </c>
      <c r="S183" t="str">
        <f t="shared" si="20"/>
        <v>Saturday</v>
      </c>
      <c r="T183" t="str">
        <f t="shared" si="21"/>
        <v>Weekend</v>
      </c>
      <c r="U183" t="str">
        <f t="shared" si="22"/>
        <v>Spring</v>
      </c>
      <c r="V183" t="str">
        <f t="shared" si="23"/>
        <v>Clear</v>
      </c>
      <c r="W183" t="str">
        <f t="shared" si="24"/>
        <v>Evening Peak</v>
      </c>
      <c r="X183" t="str">
        <f t="shared" si="25"/>
        <v>Low</v>
      </c>
      <c r="Y183" t="str">
        <f t="shared" si="26"/>
        <v>Low</v>
      </c>
    </row>
    <row r="184" spans="1:25" ht="15.75" thickBot="1">
      <c r="A184" s="1">
        <v>183</v>
      </c>
      <c r="B184" s="2">
        <v>40551</v>
      </c>
      <c r="C184" s="1">
        <v>1</v>
      </c>
      <c r="D184" s="1">
        <v>0</v>
      </c>
      <c r="E184" s="1">
        <v>1</v>
      </c>
      <c r="F184" s="1">
        <v>21</v>
      </c>
      <c r="G184" s="3" t="b">
        <v>0</v>
      </c>
      <c r="H184" s="1">
        <v>6</v>
      </c>
      <c r="I184" s="1">
        <v>1</v>
      </c>
      <c r="J184" s="7">
        <v>0.12</v>
      </c>
      <c r="K184" s="8">
        <f>VLOOKUP($A184,'Temprorary Data'!$A:$G,2,FALSE)</f>
        <v>0.1061</v>
      </c>
      <c r="L184" s="8">
        <f>VLOOKUP($A184,'Temprorary Data'!$A:$G,3,FALSE)</f>
        <v>0.39</v>
      </c>
      <c r="M184" s="8">
        <f>VLOOKUP($A184,'Temprorary Data'!$A:$G,4,FALSE)</f>
        <v>0.35820000000000002</v>
      </c>
      <c r="N184" s="9">
        <f>VLOOKUP($A184,'Temprorary Data'!$A:$G,5,FALSE)</f>
        <v>2</v>
      </c>
      <c r="O184" s="9">
        <f>VLOOKUP($A184,'Temprorary Data'!$A:$G,6,FALSE)</f>
        <v>35</v>
      </c>
      <c r="P184" s="9">
        <f>VLOOKUP($A184,'Temprorary Data'!$A:$G,7,FALSE)</f>
        <v>37</v>
      </c>
      <c r="Q184" t="b">
        <f t="shared" si="18"/>
        <v>1</v>
      </c>
      <c r="R184" t="str">
        <f t="shared" si="19"/>
        <v>January</v>
      </c>
      <c r="S184" t="str">
        <f t="shared" si="20"/>
        <v>Saturday</v>
      </c>
      <c r="T184" t="str">
        <f t="shared" si="21"/>
        <v>Weekend</v>
      </c>
      <c r="U184" t="str">
        <f t="shared" si="22"/>
        <v>Spring</v>
      </c>
      <c r="V184" t="str">
        <f t="shared" si="23"/>
        <v>Clear</v>
      </c>
      <c r="W184" t="str">
        <f t="shared" si="24"/>
        <v>Off Peak</v>
      </c>
      <c r="X184" t="str">
        <f t="shared" si="25"/>
        <v>Low</v>
      </c>
      <c r="Y184" t="str">
        <f t="shared" si="26"/>
        <v>Low</v>
      </c>
    </row>
    <row r="185" spans="1:25" ht="15.75" thickBot="1">
      <c r="A185" s="1">
        <v>184</v>
      </c>
      <c r="B185" s="2">
        <v>40551</v>
      </c>
      <c r="C185" s="1">
        <v>1</v>
      </c>
      <c r="D185" s="1">
        <v>0</v>
      </c>
      <c r="E185" s="1">
        <v>1</v>
      </c>
      <c r="F185" s="1">
        <v>22</v>
      </c>
      <c r="G185" s="3" t="b">
        <v>0</v>
      </c>
      <c r="H185" s="1">
        <v>6</v>
      </c>
      <c r="I185" s="1">
        <v>1</v>
      </c>
      <c r="J185" s="7">
        <v>0.12</v>
      </c>
      <c r="K185" s="8">
        <f>VLOOKUP($A185,'Temprorary Data'!$A:$G,2,FALSE)</f>
        <v>0.1061</v>
      </c>
      <c r="L185" s="8">
        <f>VLOOKUP($A185,'Temprorary Data'!$A:$G,3,FALSE)</f>
        <v>0.36</v>
      </c>
      <c r="M185" s="8">
        <f>VLOOKUP($A185,'Temprorary Data'!$A:$G,4,FALSE)</f>
        <v>0.3881</v>
      </c>
      <c r="N185" s="9">
        <f>VLOOKUP($A185,'Temprorary Data'!$A:$G,5,FALSE)</f>
        <v>1</v>
      </c>
      <c r="O185" s="9">
        <f>VLOOKUP($A185,'Temprorary Data'!$A:$G,6,FALSE)</f>
        <v>33</v>
      </c>
      <c r="P185" s="9">
        <f>VLOOKUP($A185,'Temprorary Data'!$A:$G,7,FALSE)</f>
        <v>34</v>
      </c>
      <c r="Q185" t="b">
        <f t="shared" si="18"/>
        <v>1</v>
      </c>
      <c r="R185" t="str">
        <f t="shared" si="19"/>
        <v>January</v>
      </c>
      <c r="S185" t="str">
        <f t="shared" si="20"/>
        <v>Saturday</v>
      </c>
      <c r="T185" t="str">
        <f t="shared" si="21"/>
        <v>Weekend</v>
      </c>
      <c r="U185" t="str">
        <f t="shared" si="22"/>
        <v>Spring</v>
      </c>
      <c r="V185" t="str">
        <f t="shared" si="23"/>
        <v>Clear</v>
      </c>
      <c r="W185" t="str">
        <f t="shared" si="24"/>
        <v>Off Peak</v>
      </c>
      <c r="X185" t="str">
        <f t="shared" si="25"/>
        <v>Low</v>
      </c>
      <c r="Y185" t="str">
        <f t="shared" si="26"/>
        <v>Low</v>
      </c>
    </row>
    <row r="186" spans="1:25" ht="15.75" thickBot="1">
      <c r="A186" s="1">
        <v>185</v>
      </c>
      <c r="B186" s="2">
        <v>40551</v>
      </c>
      <c r="C186" s="1">
        <v>1</v>
      </c>
      <c r="D186" s="1">
        <v>0</v>
      </c>
      <c r="E186" s="1">
        <v>1</v>
      </c>
      <c r="F186" s="1">
        <v>23</v>
      </c>
      <c r="G186" s="3" t="b">
        <v>0</v>
      </c>
      <c r="H186" s="1">
        <v>6</v>
      </c>
      <c r="I186" s="1">
        <v>1</v>
      </c>
      <c r="J186" s="7">
        <v>0.1</v>
      </c>
      <c r="K186" s="8">
        <f>VLOOKUP($A186,'Temprorary Data'!$A:$G,2,FALSE)</f>
        <v>6.0600000000000001E-2</v>
      </c>
      <c r="L186" s="8">
        <f>VLOOKUP($A186,'Temprorary Data'!$A:$G,3,FALSE)</f>
        <v>0.39</v>
      </c>
      <c r="M186" s="8">
        <f>VLOOKUP($A186,'Temprorary Data'!$A:$G,4,FALSE)</f>
        <v>0.44779999999999998</v>
      </c>
      <c r="N186" s="9">
        <f>VLOOKUP($A186,'Temprorary Data'!$A:$G,5,FALSE)</f>
        <v>0</v>
      </c>
      <c r="O186" s="9">
        <f>VLOOKUP($A186,'Temprorary Data'!$A:$G,6,FALSE)</f>
        <v>22</v>
      </c>
      <c r="P186" s="9">
        <f>VLOOKUP($A186,'Temprorary Data'!$A:$G,7,FALSE)</f>
        <v>22</v>
      </c>
      <c r="Q186" t="b">
        <f t="shared" si="18"/>
        <v>1</v>
      </c>
      <c r="R186" t="str">
        <f t="shared" si="19"/>
        <v>January</v>
      </c>
      <c r="S186" t="str">
        <f t="shared" si="20"/>
        <v>Saturday</v>
      </c>
      <c r="T186" t="str">
        <f t="shared" si="21"/>
        <v>Weekend</v>
      </c>
      <c r="U186" t="str">
        <f t="shared" si="22"/>
        <v>Spring</v>
      </c>
      <c r="V186" t="str">
        <f t="shared" si="23"/>
        <v>Clear</v>
      </c>
      <c r="W186" t="str">
        <f t="shared" si="24"/>
        <v>Off Peak</v>
      </c>
      <c r="X186" t="str">
        <f t="shared" si="25"/>
        <v>Low</v>
      </c>
      <c r="Y186" t="str">
        <f t="shared" si="26"/>
        <v>Low</v>
      </c>
    </row>
    <row r="187" spans="1:25" ht="15.75" thickBot="1">
      <c r="A187" s="1">
        <v>186</v>
      </c>
      <c r="B187" s="2">
        <v>40552</v>
      </c>
      <c r="C187" s="1">
        <v>1</v>
      </c>
      <c r="D187" s="1">
        <v>0</v>
      </c>
      <c r="E187" s="1">
        <v>1</v>
      </c>
      <c r="F187" s="1">
        <v>0</v>
      </c>
      <c r="G187" s="3" t="b">
        <v>0</v>
      </c>
      <c r="H187" s="1">
        <v>0</v>
      </c>
      <c r="I187" s="1">
        <v>1</v>
      </c>
      <c r="J187" s="7">
        <v>0.1</v>
      </c>
      <c r="K187" s="8">
        <f>VLOOKUP($A187,'Temprorary Data'!$A:$G,2,FALSE)</f>
        <v>7.5800000000000006E-2</v>
      </c>
      <c r="L187" s="8">
        <f>VLOOKUP($A187,'Temprorary Data'!$A:$G,3,FALSE)</f>
        <v>0.42</v>
      </c>
      <c r="M187" s="8">
        <f>VLOOKUP($A187,'Temprorary Data'!$A:$G,4,FALSE)</f>
        <v>0.3881</v>
      </c>
      <c r="N187" s="9">
        <f>VLOOKUP($A187,'Temprorary Data'!$A:$G,5,FALSE)</f>
        <v>1</v>
      </c>
      <c r="O187" s="9">
        <f>VLOOKUP($A187,'Temprorary Data'!$A:$G,6,FALSE)</f>
        <v>24</v>
      </c>
      <c r="P187" s="9">
        <f>VLOOKUP($A187,'Temprorary Data'!$A:$G,7,FALSE)</f>
        <v>25</v>
      </c>
      <c r="Q187" t="b">
        <f t="shared" si="18"/>
        <v>1</v>
      </c>
      <c r="R187" t="str">
        <f t="shared" si="19"/>
        <v>January</v>
      </c>
      <c r="S187" t="str">
        <f t="shared" si="20"/>
        <v>Sunday</v>
      </c>
      <c r="T187" t="str">
        <f t="shared" si="21"/>
        <v>Weekend</v>
      </c>
      <c r="U187" t="str">
        <f t="shared" si="22"/>
        <v>Spring</v>
      </c>
      <c r="V187" t="str">
        <f t="shared" si="23"/>
        <v>Clear</v>
      </c>
      <c r="W187" t="str">
        <f t="shared" si="24"/>
        <v>Off Peak</v>
      </c>
      <c r="X187" t="str">
        <f t="shared" si="25"/>
        <v>Low</v>
      </c>
      <c r="Y187" t="str">
        <f t="shared" si="26"/>
        <v>Medium</v>
      </c>
    </row>
    <row r="188" spans="1:25" ht="15.75" thickBot="1">
      <c r="A188" s="1">
        <v>187</v>
      </c>
      <c r="B188" s="2">
        <v>40552</v>
      </c>
      <c r="C188" s="1">
        <v>1</v>
      </c>
      <c r="D188" s="1">
        <v>0</v>
      </c>
      <c r="E188" s="1">
        <v>1</v>
      </c>
      <c r="F188" s="1">
        <v>1</v>
      </c>
      <c r="G188" s="3" t="b">
        <v>0</v>
      </c>
      <c r="H188" s="1">
        <v>0</v>
      </c>
      <c r="I188" s="1">
        <v>1</v>
      </c>
      <c r="J188" s="7">
        <v>0.1</v>
      </c>
      <c r="K188" s="8">
        <f>VLOOKUP($A188,'Temprorary Data'!$A:$G,2,FALSE)</f>
        <v>6.0600000000000001E-2</v>
      </c>
      <c r="L188" s="8">
        <f>VLOOKUP($A188,'Temprorary Data'!$A:$G,3,FALSE)</f>
        <v>0.42</v>
      </c>
      <c r="M188" s="8">
        <f>VLOOKUP($A188,'Temprorary Data'!$A:$G,4,FALSE)</f>
        <v>0.4627</v>
      </c>
      <c r="N188" s="9">
        <f>VLOOKUP($A188,'Temprorary Data'!$A:$G,5,FALSE)</f>
        <v>0</v>
      </c>
      <c r="O188" s="9">
        <f>VLOOKUP($A188,'Temprorary Data'!$A:$G,6,FALSE)</f>
        <v>12</v>
      </c>
      <c r="P188" s="9">
        <f>VLOOKUP($A188,'Temprorary Data'!$A:$G,7,FALSE)</f>
        <v>12</v>
      </c>
      <c r="Q188" t="b">
        <f t="shared" si="18"/>
        <v>1</v>
      </c>
      <c r="R188" t="str">
        <f t="shared" si="19"/>
        <v>January</v>
      </c>
      <c r="S188" t="str">
        <f t="shared" si="20"/>
        <v>Sunday</v>
      </c>
      <c r="T188" t="str">
        <f t="shared" si="21"/>
        <v>Weekend</v>
      </c>
      <c r="U188" t="str">
        <f t="shared" si="22"/>
        <v>Spring</v>
      </c>
      <c r="V188" t="str">
        <f t="shared" si="23"/>
        <v>Clear</v>
      </c>
      <c r="W188" t="str">
        <f t="shared" si="24"/>
        <v>Off Peak</v>
      </c>
      <c r="X188" t="str">
        <f t="shared" si="25"/>
        <v>Low</v>
      </c>
      <c r="Y188" t="str">
        <f t="shared" si="26"/>
        <v>Medium</v>
      </c>
    </row>
    <row r="189" spans="1:25" ht="15.75" thickBot="1">
      <c r="A189" s="1">
        <v>188</v>
      </c>
      <c r="B189" s="2">
        <v>40552</v>
      </c>
      <c r="C189" s="1">
        <v>1</v>
      </c>
      <c r="D189" s="1">
        <v>0</v>
      </c>
      <c r="E189" s="1">
        <v>1</v>
      </c>
      <c r="F189" s="1">
        <v>2</v>
      </c>
      <c r="G189" s="3" t="b">
        <v>0</v>
      </c>
      <c r="H189" s="1">
        <v>0</v>
      </c>
      <c r="I189" s="1">
        <v>1</v>
      </c>
      <c r="J189" s="7">
        <v>0.1</v>
      </c>
      <c r="K189" s="8">
        <f>VLOOKUP($A189,'Temprorary Data'!$A:$G,2,FALSE)</f>
        <v>6.0600000000000001E-2</v>
      </c>
      <c r="L189" s="8">
        <f>VLOOKUP($A189,'Temprorary Data'!$A:$G,3,FALSE)</f>
        <v>0.46</v>
      </c>
      <c r="M189" s="8">
        <f>VLOOKUP($A189,'Temprorary Data'!$A:$G,4,FALSE)</f>
        <v>0.4627</v>
      </c>
      <c r="N189" s="9">
        <f>VLOOKUP($A189,'Temprorary Data'!$A:$G,5,FALSE)</f>
        <v>0</v>
      </c>
      <c r="O189" s="9">
        <f>VLOOKUP($A189,'Temprorary Data'!$A:$G,6,FALSE)</f>
        <v>11</v>
      </c>
      <c r="P189" s="9">
        <f>VLOOKUP($A189,'Temprorary Data'!$A:$G,7,FALSE)</f>
        <v>11</v>
      </c>
      <c r="Q189" t="b">
        <f t="shared" si="18"/>
        <v>1</v>
      </c>
      <c r="R189" t="str">
        <f t="shared" si="19"/>
        <v>January</v>
      </c>
      <c r="S189" t="str">
        <f t="shared" si="20"/>
        <v>Sunday</v>
      </c>
      <c r="T189" t="str">
        <f t="shared" si="21"/>
        <v>Weekend</v>
      </c>
      <c r="U189" t="str">
        <f t="shared" si="22"/>
        <v>Spring</v>
      </c>
      <c r="V189" t="str">
        <f t="shared" si="23"/>
        <v>Clear</v>
      </c>
      <c r="W189" t="str">
        <f t="shared" si="24"/>
        <v>Off Peak</v>
      </c>
      <c r="X189" t="str">
        <f t="shared" si="25"/>
        <v>Low</v>
      </c>
      <c r="Y189" t="str">
        <f t="shared" si="26"/>
        <v>Medium</v>
      </c>
    </row>
    <row r="190" spans="1:25" ht="15.75" thickBot="1">
      <c r="A190" s="1">
        <v>189</v>
      </c>
      <c r="B190" s="2">
        <v>40552</v>
      </c>
      <c r="C190" s="1">
        <v>1</v>
      </c>
      <c r="D190" s="1">
        <v>0</v>
      </c>
      <c r="E190" s="1">
        <v>1</v>
      </c>
      <c r="F190" s="1">
        <v>3</v>
      </c>
      <c r="G190" s="3" t="b">
        <v>0</v>
      </c>
      <c r="H190" s="1">
        <v>0</v>
      </c>
      <c r="I190" s="1">
        <v>1</v>
      </c>
      <c r="J190" s="7">
        <v>0.1</v>
      </c>
      <c r="K190" s="8">
        <f>VLOOKUP($A190,'Temprorary Data'!$A:$G,2,FALSE)</f>
        <v>7.5800000000000006E-2</v>
      </c>
      <c r="L190" s="8">
        <f>VLOOKUP($A190,'Temprorary Data'!$A:$G,3,FALSE)</f>
        <v>0.46</v>
      </c>
      <c r="M190" s="8">
        <f>VLOOKUP($A190,'Temprorary Data'!$A:$G,4,FALSE)</f>
        <v>0.41789999999999999</v>
      </c>
      <c r="N190" s="9">
        <f>VLOOKUP($A190,'Temprorary Data'!$A:$G,5,FALSE)</f>
        <v>0</v>
      </c>
      <c r="O190" s="9">
        <f>VLOOKUP($A190,'Temprorary Data'!$A:$G,6,FALSE)</f>
        <v>4</v>
      </c>
      <c r="P190" s="9">
        <f>VLOOKUP($A190,'Temprorary Data'!$A:$G,7,FALSE)</f>
        <v>4</v>
      </c>
      <c r="Q190" t="b">
        <f t="shared" si="18"/>
        <v>1</v>
      </c>
      <c r="R190" t="str">
        <f t="shared" si="19"/>
        <v>January</v>
      </c>
      <c r="S190" t="str">
        <f t="shared" si="20"/>
        <v>Sunday</v>
      </c>
      <c r="T190" t="str">
        <f t="shared" si="21"/>
        <v>Weekend</v>
      </c>
      <c r="U190" t="str">
        <f t="shared" si="22"/>
        <v>Spring</v>
      </c>
      <c r="V190" t="str">
        <f t="shared" si="23"/>
        <v>Clear</v>
      </c>
      <c r="W190" t="str">
        <f t="shared" si="24"/>
        <v>Off Peak</v>
      </c>
      <c r="X190" t="str">
        <f t="shared" si="25"/>
        <v>Low</v>
      </c>
      <c r="Y190" t="str">
        <f t="shared" si="26"/>
        <v>Medium</v>
      </c>
    </row>
    <row r="191" spans="1:25" ht="15.75" thickBot="1">
      <c r="A191" s="1">
        <v>190</v>
      </c>
      <c r="B191" s="2">
        <v>40552</v>
      </c>
      <c r="C191" s="1">
        <v>1</v>
      </c>
      <c r="D191" s="1">
        <v>0</v>
      </c>
      <c r="E191" s="1">
        <v>1</v>
      </c>
      <c r="F191" s="1">
        <v>4</v>
      </c>
      <c r="G191" s="3" t="b">
        <v>0</v>
      </c>
      <c r="H191" s="1">
        <v>0</v>
      </c>
      <c r="I191" s="1">
        <v>1</v>
      </c>
      <c r="J191" s="7">
        <v>0.08</v>
      </c>
      <c r="K191" s="8">
        <f>VLOOKUP($A191,'Temprorary Data'!$A:$G,2,FALSE)</f>
        <v>9.0899999999999995E-2</v>
      </c>
      <c r="L191" s="8">
        <f>VLOOKUP($A191,'Temprorary Data'!$A:$G,3,FALSE)</f>
        <v>0.53</v>
      </c>
      <c r="M191" s="8">
        <f>VLOOKUP($A191,'Temprorary Data'!$A:$G,4,FALSE)</f>
        <v>0.19400000000000001</v>
      </c>
      <c r="N191" s="9">
        <f>VLOOKUP($A191,'Temprorary Data'!$A:$G,5,FALSE)</f>
        <v>0</v>
      </c>
      <c r="O191" s="9">
        <f>VLOOKUP($A191,'Temprorary Data'!$A:$G,6,FALSE)</f>
        <v>1</v>
      </c>
      <c r="P191" s="9">
        <f>VLOOKUP($A191,'Temprorary Data'!$A:$G,7,FALSE)</f>
        <v>1</v>
      </c>
      <c r="Q191" t="b">
        <f t="shared" si="18"/>
        <v>1</v>
      </c>
      <c r="R191" t="str">
        <f t="shared" si="19"/>
        <v>January</v>
      </c>
      <c r="S191" t="str">
        <f t="shared" si="20"/>
        <v>Sunday</v>
      </c>
      <c r="T191" t="str">
        <f t="shared" si="21"/>
        <v>Weekend</v>
      </c>
      <c r="U191" t="str">
        <f t="shared" si="22"/>
        <v>Spring</v>
      </c>
      <c r="V191" t="str">
        <f t="shared" si="23"/>
        <v>Clear</v>
      </c>
      <c r="W191" t="str">
        <f t="shared" si="24"/>
        <v>Off Peak</v>
      </c>
      <c r="X191" t="str">
        <f t="shared" si="25"/>
        <v>Low</v>
      </c>
      <c r="Y191" t="str">
        <f t="shared" si="26"/>
        <v>Medium</v>
      </c>
    </row>
    <row r="192" spans="1:25" ht="15.75" thickBot="1">
      <c r="A192" s="1">
        <v>191</v>
      </c>
      <c r="B192" s="2">
        <v>40552</v>
      </c>
      <c r="C192" s="1">
        <v>1</v>
      </c>
      <c r="D192" s="1">
        <v>0</v>
      </c>
      <c r="E192" s="1">
        <v>1</v>
      </c>
      <c r="F192" s="1">
        <v>5</v>
      </c>
      <c r="G192" s="3" t="b">
        <v>0</v>
      </c>
      <c r="H192" s="1">
        <v>0</v>
      </c>
      <c r="I192" s="1">
        <v>1</v>
      </c>
      <c r="J192" s="7">
        <v>0.08</v>
      </c>
      <c r="K192" s="8">
        <f>VLOOKUP($A192,'Temprorary Data'!$A:$G,2,FALSE)</f>
        <v>9.0899999999999995E-2</v>
      </c>
      <c r="L192" s="8">
        <f>VLOOKUP($A192,'Temprorary Data'!$A:$G,3,FALSE)</f>
        <v>0.53</v>
      </c>
      <c r="M192" s="8">
        <f>VLOOKUP($A192,'Temprorary Data'!$A:$G,4,FALSE)</f>
        <v>0.19400000000000001</v>
      </c>
      <c r="N192" s="9">
        <f>VLOOKUP($A192,'Temprorary Data'!$A:$G,5,FALSE)</f>
        <v>0</v>
      </c>
      <c r="O192" s="9">
        <f>VLOOKUP($A192,'Temprorary Data'!$A:$G,6,FALSE)</f>
        <v>1</v>
      </c>
      <c r="P192" s="9">
        <f>VLOOKUP($A192,'Temprorary Data'!$A:$G,7,FALSE)</f>
        <v>1</v>
      </c>
      <c r="Q192" t="b">
        <f t="shared" si="18"/>
        <v>1</v>
      </c>
      <c r="R192" t="str">
        <f t="shared" si="19"/>
        <v>January</v>
      </c>
      <c r="S192" t="str">
        <f t="shared" si="20"/>
        <v>Sunday</v>
      </c>
      <c r="T192" t="str">
        <f t="shared" si="21"/>
        <v>Weekend</v>
      </c>
      <c r="U192" t="str">
        <f t="shared" si="22"/>
        <v>Spring</v>
      </c>
      <c r="V192" t="str">
        <f t="shared" si="23"/>
        <v>Clear</v>
      </c>
      <c r="W192" t="str">
        <f t="shared" si="24"/>
        <v>Off Peak</v>
      </c>
      <c r="X192" t="str">
        <f t="shared" si="25"/>
        <v>Low</v>
      </c>
      <c r="Y192" t="str">
        <f t="shared" si="26"/>
        <v>Medium</v>
      </c>
    </row>
    <row r="193" spans="1:25" ht="15.75" thickBot="1">
      <c r="A193" s="1">
        <v>192</v>
      </c>
      <c r="B193" s="2">
        <v>40552</v>
      </c>
      <c r="C193" s="1">
        <v>1</v>
      </c>
      <c r="D193" s="1">
        <v>0</v>
      </c>
      <c r="E193" s="1">
        <v>1</v>
      </c>
      <c r="F193" s="1">
        <v>6</v>
      </c>
      <c r="G193" s="3" t="b">
        <v>0</v>
      </c>
      <c r="H193" s="1">
        <v>0</v>
      </c>
      <c r="I193" s="1">
        <v>1</v>
      </c>
      <c r="J193" s="7">
        <v>0.1</v>
      </c>
      <c r="K193" s="8">
        <f>VLOOKUP($A193,'Temprorary Data'!$A:$G,2,FALSE)</f>
        <v>9.0899999999999995E-2</v>
      </c>
      <c r="L193" s="8">
        <f>VLOOKUP($A193,'Temprorary Data'!$A:$G,3,FALSE)</f>
        <v>0.49</v>
      </c>
      <c r="M193" s="8">
        <f>VLOOKUP($A193,'Temprorary Data'!$A:$G,4,FALSE)</f>
        <v>0.28360000000000002</v>
      </c>
      <c r="N193" s="9">
        <f>VLOOKUP($A193,'Temprorary Data'!$A:$G,5,FALSE)</f>
        <v>0</v>
      </c>
      <c r="O193" s="9">
        <f>VLOOKUP($A193,'Temprorary Data'!$A:$G,6,FALSE)</f>
        <v>1</v>
      </c>
      <c r="P193" s="9">
        <f>VLOOKUP($A193,'Temprorary Data'!$A:$G,7,FALSE)</f>
        <v>1</v>
      </c>
      <c r="Q193" t="b">
        <f t="shared" si="18"/>
        <v>1</v>
      </c>
      <c r="R193" t="str">
        <f t="shared" si="19"/>
        <v>January</v>
      </c>
      <c r="S193" t="str">
        <f t="shared" si="20"/>
        <v>Sunday</v>
      </c>
      <c r="T193" t="str">
        <f t="shared" si="21"/>
        <v>Weekend</v>
      </c>
      <c r="U193" t="str">
        <f t="shared" si="22"/>
        <v>Spring</v>
      </c>
      <c r="V193" t="str">
        <f t="shared" si="23"/>
        <v>Clear</v>
      </c>
      <c r="W193" t="str">
        <f t="shared" si="24"/>
        <v>Off Peak</v>
      </c>
      <c r="X193" t="str">
        <f t="shared" si="25"/>
        <v>Low</v>
      </c>
      <c r="Y193" t="str">
        <f t="shared" si="26"/>
        <v>Medium</v>
      </c>
    </row>
    <row r="194" spans="1:25" ht="15.75" thickBot="1">
      <c r="A194" s="1">
        <v>193</v>
      </c>
      <c r="B194" s="2">
        <v>40552</v>
      </c>
      <c r="C194" s="1">
        <v>1</v>
      </c>
      <c r="D194" s="1">
        <v>0</v>
      </c>
      <c r="E194" s="1">
        <v>1</v>
      </c>
      <c r="F194" s="1">
        <v>7</v>
      </c>
      <c r="G194" s="3" t="b">
        <v>0</v>
      </c>
      <c r="H194" s="1">
        <v>0</v>
      </c>
      <c r="I194" s="1">
        <v>1</v>
      </c>
      <c r="J194" s="7">
        <v>0.08</v>
      </c>
      <c r="K194" s="8">
        <f>VLOOKUP($A194,'Temprorary Data'!$A:$G,2,FALSE)</f>
        <v>9.0899999999999995E-2</v>
      </c>
      <c r="L194" s="8">
        <f>VLOOKUP($A194,'Temprorary Data'!$A:$G,3,FALSE)</f>
        <v>0.53</v>
      </c>
      <c r="M194" s="8">
        <f>VLOOKUP($A194,'Temprorary Data'!$A:$G,4,FALSE)</f>
        <v>0.19400000000000001</v>
      </c>
      <c r="N194" s="9">
        <f>VLOOKUP($A194,'Temprorary Data'!$A:$G,5,FALSE)</f>
        <v>1</v>
      </c>
      <c r="O194" s="9">
        <f>VLOOKUP($A194,'Temprorary Data'!$A:$G,6,FALSE)</f>
        <v>5</v>
      </c>
      <c r="P194" s="9">
        <f>VLOOKUP($A194,'Temprorary Data'!$A:$G,7,FALSE)</f>
        <v>6</v>
      </c>
      <c r="Q194" t="b">
        <f t="shared" si="18"/>
        <v>1</v>
      </c>
      <c r="R194" t="str">
        <f t="shared" si="19"/>
        <v>January</v>
      </c>
      <c r="S194" t="str">
        <f t="shared" si="20"/>
        <v>Sunday</v>
      </c>
      <c r="T194" t="str">
        <f t="shared" si="21"/>
        <v>Weekend</v>
      </c>
      <c r="U194" t="str">
        <f t="shared" si="22"/>
        <v>Spring</v>
      </c>
      <c r="V194" t="str">
        <f t="shared" si="23"/>
        <v>Clear</v>
      </c>
      <c r="W194" t="str">
        <f t="shared" si="24"/>
        <v>Morning Peak</v>
      </c>
      <c r="X194" t="str">
        <f t="shared" si="25"/>
        <v>Low</v>
      </c>
      <c r="Y194" t="str">
        <f t="shared" si="26"/>
        <v>Medium</v>
      </c>
    </row>
    <row r="195" spans="1:25" ht="15.75" thickBot="1">
      <c r="A195" s="1">
        <v>194</v>
      </c>
      <c r="B195" s="2">
        <v>40552</v>
      </c>
      <c r="C195" s="1">
        <v>1</v>
      </c>
      <c r="D195" s="1">
        <v>0</v>
      </c>
      <c r="E195" s="1">
        <v>1</v>
      </c>
      <c r="F195" s="1">
        <v>8</v>
      </c>
      <c r="G195" s="3" t="b">
        <v>0</v>
      </c>
      <c r="H195" s="1">
        <v>0</v>
      </c>
      <c r="I195" s="1">
        <v>1</v>
      </c>
      <c r="J195" s="7">
        <v>0.1</v>
      </c>
      <c r="K195" s="8">
        <f>VLOOKUP($A195,'Temprorary Data'!$A:$G,2,FALSE)</f>
        <v>9.0899999999999995E-2</v>
      </c>
      <c r="L195" s="8">
        <f>VLOOKUP($A195,'Temprorary Data'!$A:$G,3,FALSE)</f>
        <v>0.49</v>
      </c>
      <c r="M195" s="8">
        <f>VLOOKUP($A195,'Temprorary Data'!$A:$G,4,FALSE)</f>
        <v>0.28360000000000002</v>
      </c>
      <c r="N195" s="9">
        <f>VLOOKUP($A195,'Temprorary Data'!$A:$G,5,FALSE)</f>
        <v>0</v>
      </c>
      <c r="O195" s="9">
        <f>VLOOKUP($A195,'Temprorary Data'!$A:$G,6,FALSE)</f>
        <v>10</v>
      </c>
      <c r="P195" s="9">
        <f>VLOOKUP($A195,'Temprorary Data'!$A:$G,7,FALSE)</f>
        <v>10</v>
      </c>
      <c r="Q195" t="b">
        <f t="shared" ref="Q195:Q258" si="27">N195+O195=P195</f>
        <v>1</v>
      </c>
      <c r="R195" t="str">
        <f t="shared" ref="R195:R258" si="28">TEXT(B195,"mmmm")</f>
        <v>January</v>
      </c>
      <c r="S195" t="str">
        <f t="shared" ref="S195:S258" si="29">TEXT(B195,"dddd")</f>
        <v>Sunday</v>
      </c>
      <c r="T195" t="str">
        <f t="shared" ref="T195:T258" si="30">IF(OR(H195=0,H195=6),"Weekend","Weekday")</f>
        <v>Weekend</v>
      </c>
      <c r="U195" t="str">
        <f t="shared" ref="U195:U258" si="31">IF(C195=1,"Spring",IF(C195=2,"Summer",IF(C195=3,"Fall","Winter")))</f>
        <v>Spring</v>
      </c>
      <c r="V195" t="str">
        <f t="shared" ref="V195:V258" si="32">IF(I195=1,"Clear",IF(I195=2,"Mist",IF(I195=3,"Light Rain","Heavy Rain")))</f>
        <v>Clear</v>
      </c>
      <c r="W195" t="str">
        <f t="shared" ref="W195:W258" si="33">IF(AND(F195&gt;=7,F195&lt;=9),"Morning Peak",IF(AND(F195&gt;=17,F195&lt;=20),"Evening Peak","Off Peak"))</f>
        <v>Morning Peak</v>
      </c>
      <c r="X195" t="str">
        <f t="shared" ref="X195:X258" si="34">IF(J195&lt;0.3,"Low",IF(J195&lt;0.6,"Medium","High"))</f>
        <v>Low</v>
      </c>
      <c r="Y195" t="str">
        <f t="shared" ref="Y195:Y258" si="35">IF(L195&lt;0.4,"Low",IF(L195&lt;0.7,"Medium","High"))</f>
        <v>Medium</v>
      </c>
    </row>
    <row r="196" spans="1:25" ht="15.75" thickBot="1">
      <c r="A196" s="1">
        <v>195</v>
      </c>
      <c r="B196" s="2">
        <v>40552</v>
      </c>
      <c r="C196" s="1">
        <v>1</v>
      </c>
      <c r="D196" s="1">
        <v>0</v>
      </c>
      <c r="E196" s="1">
        <v>1</v>
      </c>
      <c r="F196" s="1">
        <v>9</v>
      </c>
      <c r="G196" s="3" t="b">
        <v>0</v>
      </c>
      <c r="H196" s="1">
        <v>0</v>
      </c>
      <c r="I196" s="1">
        <v>1</v>
      </c>
      <c r="J196" s="7">
        <v>0.12</v>
      </c>
      <c r="K196" s="8">
        <f>VLOOKUP($A196,'Temprorary Data'!$A:$G,2,FALSE)</f>
        <v>7.5800000000000006E-2</v>
      </c>
      <c r="L196" s="8">
        <f>VLOOKUP($A196,'Temprorary Data'!$A:$G,3,FALSE)</f>
        <v>0.46</v>
      </c>
      <c r="M196" s="8">
        <f>VLOOKUP($A196,'Temprorary Data'!$A:$G,4,FALSE)</f>
        <v>0.52239999999999998</v>
      </c>
      <c r="N196" s="9">
        <f>VLOOKUP($A196,'Temprorary Data'!$A:$G,5,FALSE)</f>
        <v>0</v>
      </c>
      <c r="O196" s="9">
        <f>VLOOKUP($A196,'Temprorary Data'!$A:$G,6,FALSE)</f>
        <v>19</v>
      </c>
      <c r="P196" s="9">
        <f>VLOOKUP($A196,'Temprorary Data'!$A:$G,7,FALSE)</f>
        <v>19</v>
      </c>
      <c r="Q196" t="b">
        <f t="shared" si="27"/>
        <v>1</v>
      </c>
      <c r="R196" t="str">
        <f t="shared" si="28"/>
        <v>January</v>
      </c>
      <c r="S196" t="str">
        <f t="shared" si="29"/>
        <v>Sunday</v>
      </c>
      <c r="T196" t="str">
        <f t="shared" si="30"/>
        <v>Weekend</v>
      </c>
      <c r="U196" t="str">
        <f t="shared" si="31"/>
        <v>Spring</v>
      </c>
      <c r="V196" t="str">
        <f t="shared" si="32"/>
        <v>Clear</v>
      </c>
      <c r="W196" t="str">
        <f t="shared" si="33"/>
        <v>Morning Peak</v>
      </c>
      <c r="X196" t="str">
        <f t="shared" si="34"/>
        <v>Low</v>
      </c>
      <c r="Y196" t="str">
        <f t="shared" si="35"/>
        <v>Medium</v>
      </c>
    </row>
    <row r="197" spans="1:25" ht="15.75" thickBot="1">
      <c r="A197" s="1">
        <v>196</v>
      </c>
      <c r="B197" s="2">
        <v>40552</v>
      </c>
      <c r="C197" s="1">
        <v>1</v>
      </c>
      <c r="D197" s="1">
        <v>0</v>
      </c>
      <c r="E197" s="1">
        <v>1</v>
      </c>
      <c r="F197" s="1">
        <v>10</v>
      </c>
      <c r="G197" s="3" t="b">
        <v>0</v>
      </c>
      <c r="H197" s="1">
        <v>0</v>
      </c>
      <c r="I197" s="1">
        <v>1</v>
      </c>
      <c r="J197" s="7">
        <v>0.14000000000000001</v>
      </c>
      <c r="K197" s="8">
        <f>VLOOKUP($A197,'Temprorary Data'!$A:$G,2,FALSE)</f>
        <v>0.1061</v>
      </c>
      <c r="L197" s="8">
        <f>VLOOKUP($A197,'Temprorary Data'!$A:$G,3,FALSE)</f>
        <v>0.43</v>
      </c>
      <c r="M197" s="8">
        <f>VLOOKUP($A197,'Temprorary Data'!$A:$G,4,FALSE)</f>
        <v>0.3881</v>
      </c>
      <c r="N197" s="9">
        <f>VLOOKUP($A197,'Temprorary Data'!$A:$G,5,FALSE)</f>
        <v>0</v>
      </c>
      <c r="O197" s="9">
        <f>VLOOKUP($A197,'Temprorary Data'!$A:$G,6,FALSE)</f>
        <v>49</v>
      </c>
      <c r="P197" s="9">
        <f>VLOOKUP($A197,'Temprorary Data'!$A:$G,7,FALSE)</f>
        <v>49</v>
      </c>
      <c r="Q197" t="b">
        <f t="shared" si="27"/>
        <v>1</v>
      </c>
      <c r="R197" t="str">
        <f t="shared" si="28"/>
        <v>January</v>
      </c>
      <c r="S197" t="str">
        <f t="shared" si="29"/>
        <v>Sunday</v>
      </c>
      <c r="T197" t="str">
        <f t="shared" si="30"/>
        <v>Weekend</v>
      </c>
      <c r="U197" t="str">
        <f t="shared" si="31"/>
        <v>Spring</v>
      </c>
      <c r="V197" t="str">
        <f t="shared" si="32"/>
        <v>Clear</v>
      </c>
      <c r="W197" t="str">
        <f t="shared" si="33"/>
        <v>Off Peak</v>
      </c>
      <c r="X197" t="str">
        <f t="shared" si="34"/>
        <v>Low</v>
      </c>
      <c r="Y197" t="str">
        <f t="shared" si="35"/>
        <v>Medium</v>
      </c>
    </row>
    <row r="198" spans="1:25" ht="15.75" thickBot="1">
      <c r="A198" s="1">
        <v>197</v>
      </c>
      <c r="B198" s="2">
        <v>40552</v>
      </c>
      <c r="C198" s="1">
        <v>1</v>
      </c>
      <c r="D198" s="1">
        <v>0</v>
      </c>
      <c r="E198" s="1">
        <v>1</v>
      </c>
      <c r="F198" s="1">
        <v>11</v>
      </c>
      <c r="G198" s="3" t="b">
        <v>0</v>
      </c>
      <c r="H198" s="1">
        <v>0</v>
      </c>
      <c r="I198" s="1">
        <v>1</v>
      </c>
      <c r="J198" s="7">
        <v>0.16</v>
      </c>
      <c r="K198" s="8">
        <f>VLOOKUP($A198,'Temprorary Data'!$A:$G,2,FALSE)</f>
        <v>0.1212</v>
      </c>
      <c r="L198" s="8">
        <f>VLOOKUP($A198,'Temprorary Data'!$A:$G,3,FALSE)</f>
        <v>0.4</v>
      </c>
      <c r="M198" s="8">
        <f>VLOOKUP($A198,'Temprorary Data'!$A:$G,4,FALSE)</f>
        <v>0.52239999999999998</v>
      </c>
      <c r="N198" s="9">
        <f>VLOOKUP($A198,'Temprorary Data'!$A:$G,5,FALSE)</f>
        <v>2</v>
      </c>
      <c r="O198" s="9">
        <f>VLOOKUP($A198,'Temprorary Data'!$A:$G,6,FALSE)</f>
        <v>47</v>
      </c>
      <c r="P198" s="9">
        <f>VLOOKUP($A198,'Temprorary Data'!$A:$G,7,FALSE)</f>
        <v>49</v>
      </c>
      <c r="Q198" t="b">
        <f t="shared" si="27"/>
        <v>1</v>
      </c>
      <c r="R198" t="str">
        <f t="shared" si="28"/>
        <v>January</v>
      </c>
      <c r="S198" t="str">
        <f t="shared" si="29"/>
        <v>Sunday</v>
      </c>
      <c r="T198" t="str">
        <f t="shared" si="30"/>
        <v>Weekend</v>
      </c>
      <c r="U198" t="str">
        <f t="shared" si="31"/>
        <v>Spring</v>
      </c>
      <c r="V198" t="str">
        <f t="shared" si="32"/>
        <v>Clear</v>
      </c>
      <c r="W198" t="str">
        <f t="shared" si="33"/>
        <v>Off Peak</v>
      </c>
      <c r="X198" t="str">
        <f t="shared" si="34"/>
        <v>Low</v>
      </c>
      <c r="Y198" t="str">
        <f t="shared" si="35"/>
        <v>Medium</v>
      </c>
    </row>
    <row r="199" spans="1:25" ht="15.75" thickBot="1">
      <c r="A199" s="1">
        <v>198</v>
      </c>
      <c r="B199" s="2">
        <v>40552</v>
      </c>
      <c r="C199" s="1">
        <v>1</v>
      </c>
      <c r="D199" s="1">
        <v>0</v>
      </c>
      <c r="E199" s="1">
        <v>1</v>
      </c>
      <c r="F199" s="1">
        <v>12</v>
      </c>
      <c r="G199" s="3" t="b">
        <v>0</v>
      </c>
      <c r="H199" s="1">
        <v>0</v>
      </c>
      <c r="I199" s="1">
        <v>1</v>
      </c>
      <c r="J199" s="7">
        <v>0.18</v>
      </c>
      <c r="K199" s="8">
        <f>VLOOKUP($A199,'Temprorary Data'!$A:$G,2,FALSE)</f>
        <v>0.13639999999999999</v>
      </c>
      <c r="L199" s="8">
        <f>VLOOKUP($A199,'Temprorary Data'!$A:$G,3,FALSE)</f>
        <v>0.37</v>
      </c>
      <c r="M199" s="8">
        <f>VLOOKUP($A199,'Temprorary Data'!$A:$G,4,FALSE)</f>
        <v>0.44779999999999998</v>
      </c>
      <c r="N199" s="9">
        <f>VLOOKUP($A199,'Temprorary Data'!$A:$G,5,FALSE)</f>
        <v>4</v>
      </c>
      <c r="O199" s="9">
        <f>VLOOKUP($A199,'Temprorary Data'!$A:$G,6,FALSE)</f>
        <v>79</v>
      </c>
      <c r="P199" s="9">
        <f>VLOOKUP($A199,'Temprorary Data'!$A:$G,7,FALSE)</f>
        <v>83</v>
      </c>
      <c r="Q199" t="b">
        <f t="shared" si="27"/>
        <v>1</v>
      </c>
      <c r="R199" t="str">
        <f t="shared" si="28"/>
        <v>January</v>
      </c>
      <c r="S199" t="str">
        <f t="shared" si="29"/>
        <v>Sunday</v>
      </c>
      <c r="T199" t="str">
        <f t="shared" si="30"/>
        <v>Weekend</v>
      </c>
      <c r="U199" t="str">
        <f t="shared" si="31"/>
        <v>Spring</v>
      </c>
      <c r="V199" t="str">
        <f t="shared" si="32"/>
        <v>Clear</v>
      </c>
      <c r="W199" t="str">
        <f t="shared" si="33"/>
        <v>Off Peak</v>
      </c>
      <c r="X199" t="str">
        <f t="shared" si="34"/>
        <v>Low</v>
      </c>
      <c r="Y199" t="str">
        <f t="shared" si="35"/>
        <v>Low</v>
      </c>
    </row>
    <row r="200" spans="1:25" ht="15.75" thickBot="1">
      <c r="A200" s="1">
        <v>199</v>
      </c>
      <c r="B200" s="2">
        <v>40552</v>
      </c>
      <c r="C200" s="1">
        <v>1</v>
      </c>
      <c r="D200" s="1">
        <v>0</v>
      </c>
      <c r="E200" s="1">
        <v>1</v>
      </c>
      <c r="F200" s="1">
        <v>13</v>
      </c>
      <c r="G200" s="3" t="b">
        <v>0</v>
      </c>
      <c r="H200" s="1">
        <v>0</v>
      </c>
      <c r="I200" s="1">
        <v>1</v>
      </c>
      <c r="J200" s="7">
        <v>0.2</v>
      </c>
      <c r="K200" s="8">
        <f>VLOOKUP($A200,'Temprorary Data'!$A:$G,2,FALSE)</f>
        <v>0.16669999999999999</v>
      </c>
      <c r="L200" s="8">
        <f>VLOOKUP($A200,'Temprorary Data'!$A:$G,3,FALSE)</f>
        <v>0.34</v>
      </c>
      <c r="M200" s="8">
        <f>VLOOKUP($A200,'Temprorary Data'!$A:$G,4,FALSE)</f>
        <v>0.44779999999999998</v>
      </c>
      <c r="N200" s="9">
        <f>VLOOKUP($A200,'Temprorary Data'!$A:$G,5,FALSE)</f>
        <v>6</v>
      </c>
      <c r="O200" s="9">
        <f>VLOOKUP($A200,'Temprorary Data'!$A:$G,6,FALSE)</f>
        <v>69</v>
      </c>
      <c r="P200" s="9">
        <f>VLOOKUP($A200,'Temprorary Data'!$A:$G,7,FALSE)</f>
        <v>75</v>
      </c>
      <c r="Q200" t="b">
        <f t="shared" si="27"/>
        <v>1</v>
      </c>
      <c r="R200" t="str">
        <f t="shared" si="28"/>
        <v>January</v>
      </c>
      <c r="S200" t="str">
        <f t="shared" si="29"/>
        <v>Sunday</v>
      </c>
      <c r="T200" t="str">
        <f t="shared" si="30"/>
        <v>Weekend</v>
      </c>
      <c r="U200" t="str">
        <f t="shared" si="31"/>
        <v>Spring</v>
      </c>
      <c r="V200" t="str">
        <f t="shared" si="32"/>
        <v>Clear</v>
      </c>
      <c r="W200" t="str">
        <f t="shared" si="33"/>
        <v>Off Peak</v>
      </c>
      <c r="X200" t="str">
        <f t="shared" si="34"/>
        <v>Low</v>
      </c>
      <c r="Y200" t="str">
        <f t="shared" si="35"/>
        <v>Low</v>
      </c>
    </row>
    <row r="201" spans="1:25" ht="15.75" thickBot="1">
      <c r="A201" s="1">
        <v>200</v>
      </c>
      <c r="B201" s="2">
        <v>40552</v>
      </c>
      <c r="C201" s="1">
        <v>1</v>
      </c>
      <c r="D201" s="1">
        <v>0</v>
      </c>
      <c r="E201" s="1">
        <v>1</v>
      </c>
      <c r="F201" s="1">
        <v>14</v>
      </c>
      <c r="G201" s="3" t="b">
        <v>0</v>
      </c>
      <c r="H201" s="1">
        <v>0</v>
      </c>
      <c r="I201" s="1">
        <v>1</v>
      </c>
      <c r="J201" s="7">
        <v>0.22</v>
      </c>
      <c r="K201" s="8">
        <f>VLOOKUP($A201,'Temprorary Data'!$A:$G,2,FALSE)</f>
        <v>0.18179999999999999</v>
      </c>
      <c r="L201" s="8">
        <f>VLOOKUP($A201,'Temprorary Data'!$A:$G,3,FALSE)</f>
        <v>0.32</v>
      </c>
      <c r="M201" s="8">
        <f>VLOOKUP($A201,'Temprorary Data'!$A:$G,4,FALSE)</f>
        <v>0.4627</v>
      </c>
      <c r="N201" s="9">
        <f>VLOOKUP($A201,'Temprorary Data'!$A:$G,5,FALSE)</f>
        <v>8</v>
      </c>
      <c r="O201" s="9">
        <f>VLOOKUP($A201,'Temprorary Data'!$A:$G,6,FALSE)</f>
        <v>64</v>
      </c>
      <c r="P201" s="9">
        <f>VLOOKUP($A201,'Temprorary Data'!$A:$G,7,FALSE)</f>
        <v>72</v>
      </c>
      <c r="Q201" t="b">
        <f t="shared" si="27"/>
        <v>1</v>
      </c>
      <c r="R201" t="str">
        <f t="shared" si="28"/>
        <v>January</v>
      </c>
      <c r="S201" t="str">
        <f t="shared" si="29"/>
        <v>Sunday</v>
      </c>
      <c r="T201" t="str">
        <f t="shared" si="30"/>
        <v>Weekend</v>
      </c>
      <c r="U201" t="str">
        <f t="shared" si="31"/>
        <v>Spring</v>
      </c>
      <c r="V201" t="str">
        <f t="shared" si="32"/>
        <v>Clear</v>
      </c>
      <c r="W201" t="str">
        <f t="shared" si="33"/>
        <v>Off Peak</v>
      </c>
      <c r="X201" t="str">
        <f t="shared" si="34"/>
        <v>Low</v>
      </c>
      <c r="Y201" t="str">
        <f t="shared" si="35"/>
        <v>Low</v>
      </c>
    </row>
    <row r="202" spans="1:25" ht="15.75" thickBot="1">
      <c r="A202" s="1">
        <v>201</v>
      </c>
      <c r="B202" s="2">
        <v>40552</v>
      </c>
      <c r="C202" s="1">
        <v>1</v>
      </c>
      <c r="D202" s="1">
        <v>0</v>
      </c>
      <c r="E202" s="1">
        <v>1</v>
      </c>
      <c r="F202" s="1">
        <v>15</v>
      </c>
      <c r="G202" s="3" t="b">
        <v>0</v>
      </c>
      <c r="H202" s="1">
        <v>0</v>
      </c>
      <c r="I202" s="1">
        <v>1</v>
      </c>
      <c r="J202" s="7">
        <v>0.22</v>
      </c>
      <c r="K202" s="8">
        <f>VLOOKUP($A202,'Temprorary Data'!$A:$G,2,FALSE)</f>
        <v>0.19700000000000001</v>
      </c>
      <c r="L202" s="8">
        <f>VLOOKUP($A202,'Temprorary Data'!$A:$G,3,FALSE)</f>
        <v>0.35</v>
      </c>
      <c r="M202" s="8">
        <f>VLOOKUP($A202,'Temprorary Data'!$A:$G,4,FALSE)</f>
        <v>0.35820000000000002</v>
      </c>
      <c r="N202" s="9">
        <f>VLOOKUP($A202,'Temprorary Data'!$A:$G,5,FALSE)</f>
        <v>5</v>
      </c>
      <c r="O202" s="9">
        <f>VLOOKUP($A202,'Temprorary Data'!$A:$G,6,FALSE)</f>
        <v>77</v>
      </c>
      <c r="P202" s="9">
        <f>VLOOKUP($A202,'Temprorary Data'!$A:$G,7,FALSE)</f>
        <v>82</v>
      </c>
      <c r="Q202" t="b">
        <f t="shared" si="27"/>
        <v>1</v>
      </c>
      <c r="R202" t="str">
        <f t="shared" si="28"/>
        <v>January</v>
      </c>
      <c r="S202" t="str">
        <f t="shared" si="29"/>
        <v>Sunday</v>
      </c>
      <c r="T202" t="str">
        <f t="shared" si="30"/>
        <v>Weekend</v>
      </c>
      <c r="U202" t="str">
        <f t="shared" si="31"/>
        <v>Spring</v>
      </c>
      <c r="V202" t="str">
        <f t="shared" si="32"/>
        <v>Clear</v>
      </c>
      <c r="W202" t="str">
        <f t="shared" si="33"/>
        <v>Off Peak</v>
      </c>
      <c r="X202" t="str">
        <f t="shared" si="34"/>
        <v>Low</v>
      </c>
      <c r="Y202" t="str">
        <f t="shared" si="35"/>
        <v>Low</v>
      </c>
    </row>
    <row r="203" spans="1:25" ht="15.75" thickBot="1">
      <c r="A203" s="1">
        <v>202</v>
      </c>
      <c r="B203" s="2">
        <v>40552</v>
      </c>
      <c r="C203" s="1">
        <v>1</v>
      </c>
      <c r="D203" s="1">
        <v>0</v>
      </c>
      <c r="E203" s="1">
        <v>1</v>
      </c>
      <c r="F203" s="1">
        <v>16</v>
      </c>
      <c r="G203" s="3" t="b">
        <v>0</v>
      </c>
      <c r="H203" s="1">
        <v>0</v>
      </c>
      <c r="I203" s="1">
        <v>1</v>
      </c>
      <c r="J203" s="7">
        <v>0.2</v>
      </c>
      <c r="K203" s="8">
        <f>VLOOKUP($A203,'Temprorary Data'!$A:$G,2,FALSE)</f>
        <v>0.16669999999999999</v>
      </c>
      <c r="L203" s="8">
        <f>VLOOKUP($A203,'Temprorary Data'!$A:$G,3,FALSE)</f>
        <v>0.34</v>
      </c>
      <c r="M203" s="8">
        <f>VLOOKUP($A203,'Temprorary Data'!$A:$G,4,FALSE)</f>
        <v>0.44779999999999998</v>
      </c>
      <c r="N203" s="9">
        <f>VLOOKUP($A203,'Temprorary Data'!$A:$G,5,FALSE)</f>
        <v>13</v>
      </c>
      <c r="O203" s="9">
        <f>VLOOKUP($A203,'Temprorary Data'!$A:$G,6,FALSE)</f>
        <v>79</v>
      </c>
      <c r="P203" s="9">
        <f>VLOOKUP($A203,'Temprorary Data'!$A:$G,7,FALSE)</f>
        <v>92</v>
      </c>
      <c r="Q203" t="b">
        <f t="shared" si="27"/>
        <v>1</v>
      </c>
      <c r="R203" t="str">
        <f t="shared" si="28"/>
        <v>January</v>
      </c>
      <c r="S203" t="str">
        <f t="shared" si="29"/>
        <v>Sunday</v>
      </c>
      <c r="T203" t="str">
        <f t="shared" si="30"/>
        <v>Weekend</v>
      </c>
      <c r="U203" t="str">
        <f t="shared" si="31"/>
        <v>Spring</v>
      </c>
      <c r="V203" t="str">
        <f t="shared" si="32"/>
        <v>Clear</v>
      </c>
      <c r="W203" t="str">
        <f t="shared" si="33"/>
        <v>Off Peak</v>
      </c>
      <c r="X203" t="str">
        <f t="shared" si="34"/>
        <v>Low</v>
      </c>
      <c r="Y203" t="str">
        <f t="shared" si="35"/>
        <v>Low</v>
      </c>
    </row>
    <row r="204" spans="1:25" ht="15.75" thickBot="1">
      <c r="A204" s="1">
        <v>203</v>
      </c>
      <c r="B204" s="2">
        <v>40552</v>
      </c>
      <c r="C204" s="1">
        <v>1</v>
      </c>
      <c r="D204" s="1">
        <v>0</v>
      </c>
      <c r="E204" s="1">
        <v>1</v>
      </c>
      <c r="F204" s="1">
        <v>17</v>
      </c>
      <c r="G204" s="3" t="b">
        <v>0</v>
      </c>
      <c r="H204" s="1">
        <v>0</v>
      </c>
      <c r="I204" s="1">
        <v>1</v>
      </c>
      <c r="J204" s="7">
        <v>0.18</v>
      </c>
      <c r="K204" s="8">
        <f>VLOOKUP($A204,'Temprorary Data'!$A:$G,2,FALSE)</f>
        <v>0.1515</v>
      </c>
      <c r="L204" s="8">
        <f>VLOOKUP($A204,'Temprorary Data'!$A:$G,3,FALSE)</f>
        <v>0.37</v>
      </c>
      <c r="M204" s="8">
        <f>VLOOKUP($A204,'Temprorary Data'!$A:$G,4,FALSE)</f>
        <v>0.3881</v>
      </c>
      <c r="N204" s="9">
        <f>VLOOKUP($A204,'Temprorary Data'!$A:$G,5,FALSE)</f>
        <v>3</v>
      </c>
      <c r="O204" s="9">
        <f>VLOOKUP($A204,'Temprorary Data'!$A:$G,6,FALSE)</f>
        <v>59</v>
      </c>
      <c r="P204" s="9">
        <f>VLOOKUP($A204,'Temprorary Data'!$A:$G,7,FALSE)</f>
        <v>62</v>
      </c>
      <c r="Q204" t="b">
        <f t="shared" si="27"/>
        <v>1</v>
      </c>
      <c r="R204" t="str">
        <f t="shared" si="28"/>
        <v>January</v>
      </c>
      <c r="S204" t="str">
        <f t="shared" si="29"/>
        <v>Sunday</v>
      </c>
      <c r="T204" t="str">
        <f t="shared" si="30"/>
        <v>Weekend</v>
      </c>
      <c r="U204" t="str">
        <f t="shared" si="31"/>
        <v>Spring</v>
      </c>
      <c r="V204" t="str">
        <f t="shared" si="32"/>
        <v>Clear</v>
      </c>
      <c r="W204" t="str">
        <f t="shared" si="33"/>
        <v>Evening Peak</v>
      </c>
      <c r="X204" t="str">
        <f t="shared" si="34"/>
        <v>Low</v>
      </c>
      <c r="Y204" t="str">
        <f t="shared" si="35"/>
        <v>Low</v>
      </c>
    </row>
    <row r="205" spans="1:25" ht="15.75" thickBot="1">
      <c r="A205" s="1">
        <v>204</v>
      </c>
      <c r="B205" s="2">
        <v>40552</v>
      </c>
      <c r="C205" s="1">
        <v>1</v>
      </c>
      <c r="D205" s="1">
        <v>0</v>
      </c>
      <c r="E205" s="1">
        <v>1</v>
      </c>
      <c r="F205" s="1">
        <v>18</v>
      </c>
      <c r="G205" s="3" t="b">
        <v>0</v>
      </c>
      <c r="H205" s="1">
        <v>0</v>
      </c>
      <c r="I205" s="1">
        <v>1</v>
      </c>
      <c r="J205" s="7">
        <v>0.16</v>
      </c>
      <c r="K205" s="8">
        <f>VLOOKUP($A205,'Temprorary Data'!$A:$G,2,FALSE)</f>
        <v>0.13639999999999999</v>
      </c>
      <c r="L205" s="8">
        <f>VLOOKUP($A205,'Temprorary Data'!$A:$G,3,FALSE)</f>
        <v>0.4</v>
      </c>
      <c r="M205" s="8">
        <f>VLOOKUP($A205,'Temprorary Data'!$A:$G,4,FALSE)</f>
        <v>0.32840000000000003</v>
      </c>
      <c r="N205" s="9">
        <f>VLOOKUP($A205,'Temprorary Data'!$A:$G,5,FALSE)</f>
        <v>4</v>
      </c>
      <c r="O205" s="9">
        <f>VLOOKUP($A205,'Temprorary Data'!$A:$G,6,FALSE)</f>
        <v>44</v>
      </c>
      <c r="P205" s="9">
        <f>VLOOKUP($A205,'Temprorary Data'!$A:$G,7,FALSE)</f>
        <v>48</v>
      </c>
      <c r="Q205" t="b">
        <f t="shared" si="27"/>
        <v>1</v>
      </c>
      <c r="R205" t="str">
        <f t="shared" si="28"/>
        <v>January</v>
      </c>
      <c r="S205" t="str">
        <f t="shared" si="29"/>
        <v>Sunday</v>
      </c>
      <c r="T205" t="str">
        <f t="shared" si="30"/>
        <v>Weekend</v>
      </c>
      <c r="U205" t="str">
        <f t="shared" si="31"/>
        <v>Spring</v>
      </c>
      <c r="V205" t="str">
        <f t="shared" si="32"/>
        <v>Clear</v>
      </c>
      <c r="W205" t="str">
        <f t="shared" si="33"/>
        <v>Evening Peak</v>
      </c>
      <c r="X205" t="str">
        <f t="shared" si="34"/>
        <v>Low</v>
      </c>
      <c r="Y205" t="str">
        <f t="shared" si="35"/>
        <v>Medium</v>
      </c>
    </row>
    <row r="206" spans="1:25" ht="15.75" thickBot="1">
      <c r="A206" s="1">
        <v>205</v>
      </c>
      <c r="B206" s="2">
        <v>40552</v>
      </c>
      <c r="C206" s="1">
        <v>1</v>
      </c>
      <c r="D206" s="1">
        <v>0</v>
      </c>
      <c r="E206" s="1">
        <v>1</v>
      </c>
      <c r="F206" s="1">
        <v>19</v>
      </c>
      <c r="G206" s="3" t="b">
        <v>0</v>
      </c>
      <c r="H206" s="1">
        <v>0</v>
      </c>
      <c r="I206" s="1">
        <v>1</v>
      </c>
      <c r="J206" s="7">
        <v>0.16</v>
      </c>
      <c r="K206" s="8">
        <f>VLOOKUP($A206,'Temprorary Data'!$A:$G,2,FALSE)</f>
        <v>0.13639999999999999</v>
      </c>
      <c r="L206" s="8">
        <f>VLOOKUP($A206,'Temprorary Data'!$A:$G,3,FALSE)</f>
        <v>0.43</v>
      </c>
      <c r="M206" s="8">
        <f>VLOOKUP($A206,'Temprorary Data'!$A:$G,4,FALSE)</f>
        <v>0.32840000000000003</v>
      </c>
      <c r="N206" s="9">
        <f>VLOOKUP($A206,'Temprorary Data'!$A:$G,5,FALSE)</f>
        <v>1</v>
      </c>
      <c r="O206" s="9">
        <f>VLOOKUP($A206,'Temprorary Data'!$A:$G,6,FALSE)</f>
        <v>40</v>
      </c>
      <c r="P206" s="9">
        <f>VLOOKUP($A206,'Temprorary Data'!$A:$G,7,FALSE)</f>
        <v>41</v>
      </c>
      <c r="Q206" t="b">
        <f t="shared" si="27"/>
        <v>1</v>
      </c>
      <c r="R206" t="str">
        <f t="shared" si="28"/>
        <v>January</v>
      </c>
      <c r="S206" t="str">
        <f t="shared" si="29"/>
        <v>Sunday</v>
      </c>
      <c r="T206" t="str">
        <f t="shared" si="30"/>
        <v>Weekend</v>
      </c>
      <c r="U206" t="str">
        <f t="shared" si="31"/>
        <v>Spring</v>
      </c>
      <c r="V206" t="str">
        <f t="shared" si="32"/>
        <v>Clear</v>
      </c>
      <c r="W206" t="str">
        <f t="shared" si="33"/>
        <v>Evening Peak</v>
      </c>
      <c r="X206" t="str">
        <f t="shared" si="34"/>
        <v>Low</v>
      </c>
      <c r="Y206" t="str">
        <f t="shared" si="35"/>
        <v>Medium</v>
      </c>
    </row>
    <row r="207" spans="1:25" ht="15.75" thickBot="1">
      <c r="A207" s="1">
        <v>206</v>
      </c>
      <c r="B207" s="2">
        <v>40552</v>
      </c>
      <c r="C207" s="1">
        <v>1</v>
      </c>
      <c r="D207" s="1">
        <v>0</v>
      </c>
      <c r="E207" s="1">
        <v>1</v>
      </c>
      <c r="F207" s="1">
        <v>20</v>
      </c>
      <c r="G207" s="3" t="b">
        <v>0</v>
      </c>
      <c r="H207" s="1">
        <v>0</v>
      </c>
      <c r="I207" s="1">
        <v>1</v>
      </c>
      <c r="J207" s="7">
        <v>0.14000000000000001</v>
      </c>
      <c r="K207" s="8">
        <f>VLOOKUP($A207,'Temprorary Data'!$A:$G,2,FALSE)</f>
        <v>0.1212</v>
      </c>
      <c r="L207" s="8">
        <f>VLOOKUP($A207,'Temprorary Data'!$A:$G,3,FALSE)</f>
        <v>0.46</v>
      </c>
      <c r="M207" s="8">
        <f>VLOOKUP($A207,'Temprorary Data'!$A:$G,4,FALSE)</f>
        <v>0.25369999999999998</v>
      </c>
      <c r="N207" s="9">
        <f>VLOOKUP($A207,'Temprorary Data'!$A:$G,5,FALSE)</f>
        <v>0</v>
      </c>
      <c r="O207" s="9">
        <f>VLOOKUP($A207,'Temprorary Data'!$A:$G,6,FALSE)</f>
        <v>38</v>
      </c>
      <c r="P207" s="9">
        <f>VLOOKUP($A207,'Temprorary Data'!$A:$G,7,FALSE)</f>
        <v>38</v>
      </c>
      <c r="Q207" t="b">
        <f t="shared" si="27"/>
        <v>1</v>
      </c>
      <c r="R207" t="str">
        <f t="shared" si="28"/>
        <v>January</v>
      </c>
      <c r="S207" t="str">
        <f t="shared" si="29"/>
        <v>Sunday</v>
      </c>
      <c r="T207" t="str">
        <f t="shared" si="30"/>
        <v>Weekend</v>
      </c>
      <c r="U207" t="str">
        <f t="shared" si="31"/>
        <v>Spring</v>
      </c>
      <c r="V207" t="str">
        <f t="shared" si="32"/>
        <v>Clear</v>
      </c>
      <c r="W207" t="str">
        <f t="shared" si="33"/>
        <v>Evening Peak</v>
      </c>
      <c r="X207" t="str">
        <f t="shared" si="34"/>
        <v>Low</v>
      </c>
      <c r="Y207" t="str">
        <f t="shared" si="35"/>
        <v>Medium</v>
      </c>
    </row>
    <row r="208" spans="1:25" ht="15.75" thickBot="1">
      <c r="A208" s="1">
        <v>207</v>
      </c>
      <c r="B208" s="2">
        <v>40552</v>
      </c>
      <c r="C208" s="1">
        <v>1</v>
      </c>
      <c r="D208" s="1">
        <v>0</v>
      </c>
      <c r="E208" s="1">
        <v>1</v>
      </c>
      <c r="F208" s="1">
        <v>21</v>
      </c>
      <c r="G208" s="3" t="b">
        <v>0</v>
      </c>
      <c r="H208" s="1">
        <v>0</v>
      </c>
      <c r="I208" s="1">
        <v>1</v>
      </c>
      <c r="J208" s="7">
        <v>0.14000000000000001</v>
      </c>
      <c r="K208" s="8">
        <f>VLOOKUP($A208,'Temprorary Data'!$A:$G,2,FALSE)</f>
        <v>0.1061</v>
      </c>
      <c r="L208" s="8">
        <f>VLOOKUP($A208,'Temprorary Data'!$A:$G,3,FALSE)</f>
        <v>0.46</v>
      </c>
      <c r="M208" s="8">
        <f>VLOOKUP($A208,'Temprorary Data'!$A:$G,4,FALSE)</f>
        <v>0.41789999999999999</v>
      </c>
      <c r="N208" s="9">
        <f>VLOOKUP($A208,'Temprorary Data'!$A:$G,5,FALSE)</f>
        <v>1</v>
      </c>
      <c r="O208" s="9">
        <f>VLOOKUP($A208,'Temprorary Data'!$A:$G,6,FALSE)</f>
        <v>19</v>
      </c>
      <c r="P208" s="9">
        <f>VLOOKUP($A208,'Temprorary Data'!$A:$G,7,FALSE)</f>
        <v>20</v>
      </c>
      <c r="Q208" t="b">
        <f t="shared" si="27"/>
        <v>1</v>
      </c>
      <c r="R208" t="str">
        <f t="shared" si="28"/>
        <v>January</v>
      </c>
      <c r="S208" t="str">
        <f t="shared" si="29"/>
        <v>Sunday</v>
      </c>
      <c r="T208" t="str">
        <f t="shared" si="30"/>
        <v>Weekend</v>
      </c>
      <c r="U208" t="str">
        <f t="shared" si="31"/>
        <v>Spring</v>
      </c>
      <c r="V208" t="str">
        <f t="shared" si="32"/>
        <v>Clear</v>
      </c>
      <c r="W208" t="str">
        <f t="shared" si="33"/>
        <v>Off Peak</v>
      </c>
      <c r="X208" t="str">
        <f t="shared" si="34"/>
        <v>Low</v>
      </c>
      <c r="Y208" t="str">
        <f t="shared" si="35"/>
        <v>Medium</v>
      </c>
    </row>
    <row r="209" spans="1:25" ht="15.75" thickBot="1">
      <c r="A209" s="1">
        <v>208</v>
      </c>
      <c r="B209" s="2">
        <v>40552</v>
      </c>
      <c r="C209" s="1">
        <v>1</v>
      </c>
      <c r="D209" s="1">
        <v>0</v>
      </c>
      <c r="E209" s="1">
        <v>1</v>
      </c>
      <c r="F209" s="1">
        <v>22</v>
      </c>
      <c r="G209" s="3" t="b">
        <v>0</v>
      </c>
      <c r="H209" s="1">
        <v>0</v>
      </c>
      <c r="I209" s="1">
        <v>1</v>
      </c>
      <c r="J209" s="7">
        <v>0.14000000000000001</v>
      </c>
      <c r="K209" s="8">
        <f>VLOOKUP($A209,'Temprorary Data'!$A:$G,2,FALSE)</f>
        <v>0.1212</v>
      </c>
      <c r="L209" s="8">
        <f>VLOOKUP($A209,'Temprorary Data'!$A:$G,3,FALSE)</f>
        <v>0.46</v>
      </c>
      <c r="M209" s="8">
        <f>VLOOKUP($A209,'Temprorary Data'!$A:$G,4,FALSE)</f>
        <v>0.29849999999999999</v>
      </c>
      <c r="N209" s="9">
        <f>VLOOKUP($A209,'Temprorary Data'!$A:$G,5,FALSE)</f>
        <v>5</v>
      </c>
      <c r="O209" s="9">
        <f>VLOOKUP($A209,'Temprorary Data'!$A:$G,6,FALSE)</f>
        <v>10</v>
      </c>
      <c r="P209" s="9">
        <f>VLOOKUP($A209,'Temprorary Data'!$A:$G,7,FALSE)</f>
        <v>15</v>
      </c>
      <c r="Q209" t="b">
        <f t="shared" si="27"/>
        <v>1</v>
      </c>
      <c r="R209" t="str">
        <f t="shared" si="28"/>
        <v>January</v>
      </c>
      <c r="S209" t="str">
        <f t="shared" si="29"/>
        <v>Sunday</v>
      </c>
      <c r="T209" t="str">
        <f t="shared" si="30"/>
        <v>Weekend</v>
      </c>
      <c r="U209" t="str">
        <f t="shared" si="31"/>
        <v>Spring</v>
      </c>
      <c r="V209" t="str">
        <f t="shared" si="32"/>
        <v>Clear</v>
      </c>
      <c r="W209" t="str">
        <f t="shared" si="33"/>
        <v>Off Peak</v>
      </c>
      <c r="X209" t="str">
        <f t="shared" si="34"/>
        <v>Low</v>
      </c>
      <c r="Y209" t="str">
        <f t="shared" si="35"/>
        <v>Medium</v>
      </c>
    </row>
    <row r="210" spans="1:25" ht="15.75" thickBot="1">
      <c r="A210" s="1">
        <v>209</v>
      </c>
      <c r="B210" s="2">
        <v>40552</v>
      </c>
      <c r="C210" s="1">
        <v>1</v>
      </c>
      <c r="D210" s="1">
        <v>0</v>
      </c>
      <c r="E210" s="1">
        <v>1</v>
      </c>
      <c r="F210" s="1">
        <v>23</v>
      </c>
      <c r="G210" s="3" t="b">
        <v>0</v>
      </c>
      <c r="H210" s="1">
        <v>0</v>
      </c>
      <c r="I210" s="1">
        <v>1</v>
      </c>
      <c r="J210" s="7">
        <v>0.12</v>
      </c>
      <c r="K210" s="8">
        <f>VLOOKUP($A210,'Temprorary Data'!$A:$G,2,FALSE)</f>
        <v>0.13639999999999999</v>
      </c>
      <c r="L210" s="8">
        <f>VLOOKUP($A210,'Temprorary Data'!$A:$G,3,FALSE)</f>
        <v>0.5</v>
      </c>
      <c r="M210" s="8">
        <f>VLOOKUP($A210,'Temprorary Data'!$A:$G,4,FALSE)</f>
        <v>0.19400000000000001</v>
      </c>
      <c r="N210" s="9">
        <f>VLOOKUP($A210,'Temprorary Data'!$A:$G,5,FALSE)</f>
        <v>0</v>
      </c>
      <c r="O210" s="9">
        <f>VLOOKUP($A210,'Temprorary Data'!$A:$G,6,FALSE)</f>
        <v>6</v>
      </c>
      <c r="P210" s="9">
        <f>VLOOKUP($A210,'Temprorary Data'!$A:$G,7,FALSE)</f>
        <v>6</v>
      </c>
      <c r="Q210" t="b">
        <f t="shared" si="27"/>
        <v>1</v>
      </c>
      <c r="R210" t="str">
        <f t="shared" si="28"/>
        <v>January</v>
      </c>
      <c r="S210" t="str">
        <f t="shared" si="29"/>
        <v>Sunday</v>
      </c>
      <c r="T210" t="str">
        <f t="shared" si="30"/>
        <v>Weekend</v>
      </c>
      <c r="U210" t="str">
        <f t="shared" si="31"/>
        <v>Spring</v>
      </c>
      <c r="V210" t="str">
        <f t="shared" si="32"/>
        <v>Clear</v>
      </c>
      <c r="W210" t="str">
        <f t="shared" si="33"/>
        <v>Off Peak</v>
      </c>
      <c r="X210" t="str">
        <f t="shared" si="34"/>
        <v>Low</v>
      </c>
      <c r="Y210" t="str">
        <f t="shared" si="35"/>
        <v>Medium</v>
      </c>
    </row>
    <row r="211" spans="1:25" ht="15.75" thickBot="1">
      <c r="A211" s="1">
        <v>210</v>
      </c>
      <c r="B211" s="2">
        <v>40553</v>
      </c>
      <c r="C211" s="1">
        <v>1</v>
      </c>
      <c r="D211" s="1">
        <v>0</v>
      </c>
      <c r="E211" s="1">
        <v>1</v>
      </c>
      <c r="F211" s="1">
        <v>0</v>
      </c>
      <c r="G211" s="3" t="b">
        <v>0</v>
      </c>
      <c r="H211" s="1">
        <v>1</v>
      </c>
      <c r="I211" s="1">
        <v>1</v>
      </c>
      <c r="J211" s="7">
        <v>0.12</v>
      </c>
      <c r="K211" s="8">
        <f>VLOOKUP($A211,'Temprorary Data'!$A:$G,2,FALSE)</f>
        <v>0.1212</v>
      </c>
      <c r="L211" s="8">
        <f>VLOOKUP($A211,'Temprorary Data'!$A:$G,3,FALSE)</f>
        <v>0.5</v>
      </c>
      <c r="M211" s="8">
        <f>VLOOKUP($A211,'Temprorary Data'!$A:$G,4,FALSE)</f>
        <v>0.28360000000000002</v>
      </c>
      <c r="N211" s="9">
        <f>VLOOKUP($A211,'Temprorary Data'!$A:$G,5,FALSE)</f>
        <v>2</v>
      </c>
      <c r="O211" s="9">
        <f>VLOOKUP($A211,'Temprorary Data'!$A:$G,6,FALSE)</f>
        <v>3</v>
      </c>
      <c r="P211" s="9">
        <f>VLOOKUP($A211,'Temprorary Data'!$A:$G,7,FALSE)</f>
        <v>5</v>
      </c>
      <c r="Q211" t="b">
        <f t="shared" si="27"/>
        <v>1</v>
      </c>
      <c r="R211" t="str">
        <f t="shared" si="28"/>
        <v>January</v>
      </c>
      <c r="S211" t="str">
        <f t="shared" si="29"/>
        <v>Monday</v>
      </c>
      <c r="T211" t="str">
        <f t="shared" si="30"/>
        <v>Weekday</v>
      </c>
      <c r="U211" t="str">
        <f t="shared" si="31"/>
        <v>Spring</v>
      </c>
      <c r="V211" t="str">
        <f t="shared" si="32"/>
        <v>Clear</v>
      </c>
      <c r="W211" t="str">
        <f t="shared" si="33"/>
        <v>Off Peak</v>
      </c>
      <c r="X211" t="str">
        <f t="shared" si="34"/>
        <v>Low</v>
      </c>
      <c r="Y211" t="str">
        <f t="shared" si="35"/>
        <v>Medium</v>
      </c>
    </row>
    <row r="212" spans="1:25" ht="15.75" thickBot="1">
      <c r="A212" s="1">
        <v>211</v>
      </c>
      <c r="B212" s="2">
        <v>40553</v>
      </c>
      <c r="C212" s="1">
        <v>1</v>
      </c>
      <c r="D212" s="1">
        <v>0</v>
      </c>
      <c r="E212" s="1">
        <v>1</v>
      </c>
      <c r="F212" s="1">
        <v>1</v>
      </c>
      <c r="G212" s="3" t="b">
        <v>0</v>
      </c>
      <c r="H212" s="1">
        <v>1</v>
      </c>
      <c r="I212" s="1">
        <v>1</v>
      </c>
      <c r="J212" s="7">
        <v>0.12</v>
      </c>
      <c r="K212" s="8">
        <f>VLOOKUP($A212,'Temprorary Data'!$A:$G,2,FALSE)</f>
        <v>0.1212</v>
      </c>
      <c r="L212" s="8">
        <f>VLOOKUP($A212,'Temprorary Data'!$A:$G,3,FALSE)</f>
        <v>0.5</v>
      </c>
      <c r="M212" s="8">
        <f>VLOOKUP($A212,'Temprorary Data'!$A:$G,4,FALSE)</f>
        <v>0.28360000000000002</v>
      </c>
      <c r="N212" s="9">
        <f>VLOOKUP($A212,'Temprorary Data'!$A:$G,5,FALSE)</f>
        <v>1</v>
      </c>
      <c r="O212" s="9">
        <f>VLOOKUP($A212,'Temprorary Data'!$A:$G,6,FALSE)</f>
        <v>0</v>
      </c>
      <c r="P212" s="9">
        <f>VLOOKUP($A212,'Temprorary Data'!$A:$G,7,FALSE)</f>
        <v>1</v>
      </c>
      <c r="Q212" t="b">
        <f t="shared" si="27"/>
        <v>1</v>
      </c>
      <c r="R212" t="str">
        <f t="shared" si="28"/>
        <v>January</v>
      </c>
      <c r="S212" t="str">
        <f t="shared" si="29"/>
        <v>Monday</v>
      </c>
      <c r="T212" t="str">
        <f t="shared" si="30"/>
        <v>Weekday</v>
      </c>
      <c r="U212" t="str">
        <f t="shared" si="31"/>
        <v>Spring</v>
      </c>
      <c r="V212" t="str">
        <f t="shared" si="32"/>
        <v>Clear</v>
      </c>
      <c r="W212" t="str">
        <f t="shared" si="33"/>
        <v>Off Peak</v>
      </c>
      <c r="X212" t="str">
        <f t="shared" si="34"/>
        <v>Low</v>
      </c>
      <c r="Y212" t="str">
        <f t="shared" si="35"/>
        <v>Medium</v>
      </c>
    </row>
    <row r="213" spans="1:25" ht="15.75" thickBot="1">
      <c r="A213" s="1">
        <v>212</v>
      </c>
      <c r="B213" s="2">
        <v>40553</v>
      </c>
      <c r="C213" s="1">
        <v>1</v>
      </c>
      <c r="D213" s="1">
        <v>0</v>
      </c>
      <c r="E213" s="1">
        <v>1</v>
      </c>
      <c r="F213" s="1">
        <v>2</v>
      </c>
      <c r="G213" s="3" t="b">
        <v>0</v>
      </c>
      <c r="H213" s="1">
        <v>1</v>
      </c>
      <c r="I213" s="1">
        <v>1</v>
      </c>
      <c r="J213" s="7">
        <v>0.12</v>
      </c>
      <c r="K213" s="8">
        <f>VLOOKUP($A213,'Temprorary Data'!$A:$G,2,FALSE)</f>
        <v>0.1212</v>
      </c>
      <c r="L213" s="8">
        <f>VLOOKUP($A213,'Temprorary Data'!$A:$G,3,FALSE)</f>
        <v>0.5</v>
      </c>
      <c r="M213" s="8">
        <f>VLOOKUP($A213,'Temprorary Data'!$A:$G,4,FALSE)</f>
        <v>0.22389999999999999</v>
      </c>
      <c r="N213" s="9">
        <f>VLOOKUP($A213,'Temprorary Data'!$A:$G,5,FALSE)</f>
        <v>0</v>
      </c>
      <c r="O213" s="9">
        <f>VLOOKUP($A213,'Temprorary Data'!$A:$G,6,FALSE)</f>
        <v>3</v>
      </c>
      <c r="P213" s="9">
        <f>VLOOKUP($A213,'Temprorary Data'!$A:$G,7,FALSE)</f>
        <v>3</v>
      </c>
      <c r="Q213" t="b">
        <f t="shared" si="27"/>
        <v>1</v>
      </c>
      <c r="R213" t="str">
        <f t="shared" si="28"/>
        <v>January</v>
      </c>
      <c r="S213" t="str">
        <f t="shared" si="29"/>
        <v>Monday</v>
      </c>
      <c r="T213" t="str">
        <f t="shared" si="30"/>
        <v>Weekday</v>
      </c>
      <c r="U213" t="str">
        <f t="shared" si="31"/>
        <v>Spring</v>
      </c>
      <c r="V213" t="str">
        <f t="shared" si="32"/>
        <v>Clear</v>
      </c>
      <c r="W213" t="str">
        <f t="shared" si="33"/>
        <v>Off Peak</v>
      </c>
      <c r="X213" t="str">
        <f t="shared" si="34"/>
        <v>Low</v>
      </c>
      <c r="Y213" t="str">
        <f t="shared" si="35"/>
        <v>Medium</v>
      </c>
    </row>
    <row r="214" spans="1:25" ht="15.75" thickBot="1">
      <c r="A214" s="1">
        <v>213</v>
      </c>
      <c r="B214" s="2">
        <v>40553</v>
      </c>
      <c r="C214" s="1">
        <v>1</v>
      </c>
      <c r="D214" s="1">
        <v>0</v>
      </c>
      <c r="E214" s="1">
        <v>1</v>
      </c>
      <c r="F214" s="1">
        <v>3</v>
      </c>
      <c r="G214" s="3" t="b">
        <v>0</v>
      </c>
      <c r="H214" s="1">
        <v>1</v>
      </c>
      <c r="I214" s="1">
        <v>1</v>
      </c>
      <c r="J214" s="7">
        <v>0.12</v>
      </c>
      <c r="K214" s="8">
        <f>VLOOKUP($A214,'Temprorary Data'!$A:$G,2,FALSE)</f>
        <v>0.1212</v>
      </c>
      <c r="L214" s="8">
        <f>VLOOKUP($A214,'Temprorary Data'!$A:$G,3,FALSE)</f>
        <v>0.5</v>
      </c>
      <c r="M214" s="8">
        <f>VLOOKUP($A214,'Temprorary Data'!$A:$G,4,FALSE)</f>
        <v>0.22389999999999999</v>
      </c>
      <c r="N214" s="9">
        <f>VLOOKUP($A214,'Temprorary Data'!$A:$G,5,FALSE)</f>
        <v>0</v>
      </c>
      <c r="O214" s="9">
        <f>VLOOKUP($A214,'Temprorary Data'!$A:$G,6,FALSE)</f>
        <v>1</v>
      </c>
      <c r="P214" s="9">
        <f>VLOOKUP($A214,'Temprorary Data'!$A:$G,7,FALSE)</f>
        <v>1</v>
      </c>
      <c r="Q214" t="b">
        <f t="shared" si="27"/>
        <v>1</v>
      </c>
      <c r="R214" t="str">
        <f t="shared" si="28"/>
        <v>January</v>
      </c>
      <c r="S214" t="str">
        <f t="shared" si="29"/>
        <v>Monday</v>
      </c>
      <c r="T214" t="str">
        <f t="shared" si="30"/>
        <v>Weekday</v>
      </c>
      <c r="U214" t="str">
        <f t="shared" si="31"/>
        <v>Spring</v>
      </c>
      <c r="V214" t="str">
        <f t="shared" si="32"/>
        <v>Clear</v>
      </c>
      <c r="W214" t="str">
        <f t="shared" si="33"/>
        <v>Off Peak</v>
      </c>
      <c r="X214" t="str">
        <f t="shared" si="34"/>
        <v>Low</v>
      </c>
      <c r="Y214" t="str">
        <f t="shared" si="35"/>
        <v>Medium</v>
      </c>
    </row>
    <row r="215" spans="1:25" ht="15.75" thickBot="1">
      <c r="A215" s="1">
        <v>214</v>
      </c>
      <c r="B215" s="2">
        <v>40553</v>
      </c>
      <c r="C215" s="1">
        <v>1</v>
      </c>
      <c r="D215" s="1">
        <v>0</v>
      </c>
      <c r="E215" s="1">
        <v>1</v>
      </c>
      <c r="F215" s="1">
        <v>4</v>
      </c>
      <c r="G215" s="3" t="b">
        <v>0</v>
      </c>
      <c r="H215" s="1">
        <v>1</v>
      </c>
      <c r="I215" s="1">
        <v>1</v>
      </c>
      <c r="J215" s="7">
        <v>0.1</v>
      </c>
      <c r="K215" s="8">
        <f>VLOOKUP($A215,'Temprorary Data'!$A:$G,2,FALSE)</f>
        <v>0.1212</v>
      </c>
      <c r="L215" s="8">
        <f>VLOOKUP($A215,'Temprorary Data'!$A:$G,3,FALSE)</f>
        <v>0.54</v>
      </c>
      <c r="M215" s="8">
        <f>VLOOKUP($A215,'Temprorary Data'!$A:$G,4,FALSE)</f>
        <v>0.1343</v>
      </c>
      <c r="N215" s="9">
        <f>VLOOKUP($A215,'Temprorary Data'!$A:$G,5,FALSE)</f>
        <v>1</v>
      </c>
      <c r="O215" s="9">
        <f>VLOOKUP($A215,'Temprorary Data'!$A:$G,6,FALSE)</f>
        <v>2</v>
      </c>
      <c r="P215" s="9">
        <f>VLOOKUP($A215,'Temprorary Data'!$A:$G,7,FALSE)</f>
        <v>3</v>
      </c>
      <c r="Q215" t="b">
        <f t="shared" si="27"/>
        <v>1</v>
      </c>
      <c r="R215" t="str">
        <f t="shared" si="28"/>
        <v>January</v>
      </c>
      <c r="S215" t="str">
        <f t="shared" si="29"/>
        <v>Monday</v>
      </c>
      <c r="T215" t="str">
        <f t="shared" si="30"/>
        <v>Weekday</v>
      </c>
      <c r="U215" t="str">
        <f t="shared" si="31"/>
        <v>Spring</v>
      </c>
      <c r="V215" t="str">
        <f t="shared" si="32"/>
        <v>Clear</v>
      </c>
      <c r="W215" t="str">
        <f t="shared" si="33"/>
        <v>Off Peak</v>
      </c>
      <c r="X215" t="str">
        <f t="shared" si="34"/>
        <v>Low</v>
      </c>
      <c r="Y215" t="str">
        <f t="shared" si="35"/>
        <v>Medium</v>
      </c>
    </row>
    <row r="216" spans="1:25" ht="15.75" thickBot="1">
      <c r="A216" s="1">
        <v>215</v>
      </c>
      <c r="B216" s="2">
        <v>40553</v>
      </c>
      <c r="C216" s="1">
        <v>1</v>
      </c>
      <c r="D216" s="1">
        <v>0</v>
      </c>
      <c r="E216" s="1">
        <v>1</v>
      </c>
      <c r="F216" s="1">
        <v>5</v>
      </c>
      <c r="G216" s="3" t="b">
        <v>0</v>
      </c>
      <c r="H216" s="1">
        <v>1</v>
      </c>
      <c r="I216" s="1">
        <v>1</v>
      </c>
      <c r="J216" s="7">
        <v>0.1</v>
      </c>
      <c r="K216" s="8">
        <f>VLOOKUP($A216,'Temprorary Data'!$A:$G,2,FALSE)</f>
        <v>0.1061</v>
      </c>
      <c r="L216" s="8">
        <f>VLOOKUP($A216,'Temprorary Data'!$A:$G,3,FALSE)</f>
        <v>0.54</v>
      </c>
      <c r="M216" s="8">
        <f>VLOOKUP($A216,'Temprorary Data'!$A:$G,4,FALSE)</f>
        <v>0.25369999999999998</v>
      </c>
      <c r="N216" s="9">
        <f>VLOOKUP($A216,'Temprorary Data'!$A:$G,5,FALSE)</f>
        <v>0</v>
      </c>
      <c r="O216" s="9">
        <f>VLOOKUP($A216,'Temprorary Data'!$A:$G,6,FALSE)</f>
        <v>3</v>
      </c>
      <c r="P216" s="9">
        <f>VLOOKUP($A216,'Temprorary Data'!$A:$G,7,FALSE)</f>
        <v>3</v>
      </c>
      <c r="Q216" t="b">
        <f t="shared" si="27"/>
        <v>1</v>
      </c>
      <c r="R216" t="str">
        <f t="shared" si="28"/>
        <v>January</v>
      </c>
      <c r="S216" t="str">
        <f t="shared" si="29"/>
        <v>Monday</v>
      </c>
      <c r="T216" t="str">
        <f t="shared" si="30"/>
        <v>Weekday</v>
      </c>
      <c r="U216" t="str">
        <f t="shared" si="31"/>
        <v>Spring</v>
      </c>
      <c r="V216" t="str">
        <f t="shared" si="32"/>
        <v>Clear</v>
      </c>
      <c r="W216" t="str">
        <f t="shared" si="33"/>
        <v>Off Peak</v>
      </c>
      <c r="X216" t="str">
        <f t="shared" si="34"/>
        <v>Low</v>
      </c>
      <c r="Y216" t="str">
        <f t="shared" si="35"/>
        <v>Medium</v>
      </c>
    </row>
    <row r="217" spans="1:25" ht="15.75" thickBot="1">
      <c r="A217" s="1">
        <v>216</v>
      </c>
      <c r="B217" s="2">
        <v>40553</v>
      </c>
      <c r="C217" s="1">
        <v>1</v>
      </c>
      <c r="D217" s="1">
        <v>0</v>
      </c>
      <c r="E217" s="1">
        <v>1</v>
      </c>
      <c r="F217" s="1">
        <v>6</v>
      </c>
      <c r="G217" s="3" t="b">
        <v>0</v>
      </c>
      <c r="H217" s="1">
        <v>1</v>
      </c>
      <c r="I217" s="1">
        <v>1</v>
      </c>
      <c r="J217" s="7">
        <v>0.12</v>
      </c>
      <c r="K217" s="8">
        <f>VLOOKUP($A217,'Temprorary Data'!$A:$G,2,FALSE)</f>
        <v>0.1212</v>
      </c>
      <c r="L217" s="8">
        <f>VLOOKUP($A217,'Temprorary Data'!$A:$G,3,FALSE)</f>
        <v>0.5</v>
      </c>
      <c r="M217" s="8">
        <f>VLOOKUP($A217,'Temprorary Data'!$A:$G,4,FALSE)</f>
        <v>0.28360000000000002</v>
      </c>
      <c r="N217" s="9">
        <f>VLOOKUP($A217,'Temprorary Data'!$A:$G,5,FALSE)</f>
        <v>0</v>
      </c>
      <c r="O217" s="9">
        <f>VLOOKUP($A217,'Temprorary Data'!$A:$G,6,FALSE)</f>
        <v>31</v>
      </c>
      <c r="P217" s="9">
        <f>VLOOKUP($A217,'Temprorary Data'!$A:$G,7,FALSE)</f>
        <v>31</v>
      </c>
      <c r="Q217" t="b">
        <f t="shared" si="27"/>
        <v>1</v>
      </c>
      <c r="R217" t="str">
        <f t="shared" si="28"/>
        <v>January</v>
      </c>
      <c r="S217" t="str">
        <f t="shared" si="29"/>
        <v>Monday</v>
      </c>
      <c r="T217" t="str">
        <f t="shared" si="30"/>
        <v>Weekday</v>
      </c>
      <c r="U217" t="str">
        <f t="shared" si="31"/>
        <v>Spring</v>
      </c>
      <c r="V217" t="str">
        <f t="shared" si="32"/>
        <v>Clear</v>
      </c>
      <c r="W217" t="str">
        <f t="shared" si="33"/>
        <v>Off Peak</v>
      </c>
      <c r="X217" t="str">
        <f t="shared" si="34"/>
        <v>Low</v>
      </c>
      <c r="Y217" t="str">
        <f t="shared" si="35"/>
        <v>Medium</v>
      </c>
    </row>
    <row r="218" spans="1:25" ht="15.75" thickBot="1">
      <c r="A218" s="1">
        <v>217</v>
      </c>
      <c r="B218" s="2">
        <v>40553</v>
      </c>
      <c r="C218" s="1">
        <v>1</v>
      </c>
      <c r="D218" s="1">
        <v>0</v>
      </c>
      <c r="E218" s="1">
        <v>1</v>
      </c>
      <c r="F218" s="1">
        <v>7</v>
      </c>
      <c r="G218" s="3" t="b">
        <v>0</v>
      </c>
      <c r="H218" s="1">
        <v>1</v>
      </c>
      <c r="I218" s="1">
        <v>1</v>
      </c>
      <c r="J218" s="7">
        <v>0.12</v>
      </c>
      <c r="K218" s="8">
        <f>VLOOKUP($A218,'Temprorary Data'!$A:$G,2,FALSE)</f>
        <v>0.1212</v>
      </c>
      <c r="L218" s="8">
        <f>VLOOKUP($A218,'Temprorary Data'!$A:$G,3,FALSE)</f>
        <v>0.5</v>
      </c>
      <c r="M218" s="8">
        <f>VLOOKUP($A218,'Temprorary Data'!$A:$G,4,FALSE)</f>
        <v>0.22389999999999999</v>
      </c>
      <c r="N218" s="9">
        <f>VLOOKUP($A218,'Temprorary Data'!$A:$G,5,FALSE)</f>
        <v>2</v>
      </c>
      <c r="O218" s="9">
        <f>VLOOKUP($A218,'Temprorary Data'!$A:$G,6,FALSE)</f>
        <v>75</v>
      </c>
      <c r="P218" s="9">
        <f>VLOOKUP($A218,'Temprorary Data'!$A:$G,7,FALSE)</f>
        <v>77</v>
      </c>
      <c r="Q218" t="b">
        <f t="shared" si="27"/>
        <v>1</v>
      </c>
      <c r="R218" t="str">
        <f t="shared" si="28"/>
        <v>January</v>
      </c>
      <c r="S218" t="str">
        <f t="shared" si="29"/>
        <v>Monday</v>
      </c>
      <c r="T218" t="str">
        <f t="shared" si="30"/>
        <v>Weekday</v>
      </c>
      <c r="U218" t="str">
        <f t="shared" si="31"/>
        <v>Spring</v>
      </c>
      <c r="V218" t="str">
        <f t="shared" si="32"/>
        <v>Clear</v>
      </c>
      <c r="W218" t="str">
        <f t="shared" si="33"/>
        <v>Morning Peak</v>
      </c>
      <c r="X218" t="str">
        <f t="shared" si="34"/>
        <v>Low</v>
      </c>
      <c r="Y218" t="str">
        <f t="shared" si="35"/>
        <v>Medium</v>
      </c>
    </row>
    <row r="219" spans="1:25" ht="15.75" thickBot="1">
      <c r="A219" s="1">
        <v>218</v>
      </c>
      <c r="B219" s="2">
        <v>40553</v>
      </c>
      <c r="C219" s="1">
        <v>1</v>
      </c>
      <c r="D219" s="1">
        <v>0</v>
      </c>
      <c r="E219" s="1">
        <v>1</v>
      </c>
      <c r="F219" s="1">
        <v>8</v>
      </c>
      <c r="G219" s="3" t="b">
        <v>0</v>
      </c>
      <c r="H219" s="1">
        <v>1</v>
      </c>
      <c r="I219" s="1">
        <v>2</v>
      </c>
      <c r="J219" s="7">
        <v>0.12</v>
      </c>
      <c r="K219" s="8">
        <f>VLOOKUP($A219,'Temprorary Data'!$A:$G,2,FALSE)</f>
        <v>0.1212</v>
      </c>
      <c r="L219" s="8">
        <f>VLOOKUP($A219,'Temprorary Data'!$A:$G,3,FALSE)</f>
        <v>0.5</v>
      </c>
      <c r="M219" s="8">
        <f>VLOOKUP($A219,'Temprorary Data'!$A:$G,4,FALSE)</f>
        <v>0.28360000000000002</v>
      </c>
      <c r="N219" s="9">
        <f>VLOOKUP($A219,'Temprorary Data'!$A:$G,5,FALSE)</f>
        <v>4</v>
      </c>
      <c r="O219" s="9">
        <f>VLOOKUP($A219,'Temprorary Data'!$A:$G,6,FALSE)</f>
        <v>184</v>
      </c>
      <c r="P219" s="9">
        <f>VLOOKUP($A219,'Temprorary Data'!$A:$G,7,FALSE)</f>
        <v>188</v>
      </c>
      <c r="Q219" t="b">
        <f t="shared" si="27"/>
        <v>1</v>
      </c>
      <c r="R219" t="str">
        <f t="shared" si="28"/>
        <v>January</v>
      </c>
      <c r="S219" t="str">
        <f t="shared" si="29"/>
        <v>Monday</v>
      </c>
      <c r="T219" t="str">
        <f t="shared" si="30"/>
        <v>Weekday</v>
      </c>
      <c r="U219" t="str">
        <f t="shared" si="31"/>
        <v>Spring</v>
      </c>
      <c r="V219" t="str">
        <f t="shared" si="32"/>
        <v>Mist</v>
      </c>
      <c r="W219" t="str">
        <f t="shared" si="33"/>
        <v>Morning Peak</v>
      </c>
      <c r="X219" t="str">
        <f t="shared" si="34"/>
        <v>Low</v>
      </c>
      <c r="Y219" t="str">
        <f t="shared" si="35"/>
        <v>Medium</v>
      </c>
    </row>
    <row r="220" spans="1:25" ht="15.75" thickBot="1">
      <c r="A220" s="1">
        <v>219</v>
      </c>
      <c r="B220" s="2">
        <v>40553</v>
      </c>
      <c r="C220" s="1">
        <v>1</v>
      </c>
      <c r="D220" s="1">
        <v>0</v>
      </c>
      <c r="E220" s="1">
        <v>1</v>
      </c>
      <c r="F220" s="1">
        <v>9</v>
      </c>
      <c r="G220" s="3" t="b">
        <v>0</v>
      </c>
      <c r="H220" s="1">
        <v>1</v>
      </c>
      <c r="I220" s="1">
        <v>2</v>
      </c>
      <c r="J220" s="7">
        <v>0.14000000000000001</v>
      </c>
      <c r="K220" s="8">
        <f>VLOOKUP($A220,'Temprorary Data'!$A:$G,2,FALSE)</f>
        <v>0.1212</v>
      </c>
      <c r="L220" s="8">
        <f>VLOOKUP($A220,'Temprorary Data'!$A:$G,3,FALSE)</f>
        <v>0.5</v>
      </c>
      <c r="M220" s="8">
        <f>VLOOKUP($A220,'Temprorary Data'!$A:$G,4,FALSE)</f>
        <v>0.25369999999999998</v>
      </c>
      <c r="N220" s="9">
        <f>VLOOKUP($A220,'Temprorary Data'!$A:$G,5,FALSE)</f>
        <v>2</v>
      </c>
      <c r="O220" s="9">
        <f>VLOOKUP($A220,'Temprorary Data'!$A:$G,6,FALSE)</f>
        <v>92</v>
      </c>
      <c r="P220" s="9">
        <f>VLOOKUP($A220,'Temprorary Data'!$A:$G,7,FALSE)</f>
        <v>94</v>
      </c>
      <c r="Q220" t="b">
        <f t="shared" si="27"/>
        <v>1</v>
      </c>
      <c r="R220" t="str">
        <f t="shared" si="28"/>
        <v>January</v>
      </c>
      <c r="S220" t="str">
        <f t="shared" si="29"/>
        <v>Monday</v>
      </c>
      <c r="T220" t="str">
        <f t="shared" si="30"/>
        <v>Weekday</v>
      </c>
      <c r="U220" t="str">
        <f t="shared" si="31"/>
        <v>Spring</v>
      </c>
      <c r="V220" t="str">
        <f t="shared" si="32"/>
        <v>Mist</v>
      </c>
      <c r="W220" t="str">
        <f t="shared" si="33"/>
        <v>Morning Peak</v>
      </c>
      <c r="X220" t="str">
        <f t="shared" si="34"/>
        <v>Low</v>
      </c>
      <c r="Y220" t="str">
        <f t="shared" si="35"/>
        <v>Medium</v>
      </c>
    </row>
    <row r="221" spans="1:25" ht="15.75" thickBot="1">
      <c r="A221" s="1">
        <v>220</v>
      </c>
      <c r="B221" s="2">
        <v>40553</v>
      </c>
      <c r="C221" s="1">
        <v>1</v>
      </c>
      <c r="D221" s="1">
        <v>0</v>
      </c>
      <c r="E221" s="1">
        <v>1</v>
      </c>
      <c r="F221" s="1">
        <v>10</v>
      </c>
      <c r="G221" s="3" t="b">
        <v>0</v>
      </c>
      <c r="H221" s="1">
        <v>1</v>
      </c>
      <c r="I221" s="1">
        <v>2</v>
      </c>
      <c r="J221" s="7">
        <v>0.14000000000000001</v>
      </c>
      <c r="K221" s="8">
        <f>VLOOKUP($A221,'Temprorary Data'!$A:$G,2,FALSE)</f>
        <v>0.1212</v>
      </c>
      <c r="L221" s="8">
        <f>VLOOKUP($A221,'Temprorary Data'!$A:$G,3,FALSE)</f>
        <v>0.5</v>
      </c>
      <c r="M221" s="8">
        <f>VLOOKUP($A221,'Temprorary Data'!$A:$G,4,FALSE)</f>
        <v>0.29849999999999999</v>
      </c>
      <c r="N221" s="9">
        <f>VLOOKUP($A221,'Temprorary Data'!$A:$G,5,FALSE)</f>
        <v>0</v>
      </c>
      <c r="O221" s="9">
        <f>VLOOKUP($A221,'Temprorary Data'!$A:$G,6,FALSE)</f>
        <v>31</v>
      </c>
      <c r="P221" s="9">
        <f>VLOOKUP($A221,'Temprorary Data'!$A:$G,7,FALSE)</f>
        <v>31</v>
      </c>
      <c r="Q221" t="b">
        <f t="shared" si="27"/>
        <v>1</v>
      </c>
      <c r="R221" t="str">
        <f t="shared" si="28"/>
        <v>January</v>
      </c>
      <c r="S221" t="str">
        <f t="shared" si="29"/>
        <v>Monday</v>
      </c>
      <c r="T221" t="str">
        <f t="shared" si="30"/>
        <v>Weekday</v>
      </c>
      <c r="U221" t="str">
        <f t="shared" si="31"/>
        <v>Spring</v>
      </c>
      <c r="V221" t="str">
        <f t="shared" si="32"/>
        <v>Mist</v>
      </c>
      <c r="W221" t="str">
        <f t="shared" si="33"/>
        <v>Off Peak</v>
      </c>
      <c r="X221" t="str">
        <f t="shared" si="34"/>
        <v>Low</v>
      </c>
      <c r="Y221" t="str">
        <f t="shared" si="35"/>
        <v>Medium</v>
      </c>
    </row>
    <row r="222" spans="1:25" ht="15.75" thickBot="1">
      <c r="A222" s="1">
        <v>221</v>
      </c>
      <c r="B222" s="2">
        <v>40553</v>
      </c>
      <c r="C222" s="1">
        <v>1</v>
      </c>
      <c r="D222" s="1">
        <v>0</v>
      </c>
      <c r="E222" s="1">
        <v>1</v>
      </c>
      <c r="F222" s="1">
        <v>11</v>
      </c>
      <c r="G222" s="3" t="b">
        <v>0</v>
      </c>
      <c r="H222" s="1">
        <v>1</v>
      </c>
      <c r="I222" s="1">
        <v>2</v>
      </c>
      <c r="J222" s="7">
        <v>0.16</v>
      </c>
      <c r="K222" s="8">
        <f>VLOOKUP($A222,'Temprorary Data'!$A:$G,2,FALSE)</f>
        <v>0.13639999999999999</v>
      </c>
      <c r="L222" s="8">
        <f>VLOOKUP($A222,'Temprorary Data'!$A:$G,3,FALSE)</f>
        <v>0.47</v>
      </c>
      <c r="M222" s="8">
        <f>VLOOKUP($A222,'Temprorary Data'!$A:$G,4,FALSE)</f>
        <v>0.28360000000000002</v>
      </c>
      <c r="N222" s="9">
        <f>VLOOKUP($A222,'Temprorary Data'!$A:$G,5,FALSE)</f>
        <v>2</v>
      </c>
      <c r="O222" s="9">
        <f>VLOOKUP($A222,'Temprorary Data'!$A:$G,6,FALSE)</f>
        <v>28</v>
      </c>
      <c r="P222" s="9">
        <f>VLOOKUP($A222,'Temprorary Data'!$A:$G,7,FALSE)</f>
        <v>30</v>
      </c>
      <c r="Q222" t="b">
        <f t="shared" si="27"/>
        <v>1</v>
      </c>
      <c r="R222" t="str">
        <f t="shared" si="28"/>
        <v>January</v>
      </c>
      <c r="S222" t="str">
        <f t="shared" si="29"/>
        <v>Monday</v>
      </c>
      <c r="T222" t="str">
        <f t="shared" si="30"/>
        <v>Weekday</v>
      </c>
      <c r="U222" t="str">
        <f t="shared" si="31"/>
        <v>Spring</v>
      </c>
      <c r="V222" t="str">
        <f t="shared" si="32"/>
        <v>Mist</v>
      </c>
      <c r="W222" t="str">
        <f t="shared" si="33"/>
        <v>Off Peak</v>
      </c>
      <c r="X222" t="str">
        <f t="shared" si="34"/>
        <v>Low</v>
      </c>
      <c r="Y222" t="str">
        <f t="shared" si="35"/>
        <v>Medium</v>
      </c>
    </row>
    <row r="223" spans="1:25" ht="15.75" thickBot="1">
      <c r="A223" s="1">
        <v>222</v>
      </c>
      <c r="B223" s="2">
        <v>40553</v>
      </c>
      <c r="C223" s="1">
        <v>1</v>
      </c>
      <c r="D223" s="1">
        <v>0</v>
      </c>
      <c r="E223" s="1">
        <v>1</v>
      </c>
      <c r="F223" s="1">
        <v>12</v>
      </c>
      <c r="G223" s="3" t="b">
        <v>0</v>
      </c>
      <c r="H223" s="1">
        <v>1</v>
      </c>
      <c r="I223" s="1">
        <v>2</v>
      </c>
      <c r="J223" s="7">
        <v>0.2</v>
      </c>
      <c r="K223" s="8">
        <f>VLOOKUP($A223,'Temprorary Data'!$A:$G,2,FALSE)</f>
        <v>0.18179999999999999</v>
      </c>
      <c r="L223" s="8">
        <f>VLOOKUP($A223,'Temprorary Data'!$A:$G,3,FALSE)</f>
        <v>0.4</v>
      </c>
      <c r="M223" s="8">
        <f>VLOOKUP($A223,'Temprorary Data'!$A:$G,4,FALSE)</f>
        <v>0.28360000000000002</v>
      </c>
      <c r="N223" s="9">
        <f>VLOOKUP($A223,'Temprorary Data'!$A:$G,5,FALSE)</f>
        <v>5</v>
      </c>
      <c r="O223" s="9">
        <f>VLOOKUP($A223,'Temprorary Data'!$A:$G,6,FALSE)</f>
        <v>47</v>
      </c>
      <c r="P223" s="9">
        <f>VLOOKUP($A223,'Temprorary Data'!$A:$G,7,FALSE)</f>
        <v>52</v>
      </c>
      <c r="Q223" t="b">
        <f t="shared" si="27"/>
        <v>1</v>
      </c>
      <c r="R223" t="str">
        <f t="shared" si="28"/>
        <v>January</v>
      </c>
      <c r="S223" t="str">
        <f t="shared" si="29"/>
        <v>Monday</v>
      </c>
      <c r="T223" t="str">
        <f t="shared" si="30"/>
        <v>Weekday</v>
      </c>
      <c r="U223" t="str">
        <f t="shared" si="31"/>
        <v>Spring</v>
      </c>
      <c r="V223" t="str">
        <f t="shared" si="32"/>
        <v>Mist</v>
      </c>
      <c r="W223" t="str">
        <f t="shared" si="33"/>
        <v>Off Peak</v>
      </c>
      <c r="X223" t="str">
        <f t="shared" si="34"/>
        <v>Low</v>
      </c>
      <c r="Y223" t="str">
        <f t="shared" si="35"/>
        <v>Medium</v>
      </c>
    </row>
    <row r="224" spans="1:25" ht="15.75" thickBot="1">
      <c r="A224" s="1">
        <v>223</v>
      </c>
      <c r="B224" s="2">
        <v>40553</v>
      </c>
      <c r="C224" s="1">
        <v>1</v>
      </c>
      <c r="D224" s="1">
        <v>0</v>
      </c>
      <c r="E224" s="1">
        <v>1</v>
      </c>
      <c r="F224" s="1">
        <v>13</v>
      </c>
      <c r="G224" s="3" t="b">
        <v>0</v>
      </c>
      <c r="H224" s="1">
        <v>1</v>
      </c>
      <c r="I224" s="1">
        <v>2</v>
      </c>
      <c r="J224" s="7">
        <v>0.2</v>
      </c>
      <c r="K224" s="8">
        <f>VLOOKUP($A224,'Temprorary Data'!$A:$G,2,FALSE)</f>
        <v>0.18179999999999999</v>
      </c>
      <c r="L224" s="8">
        <f>VLOOKUP($A224,'Temprorary Data'!$A:$G,3,FALSE)</f>
        <v>0.4</v>
      </c>
      <c r="M224" s="8">
        <f>VLOOKUP($A224,'Temprorary Data'!$A:$G,4,FALSE)</f>
        <v>0.28360000000000002</v>
      </c>
      <c r="N224" s="9">
        <f>VLOOKUP($A224,'Temprorary Data'!$A:$G,5,FALSE)</f>
        <v>4</v>
      </c>
      <c r="O224" s="9">
        <f>VLOOKUP($A224,'Temprorary Data'!$A:$G,6,FALSE)</f>
        <v>50</v>
      </c>
      <c r="P224" s="9">
        <f>VLOOKUP($A224,'Temprorary Data'!$A:$G,7,FALSE)</f>
        <v>54</v>
      </c>
      <c r="Q224" t="b">
        <f t="shared" si="27"/>
        <v>1</v>
      </c>
      <c r="R224" t="str">
        <f t="shared" si="28"/>
        <v>January</v>
      </c>
      <c r="S224" t="str">
        <f t="shared" si="29"/>
        <v>Monday</v>
      </c>
      <c r="T224" t="str">
        <f t="shared" si="30"/>
        <v>Weekday</v>
      </c>
      <c r="U224" t="str">
        <f t="shared" si="31"/>
        <v>Spring</v>
      </c>
      <c r="V224" t="str">
        <f t="shared" si="32"/>
        <v>Mist</v>
      </c>
      <c r="W224" t="str">
        <f t="shared" si="33"/>
        <v>Off Peak</v>
      </c>
      <c r="X224" t="str">
        <f t="shared" si="34"/>
        <v>Low</v>
      </c>
      <c r="Y224" t="str">
        <f t="shared" si="35"/>
        <v>Medium</v>
      </c>
    </row>
    <row r="225" spans="1:25" ht="15.75" thickBot="1">
      <c r="A225" s="1">
        <v>224</v>
      </c>
      <c r="B225" s="2">
        <v>40553</v>
      </c>
      <c r="C225" s="1">
        <v>1</v>
      </c>
      <c r="D225" s="1">
        <v>0</v>
      </c>
      <c r="E225" s="1">
        <v>1</v>
      </c>
      <c r="F225" s="1">
        <v>14</v>
      </c>
      <c r="G225" s="3" t="b">
        <v>0</v>
      </c>
      <c r="H225" s="1">
        <v>1</v>
      </c>
      <c r="I225" s="1">
        <v>2</v>
      </c>
      <c r="J225" s="7">
        <v>0.2</v>
      </c>
      <c r="K225" s="8">
        <f>VLOOKUP($A225,'Temprorary Data'!$A:$G,2,FALSE)</f>
        <v>0.19700000000000001</v>
      </c>
      <c r="L225" s="8">
        <f>VLOOKUP($A225,'Temprorary Data'!$A:$G,3,FALSE)</f>
        <v>0.4</v>
      </c>
      <c r="M225" s="8">
        <f>VLOOKUP($A225,'Temprorary Data'!$A:$G,4,FALSE)</f>
        <v>0.22389999999999999</v>
      </c>
      <c r="N225" s="9">
        <f>VLOOKUP($A225,'Temprorary Data'!$A:$G,5,FALSE)</f>
        <v>0</v>
      </c>
      <c r="O225" s="9">
        <f>VLOOKUP($A225,'Temprorary Data'!$A:$G,6,FALSE)</f>
        <v>47</v>
      </c>
      <c r="P225" s="9">
        <f>VLOOKUP($A225,'Temprorary Data'!$A:$G,7,FALSE)</f>
        <v>47</v>
      </c>
      <c r="Q225" t="b">
        <f t="shared" si="27"/>
        <v>1</v>
      </c>
      <c r="R225" t="str">
        <f t="shared" si="28"/>
        <v>January</v>
      </c>
      <c r="S225" t="str">
        <f t="shared" si="29"/>
        <v>Monday</v>
      </c>
      <c r="T225" t="str">
        <f t="shared" si="30"/>
        <v>Weekday</v>
      </c>
      <c r="U225" t="str">
        <f t="shared" si="31"/>
        <v>Spring</v>
      </c>
      <c r="V225" t="str">
        <f t="shared" si="32"/>
        <v>Mist</v>
      </c>
      <c r="W225" t="str">
        <f t="shared" si="33"/>
        <v>Off Peak</v>
      </c>
      <c r="X225" t="str">
        <f t="shared" si="34"/>
        <v>Low</v>
      </c>
      <c r="Y225" t="str">
        <f t="shared" si="35"/>
        <v>Medium</v>
      </c>
    </row>
    <row r="226" spans="1:25" ht="15.75" thickBot="1">
      <c r="A226" s="1">
        <v>225</v>
      </c>
      <c r="B226" s="2">
        <v>40553</v>
      </c>
      <c r="C226" s="1">
        <v>1</v>
      </c>
      <c r="D226" s="1">
        <v>0</v>
      </c>
      <c r="E226" s="1">
        <v>1</v>
      </c>
      <c r="F226" s="1">
        <v>15</v>
      </c>
      <c r="G226" s="3" t="b">
        <v>0</v>
      </c>
      <c r="H226" s="1">
        <v>1</v>
      </c>
      <c r="I226" s="1">
        <v>2</v>
      </c>
      <c r="J226" s="7">
        <v>0.2</v>
      </c>
      <c r="K226" s="8">
        <f>VLOOKUP($A226,'Temprorary Data'!$A:$G,2,FALSE)</f>
        <v>0.19700000000000001</v>
      </c>
      <c r="L226" s="8">
        <f>VLOOKUP($A226,'Temprorary Data'!$A:$G,3,FALSE)</f>
        <v>0.4</v>
      </c>
      <c r="M226" s="8">
        <f>VLOOKUP($A226,'Temprorary Data'!$A:$G,4,FALSE)</f>
        <v>0.22389999999999999</v>
      </c>
      <c r="N226" s="9">
        <f>VLOOKUP($A226,'Temprorary Data'!$A:$G,5,FALSE)</f>
        <v>2</v>
      </c>
      <c r="O226" s="9">
        <f>VLOOKUP($A226,'Temprorary Data'!$A:$G,6,FALSE)</f>
        <v>43</v>
      </c>
      <c r="P226" s="9">
        <f>VLOOKUP($A226,'Temprorary Data'!$A:$G,7,FALSE)</f>
        <v>45</v>
      </c>
      <c r="Q226" t="b">
        <f t="shared" si="27"/>
        <v>1</v>
      </c>
      <c r="R226" t="str">
        <f t="shared" si="28"/>
        <v>January</v>
      </c>
      <c r="S226" t="str">
        <f t="shared" si="29"/>
        <v>Monday</v>
      </c>
      <c r="T226" t="str">
        <f t="shared" si="30"/>
        <v>Weekday</v>
      </c>
      <c r="U226" t="str">
        <f t="shared" si="31"/>
        <v>Spring</v>
      </c>
      <c r="V226" t="str">
        <f t="shared" si="32"/>
        <v>Mist</v>
      </c>
      <c r="W226" t="str">
        <f t="shared" si="33"/>
        <v>Off Peak</v>
      </c>
      <c r="X226" t="str">
        <f t="shared" si="34"/>
        <v>Low</v>
      </c>
      <c r="Y226" t="str">
        <f t="shared" si="35"/>
        <v>Medium</v>
      </c>
    </row>
    <row r="227" spans="1:25" ht="15.75" thickBot="1">
      <c r="A227" s="1">
        <v>226</v>
      </c>
      <c r="B227" s="2">
        <v>40553</v>
      </c>
      <c r="C227" s="1">
        <v>1</v>
      </c>
      <c r="D227" s="1">
        <v>0</v>
      </c>
      <c r="E227" s="1">
        <v>1</v>
      </c>
      <c r="F227" s="1">
        <v>16</v>
      </c>
      <c r="G227" s="3" t="b">
        <v>0</v>
      </c>
      <c r="H227" s="1">
        <v>1</v>
      </c>
      <c r="I227" s="1">
        <v>1</v>
      </c>
      <c r="J227" s="7">
        <v>0.2</v>
      </c>
      <c r="K227" s="8">
        <f>VLOOKUP($A227,'Temprorary Data'!$A:$G,2,FALSE)</f>
        <v>0.21210000000000001</v>
      </c>
      <c r="L227" s="8">
        <f>VLOOKUP($A227,'Temprorary Data'!$A:$G,3,FALSE)</f>
        <v>0.4</v>
      </c>
      <c r="M227" s="8">
        <f>VLOOKUP($A227,'Temprorary Data'!$A:$G,4,FALSE)</f>
        <v>0.1343</v>
      </c>
      <c r="N227" s="9">
        <f>VLOOKUP($A227,'Temprorary Data'!$A:$G,5,FALSE)</f>
        <v>4</v>
      </c>
      <c r="O227" s="9">
        <f>VLOOKUP($A227,'Temprorary Data'!$A:$G,6,FALSE)</f>
        <v>70</v>
      </c>
      <c r="P227" s="9">
        <f>VLOOKUP($A227,'Temprorary Data'!$A:$G,7,FALSE)</f>
        <v>74</v>
      </c>
      <c r="Q227" t="b">
        <f t="shared" si="27"/>
        <v>1</v>
      </c>
      <c r="R227" t="str">
        <f t="shared" si="28"/>
        <v>January</v>
      </c>
      <c r="S227" t="str">
        <f t="shared" si="29"/>
        <v>Monday</v>
      </c>
      <c r="T227" t="str">
        <f t="shared" si="30"/>
        <v>Weekday</v>
      </c>
      <c r="U227" t="str">
        <f t="shared" si="31"/>
        <v>Spring</v>
      </c>
      <c r="V227" t="str">
        <f t="shared" si="32"/>
        <v>Clear</v>
      </c>
      <c r="W227" t="str">
        <f t="shared" si="33"/>
        <v>Off Peak</v>
      </c>
      <c r="X227" t="str">
        <f t="shared" si="34"/>
        <v>Low</v>
      </c>
      <c r="Y227" t="str">
        <f t="shared" si="35"/>
        <v>Medium</v>
      </c>
    </row>
    <row r="228" spans="1:25" ht="15.75" thickBot="1">
      <c r="A228" s="1">
        <v>227</v>
      </c>
      <c r="B228" s="2">
        <v>40553</v>
      </c>
      <c r="C228" s="1">
        <v>1</v>
      </c>
      <c r="D228" s="1">
        <v>0</v>
      </c>
      <c r="E228" s="1">
        <v>1</v>
      </c>
      <c r="F228" s="1">
        <v>17</v>
      </c>
      <c r="G228" s="3" t="b">
        <v>0</v>
      </c>
      <c r="H228" s="1">
        <v>1</v>
      </c>
      <c r="I228" s="1">
        <v>1</v>
      </c>
      <c r="J228" s="7">
        <v>0.2</v>
      </c>
      <c r="K228" s="8">
        <f>VLOOKUP($A228,'Temprorary Data'!$A:$G,2,FALSE)</f>
        <v>0.2273</v>
      </c>
      <c r="L228" s="8">
        <f>VLOOKUP($A228,'Temprorary Data'!$A:$G,3,FALSE)</f>
        <v>0.4</v>
      </c>
      <c r="M228" s="8">
        <f>VLOOKUP($A228,'Temprorary Data'!$A:$G,4,FALSE)</f>
        <v>0.1045</v>
      </c>
      <c r="N228" s="9">
        <f>VLOOKUP($A228,'Temprorary Data'!$A:$G,5,FALSE)</f>
        <v>4</v>
      </c>
      <c r="O228" s="9">
        <f>VLOOKUP($A228,'Temprorary Data'!$A:$G,6,FALSE)</f>
        <v>174</v>
      </c>
      <c r="P228" s="9">
        <f>VLOOKUP($A228,'Temprorary Data'!$A:$G,7,FALSE)</f>
        <v>178</v>
      </c>
      <c r="Q228" t="b">
        <f t="shared" si="27"/>
        <v>1</v>
      </c>
      <c r="R228" t="str">
        <f t="shared" si="28"/>
        <v>January</v>
      </c>
      <c r="S228" t="str">
        <f t="shared" si="29"/>
        <v>Monday</v>
      </c>
      <c r="T228" t="str">
        <f t="shared" si="30"/>
        <v>Weekday</v>
      </c>
      <c r="U228" t="str">
        <f t="shared" si="31"/>
        <v>Spring</v>
      </c>
      <c r="V228" t="str">
        <f t="shared" si="32"/>
        <v>Clear</v>
      </c>
      <c r="W228" t="str">
        <f t="shared" si="33"/>
        <v>Evening Peak</v>
      </c>
      <c r="X228" t="str">
        <f t="shared" si="34"/>
        <v>Low</v>
      </c>
      <c r="Y228" t="str">
        <f t="shared" si="35"/>
        <v>Medium</v>
      </c>
    </row>
    <row r="229" spans="1:25" ht="15.75" thickBot="1">
      <c r="A229" s="1">
        <v>228</v>
      </c>
      <c r="B229" s="2">
        <v>40553</v>
      </c>
      <c r="C229" s="1">
        <v>1</v>
      </c>
      <c r="D229" s="1">
        <v>0</v>
      </c>
      <c r="E229" s="1">
        <v>1</v>
      </c>
      <c r="F229" s="1">
        <v>18</v>
      </c>
      <c r="G229" s="3" t="b">
        <v>0</v>
      </c>
      <c r="H229" s="1">
        <v>1</v>
      </c>
      <c r="I229" s="1">
        <v>1</v>
      </c>
      <c r="J229" s="7">
        <v>0.2</v>
      </c>
      <c r="K229" s="8">
        <f>VLOOKUP($A229,'Temprorary Data'!$A:$G,2,FALSE)</f>
        <v>0.19700000000000001</v>
      </c>
      <c r="L229" s="8">
        <f>VLOOKUP($A229,'Temprorary Data'!$A:$G,3,FALSE)</f>
        <v>0.4</v>
      </c>
      <c r="M229" s="8">
        <f>VLOOKUP($A229,'Temprorary Data'!$A:$G,4,FALSE)</f>
        <v>0.22389999999999999</v>
      </c>
      <c r="N229" s="9">
        <f>VLOOKUP($A229,'Temprorary Data'!$A:$G,5,FALSE)</f>
        <v>1</v>
      </c>
      <c r="O229" s="9">
        <f>VLOOKUP($A229,'Temprorary Data'!$A:$G,6,FALSE)</f>
        <v>154</v>
      </c>
      <c r="P229" s="9">
        <f>VLOOKUP($A229,'Temprorary Data'!$A:$G,7,FALSE)</f>
        <v>155</v>
      </c>
      <c r="Q229" t="b">
        <f t="shared" si="27"/>
        <v>1</v>
      </c>
      <c r="R229" t="str">
        <f t="shared" si="28"/>
        <v>January</v>
      </c>
      <c r="S229" t="str">
        <f t="shared" si="29"/>
        <v>Monday</v>
      </c>
      <c r="T229" t="str">
        <f t="shared" si="30"/>
        <v>Weekday</v>
      </c>
      <c r="U229" t="str">
        <f t="shared" si="31"/>
        <v>Spring</v>
      </c>
      <c r="V229" t="str">
        <f t="shared" si="32"/>
        <v>Clear</v>
      </c>
      <c r="W229" t="str">
        <f t="shared" si="33"/>
        <v>Evening Peak</v>
      </c>
      <c r="X229" t="str">
        <f t="shared" si="34"/>
        <v>Low</v>
      </c>
      <c r="Y229" t="str">
        <f t="shared" si="35"/>
        <v>Medium</v>
      </c>
    </row>
    <row r="230" spans="1:25" ht="15.75" thickBot="1">
      <c r="A230" s="1">
        <v>229</v>
      </c>
      <c r="B230" s="2">
        <v>40553</v>
      </c>
      <c r="C230" s="1">
        <v>1</v>
      </c>
      <c r="D230" s="1">
        <v>0</v>
      </c>
      <c r="E230" s="1">
        <v>1</v>
      </c>
      <c r="F230" s="1">
        <v>19</v>
      </c>
      <c r="G230" s="3" t="b">
        <v>0</v>
      </c>
      <c r="H230" s="1">
        <v>1</v>
      </c>
      <c r="I230" s="1">
        <v>1</v>
      </c>
      <c r="J230" s="7">
        <v>0.16</v>
      </c>
      <c r="K230" s="8">
        <f>VLOOKUP($A230,'Temprorary Data'!$A:$G,2,FALSE)</f>
        <v>0.16669999999999999</v>
      </c>
      <c r="L230" s="8">
        <f>VLOOKUP($A230,'Temprorary Data'!$A:$G,3,FALSE)</f>
        <v>0.47</v>
      </c>
      <c r="M230" s="8">
        <f>VLOOKUP($A230,'Temprorary Data'!$A:$G,4,FALSE)</f>
        <v>0.16420000000000001</v>
      </c>
      <c r="N230" s="9">
        <f>VLOOKUP($A230,'Temprorary Data'!$A:$G,5,FALSE)</f>
        <v>3</v>
      </c>
      <c r="O230" s="9">
        <f>VLOOKUP($A230,'Temprorary Data'!$A:$G,6,FALSE)</f>
        <v>92</v>
      </c>
      <c r="P230" s="9">
        <f>VLOOKUP($A230,'Temprorary Data'!$A:$G,7,FALSE)</f>
        <v>95</v>
      </c>
      <c r="Q230" t="b">
        <f t="shared" si="27"/>
        <v>1</v>
      </c>
      <c r="R230" t="str">
        <f t="shared" si="28"/>
        <v>January</v>
      </c>
      <c r="S230" t="str">
        <f t="shared" si="29"/>
        <v>Monday</v>
      </c>
      <c r="T230" t="str">
        <f t="shared" si="30"/>
        <v>Weekday</v>
      </c>
      <c r="U230" t="str">
        <f t="shared" si="31"/>
        <v>Spring</v>
      </c>
      <c r="V230" t="str">
        <f t="shared" si="32"/>
        <v>Clear</v>
      </c>
      <c r="W230" t="str">
        <f t="shared" si="33"/>
        <v>Evening Peak</v>
      </c>
      <c r="X230" t="str">
        <f t="shared" si="34"/>
        <v>Low</v>
      </c>
      <c r="Y230" t="str">
        <f t="shared" si="35"/>
        <v>Medium</v>
      </c>
    </row>
    <row r="231" spans="1:25" ht="15.75" thickBot="1">
      <c r="A231" s="1">
        <v>230</v>
      </c>
      <c r="B231" s="2">
        <v>40553</v>
      </c>
      <c r="C231" s="1">
        <v>1</v>
      </c>
      <c r="D231" s="1">
        <v>0</v>
      </c>
      <c r="E231" s="1">
        <v>1</v>
      </c>
      <c r="F231" s="1">
        <v>20</v>
      </c>
      <c r="G231" s="3" t="b">
        <v>0</v>
      </c>
      <c r="H231" s="1">
        <v>1</v>
      </c>
      <c r="I231" s="1">
        <v>1</v>
      </c>
      <c r="J231" s="7">
        <v>0.16</v>
      </c>
      <c r="K231" s="8">
        <f>VLOOKUP($A231,'Temprorary Data'!$A:$G,2,FALSE)</f>
        <v>0.16669999999999999</v>
      </c>
      <c r="L231" s="8">
        <f>VLOOKUP($A231,'Temprorary Data'!$A:$G,3,FALSE)</f>
        <v>0.5</v>
      </c>
      <c r="M231" s="8">
        <f>VLOOKUP($A231,'Temprorary Data'!$A:$G,4,FALSE)</f>
        <v>0.16420000000000001</v>
      </c>
      <c r="N231" s="9">
        <f>VLOOKUP($A231,'Temprorary Data'!$A:$G,5,FALSE)</f>
        <v>1</v>
      </c>
      <c r="O231" s="9">
        <f>VLOOKUP($A231,'Temprorary Data'!$A:$G,6,FALSE)</f>
        <v>73</v>
      </c>
      <c r="P231" s="9">
        <f>VLOOKUP($A231,'Temprorary Data'!$A:$G,7,FALSE)</f>
        <v>74</v>
      </c>
      <c r="Q231" t="b">
        <f t="shared" si="27"/>
        <v>1</v>
      </c>
      <c r="R231" t="str">
        <f t="shared" si="28"/>
        <v>January</v>
      </c>
      <c r="S231" t="str">
        <f t="shared" si="29"/>
        <v>Monday</v>
      </c>
      <c r="T231" t="str">
        <f t="shared" si="30"/>
        <v>Weekday</v>
      </c>
      <c r="U231" t="str">
        <f t="shared" si="31"/>
        <v>Spring</v>
      </c>
      <c r="V231" t="str">
        <f t="shared" si="32"/>
        <v>Clear</v>
      </c>
      <c r="W231" t="str">
        <f t="shared" si="33"/>
        <v>Evening Peak</v>
      </c>
      <c r="X231" t="str">
        <f t="shared" si="34"/>
        <v>Low</v>
      </c>
      <c r="Y231" t="str">
        <f t="shared" si="35"/>
        <v>Medium</v>
      </c>
    </row>
    <row r="232" spans="1:25" ht="15.75" thickBot="1">
      <c r="A232" s="1">
        <v>231</v>
      </c>
      <c r="B232" s="2">
        <v>40553</v>
      </c>
      <c r="C232" s="1">
        <v>1</v>
      </c>
      <c r="D232" s="1">
        <v>0</v>
      </c>
      <c r="E232" s="1">
        <v>1</v>
      </c>
      <c r="F232" s="1">
        <v>21</v>
      </c>
      <c r="G232" s="3" t="b">
        <v>0</v>
      </c>
      <c r="H232" s="1">
        <v>1</v>
      </c>
      <c r="I232" s="1">
        <v>1</v>
      </c>
      <c r="J232" s="7">
        <v>0.14000000000000001</v>
      </c>
      <c r="K232" s="8">
        <f>VLOOKUP($A232,'Temprorary Data'!$A:$G,2,FALSE)</f>
        <v>0.13639999999999999</v>
      </c>
      <c r="L232" s="8">
        <f>VLOOKUP($A232,'Temprorary Data'!$A:$G,3,FALSE)</f>
        <v>0.59</v>
      </c>
      <c r="M232" s="8">
        <f>VLOOKUP($A232,'Temprorary Data'!$A:$G,4,FALSE)</f>
        <v>0.19400000000000001</v>
      </c>
      <c r="N232" s="9">
        <f>VLOOKUP($A232,'Temprorary Data'!$A:$G,5,FALSE)</f>
        <v>1</v>
      </c>
      <c r="O232" s="9">
        <f>VLOOKUP($A232,'Temprorary Data'!$A:$G,6,FALSE)</f>
        <v>37</v>
      </c>
      <c r="P232" s="9">
        <f>VLOOKUP($A232,'Temprorary Data'!$A:$G,7,FALSE)</f>
        <v>38</v>
      </c>
      <c r="Q232" t="b">
        <f t="shared" si="27"/>
        <v>1</v>
      </c>
      <c r="R232" t="str">
        <f t="shared" si="28"/>
        <v>January</v>
      </c>
      <c r="S232" t="str">
        <f t="shared" si="29"/>
        <v>Monday</v>
      </c>
      <c r="T232" t="str">
        <f t="shared" si="30"/>
        <v>Weekday</v>
      </c>
      <c r="U232" t="str">
        <f t="shared" si="31"/>
        <v>Spring</v>
      </c>
      <c r="V232" t="str">
        <f t="shared" si="32"/>
        <v>Clear</v>
      </c>
      <c r="W232" t="str">
        <f t="shared" si="33"/>
        <v>Off Peak</v>
      </c>
      <c r="X232" t="str">
        <f t="shared" si="34"/>
        <v>Low</v>
      </c>
      <c r="Y232" t="str">
        <f t="shared" si="35"/>
        <v>Medium</v>
      </c>
    </row>
    <row r="233" spans="1:25" ht="15.75" thickBot="1">
      <c r="A233" s="1">
        <v>232</v>
      </c>
      <c r="B233" s="2">
        <v>40553</v>
      </c>
      <c r="C233" s="1">
        <v>1</v>
      </c>
      <c r="D233" s="1">
        <v>0</v>
      </c>
      <c r="E233" s="1">
        <v>1</v>
      </c>
      <c r="F233" s="1">
        <v>22</v>
      </c>
      <c r="G233" s="3" t="b">
        <v>0</v>
      </c>
      <c r="H233" s="1">
        <v>1</v>
      </c>
      <c r="I233" s="1">
        <v>1</v>
      </c>
      <c r="J233" s="7">
        <v>0.14000000000000001</v>
      </c>
      <c r="K233" s="8">
        <f>VLOOKUP($A233,'Temprorary Data'!$A:$G,2,FALSE)</f>
        <v>0.1515</v>
      </c>
      <c r="L233" s="8">
        <f>VLOOKUP($A233,'Temprorary Data'!$A:$G,3,FALSE)</f>
        <v>0.59</v>
      </c>
      <c r="M233" s="8">
        <f>VLOOKUP($A233,'Temprorary Data'!$A:$G,4,FALSE)</f>
        <v>0.16420000000000001</v>
      </c>
      <c r="N233" s="9">
        <f>VLOOKUP($A233,'Temprorary Data'!$A:$G,5,FALSE)</f>
        <v>2</v>
      </c>
      <c r="O233" s="9">
        <f>VLOOKUP($A233,'Temprorary Data'!$A:$G,6,FALSE)</f>
        <v>22</v>
      </c>
      <c r="P233" s="9">
        <f>VLOOKUP($A233,'Temprorary Data'!$A:$G,7,FALSE)</f>
        <v>24</v>
      </c>
      <c r="Q233" t="b">
        <f t="shared" si="27"/>
        <v>1</v>
      </c>
      <c r="R233" t="str">
        <f t="shared" si="28"/>
        <v>January</v>
      </c>
      <c r="S233" t="str">
        <f t="shared" si="29"/>
        <v>Monday</v>
      </c>
      <c r="T233" t="str">
        <f t="shared" si="30"/>
        <v>Weekday</v>
      </c>
      <c r="U233" t="str">
        <f t="shared" si="31"/>
        <v>Spring</v>
      </c>
      <c r="V233" t="str">
        <f t="shared" si="32"/>
        <v>Clear</v>
      </c>
      <c r="W233" t="str">
        <f t="shared" si="33"/>
        <v>Off Peak</v>
      </c>
      <c r="X233" t="str">
        <f t="shared" si="34"/>
        <v>Low</v>
      </c>
      <c r="Y233" t="str">
        <f t="shared" si="35"/>
        <v>Medium</v>
      </c>
    </row>
    <row r="234" spans="1:25" ht="15.75" thickBot="1">
      <c r="A234" s="1">
        <v>233</v>
      </c>
      <c r="B234" s="2">
        <v>40553</v>
      </c>
      <c r="C234" s="1">
        <v>1</v>
      </c>
      <c r="D234" s="1">
        <v>0</v>
      </c>
      <c r="E234" s="1">
        <v>1</v>
      </c>
      <c r="F234" s="1">
        <v>23</v>
      </c>
      <c r="G234" s="3" t="b">
        <v>0</v>
      </c>
      <c r="H234" s="1">
        <v>1</v>
      </c>
      <c r="I234" s="1">
        <v>1</v>
      </c>
      <c r="J234" s="7">
        <v>0.14000000000000001</v>
      </c>
      <c r="K234" s="8">
        <f>VLOOKUP($A234,'Temprorary Data'!$A:$G,2,FALSE)</f>
        <v>0.1515</v>
      </c>
      <c r="L234" s="8">
        <f>VLOOKUP($A234,'Temprorary Data'!$A:$G,3,FALSE)</f>
        <v>0.59</v>
      </c>
      <c r="M234" s="8">
        <f>VLOOKUP($A234,'Temprorary Data'!$A:$G,4,FALSE)</f>
        <v>0.16420000000000001</v>
      </c>
      <c r="N234" s="9">
        <f>VLOOKUP($A234,'Temprorary Data'!$A:$G,5,FALSE)</f>
        <v>0</v>
      </c>
      <c r="O234" s="9">
        <f>VLOOKUP($A234,'Temprorary Data'!$A:$G,6,FALSE)</f>
        <v>18</v>
      </c>
      <c r="P234" s="9">
        <f>VLOOKUP($A234,'Temprorary Data'!$A:$G,7,FALSE)</f>
        <v>18</v>
      </c>
      <c r="Q234" t="b">
        <f t="shared" si="27"/>
        <v>1</v>
      </c>
      <c r="R234" t="str">
        <f t="shared" si="28"/>
        <v>January</v>
      </c>
      <c r="S234" t="str">
        <f t="shared" si="29"/>
        <v>Monday</v>
      </c>
      <c r="T234" t="str">
        <f t="shared" si="30"/>
        <v>Weekday</v>
      </c>
      <c r="U234" t="str">
        <f t="shared" si="31"/>
        <v>Spring</v>
      </c>
      <c r="V234" t="str">
        <f t="shared" si="32"/>
        <v>Clear</v>
      </c>
      <c r="W234" t="str">
        <f t="shared" si="33"/>
        <v>Off Peak</v>
      </c>
      <c r="X234" t="str">
        <f t="shared" si="34"/>
        <v>Low</v>
      </c>
      <c r="Y234" t="str">
        <f t="shared" si="35"/>
        <v>Medium</v>
      </c>
    </row>
    <row r="235" spans="1:25" ht="15.75" thickBot="1">
      <c r="A235" s="1">
        <v>234</v>
      </c>
      <c r="B235" s="2">
        <v>40554</v>
      </c>
      <c r="C235" s="1">
        <v>1</v>
      </c>
      <c r="D235" s="1">
        <v>0</v>
      </c>
      <c r="E235" s="1">
        <v>1</v>
      </c>
      <c r="F235" s="1">
        <v>0</v>
      </c>
      <c r="G235" s="3" t="b">
        <v>0</v>
      </c>
      <c r="H235" s="1">
        <v>2</v>
      </c>
      <c r="I235" s="1">
        <v>1</v>
      </c>
      <c r="J235" s="7">
        <v>0.14000000000000001</v>
      </c>
      <c r="K235" s="8">
        <f>VLOOKUP($A235,'Temprorary Data'!$A:$G,2,FALSE)</f>
        <v>0.16669999999999999</v>
      </c>
      <c r="L235" s="8">
        <f>VLOOKUP($A235,'Temprorary Data'!$A:$G,3,FALSE)</f>
        <v>0.59</v>
      </c>
      <c r="M235" s="8">
        <f>VLOOKUP($A235,'Temprorary Data'!$A:$G,4,FALSE)</f>
        <v>0.1045</v>
      </c>
      <c r="N235" s="9">
        <f>VLOOKUP($A235,'Temprorary Data'!$A:$G,5,FALSE)</f>
        <v>2</v>
      </c>
      <c r="O235" s="9">
        <f>VLOOKUP($A235,'Temprorary Data'!$A:$G,6,FALSE)</f>
        <v>10</v>
      </c>
      <c r="P235" s="9">
        <f>VLOOKUP($A235,'Temprorary Data'!$A:$G,7,FALSE)</f>
        <v>12</v>
      </c>
      <c r="Q235" t="b">
        <f t="shared" si="27"/>
        <v>1</v>
      </c>
      <c r="R235" t="str">
        <f t="shared" si="28"/>
        <v>January</v>
      </c>
      <c r="S235" t="str">
        <f t="shared" si="29"/>
        <v>Tuesday</v>
      </c>
      <c r="T235" t="str">
        <f t="shared" si="30"/>
        <v>Weekday</v>
      </c>
      <c r="U235" t="str">
        <f t="shared" si="31"/>
        <v>Spring</v>
      </c>
      <c r="V235" t="str">
        <f t="shared" si="32"/>
        <v>Clear</v>
      </c>
      <c r="W235" t="str">
        <f t="shared" si="33"/>
        <v>Off Peak</v>
      </c>
      <c r="X235" t="str">
        <f t="shared" si="34"/>
        <v>Low</v>
      </c>
      <c r="Y235" t="str">
        <f t="shared" si="35"/>
        <v>Medium</v>
      </c>
    </row>
    <row r="236" spans="1:25" ht="15.75" thickBot="1">
      <c r="A236" s="1">
        <v>235</v>
      </c>
      <c r="B236" s="2">
        <v>40554</v>
      </c>
      <c r="C236" s="1">
        <v>1</v>
      </c>
      <c r="D236" s="1">
        <v>0</v>
      </c>
      <c r="E236" s="1">
        <v>1</v>
      </c>
      <c r="F236" s="1">
        <v>1</v>
      </c>
      <c r="G236" s="3" t="b">
        <v>0</v>
      </c>
      <c r="H236" s="1">
        <v>2</v>
      </c>
      <c r="I236" s="1">
        <v>1</v>
      </c>
      <c r="J236" s="7">
        <v>0.14000000000000001</v>
      </c>
      <c r="K236" s="8">
        <f>VLOOKUP($A236,'Temprorary Data'!$A:$G,2,FALSE)</f>
        <v>0.1515</v>
      </c>
      <c r="L236" s="8">
        <f>VLOOKUP($A236,'Temprorary Data'!$A:$G,3,FALSE)</f>
        <v>0.59</v>
      </c>
      <c r="M236" s="8">
        <f>VLOOKUP($A236,'Temprorary Data'!$A:$G,4,FALSE)</f>
        <v>0.16420000000000001</v>
      </c>
      <c r="N236" s="9">
        <f>VLOOKUP($A236,'Temprorary Data'!$A:$G,5,FALSE)</f>
        <v>0</v>
      </c>
      <c r="O236" s="9">
        <f>VLOOKUP($A236,'Temprorary Data'!$A:$G,6,FALSE)</f>
        <v>3</v>
      </c>
      <c r="P236" s="9">
        <f>VLOOKUP($A236,'Temprorary Data'!$A:$G,7,FALSE)</f>
        <v>3</v>
      </c>
      <c r="Q236" t="b">
        <f t="shared" si="27"/>
        <v>1</v>
      </c>
      <c r="R236" t="str">
        <f t="shared" si="28"/>
        <v>January</v>
      </c>
      <c r="S236" t="str">
        <f t="shared" si="29"/>
        <v>Tuesday</v>
      </c>
      <c r="T236" t="str">
        <f t="shared" si="30"/>
        <v>Weekday</v>
      </c>
      <c r="U236" t="str">
        <f t="shared" si="31"/>
        <v>Spring</v>
      </c>
      <c r="V236" t="str">
        <f t="shared" si="32"/>
        <v>Clear</v>
      </c>
      <c r="W236" t="str">
        <f t="shared" si="33"/>
        <v>Off Peak</v>
      </c>
      <c r="X236" t="str">
        <f t="shared" si="34"/>
        <v>Low</v>
      </c>
      <c r="Y236" t="str">
        <f t="shared" si="35"/>
        <v>Medium</v>
      </c>
    </row>
    <row r="237" spans="1:25" ht="15.75" thickBot="1">
      <c r="A237" s="1">
        <v>236</v>
      </c>
      <c r="B237" s="2">
        <v>40554</v>
      </c>
      <c r="C237" s="1">
        <v>1</v>
      </c>
      <c r="D237" s="1">
        <v>0</v>
      </c>
      <c r="E237" s="1">
        <v>1</v>
      </c>
      <c r="F237" s="1">
        <v>2</v>
      </c>
      <c r="G237" s="3" t="b">
        <v>0</v>
      </c>
      <c r="H237" s="1">
        <v>2</v>
      </c>
      <c r="I237" s="1">
        <v>2</v>
      </c>
      <c r="J237" s="7">
        <v>0.16</v>
      </c>
      <c r="K237" s="8">
        <f>VLOOKUP($A237,'Temprorary Data'!$A:$G,2,FALSE)</f>
        <v>0.1515</v>
      </c>
      <c r="L237" s="8">
        <f>VLOOKUP($A237,'Temprorary Data'!$A:$G,3,FALSE)</f>
        <v>0.55000000000000004</v>
      </c>
      <c r="M237" s="8">
        <f>VLOOKUP($A237,'Temprorary Data'!$A:$G,4,FALSE)</f>
        <v>0.19400000000000001</v>
      </c>
      <c r="N237" s="9">
        <f>VLOOKUP($A237,'Temprorary Data'!$A:$G,5,FALSE)</f>
        <v>0</v>
      </c>
      <c r="O237" s="9">
        <f>VLOOKUP($A237,'Temprorary Data'!$A:$G,6,FALSE)</f>
        <v>3</v>
      </c>
      <c r="P237" s="9">
        <f>VLOOKUP($A237,'Temprorary Data'!$A:$G,7,FALSE)</f>
        <v>3</v>
      </c>
      <c r="Q237" t="b">
        <f t="shared" si="27"/>
        <v>1</v>
      </c>
      <c r="R237" t="str">
        <f t="shared" si="28"/>
        <v>January</v>
      </c>
      <c r="S237" t="str">
        <f t="shared" si="29"/>
        <v>Tuesday</v>
      </c>
      <c r="T237" t="str">
        <f t="shared" si="30"/>
        <v>Weekday</v>
      </c>
      <c r="U237" t="str">
        <f t="shared" si="31"/>
        <v>Spring</v>
      </c>
      <c r="V237" t="str">
        <f t="shared" si="32"/>
        <v>Mist</v>
      </c>
      <c r="W237" t="str">
        <f t="shared" si="33"/>
        <v>Off Peak</v>
      </c>
      <c r="X237" t="str">
        <f t="shared" si="34"/>
        <v>Low</v>
      </c>
      <c r="Y237" t="str">
        <f t="shared" si="35"/>
        <v>Medium</v>
      </c>
    </row>
    <row r="238" spans="1:25" ht="15.75" thickBot="1">
      <c r="A238" s="1">
        <v>237</v>
      </c>
      <c r="B238" s="2">
        <v>40554</v>
      </c>
      <c r="C238" s="1">
        <v>1</v>
      </c>
      <c r="D238" s="1">
        <v>0</v>
      </c>
      <c r="E238" s="1">
        <v>1</v>
      </c>
      <c r="F238" s="1">
        <v>5</v>
      </c>
      <c r="G238" s="3" t="b">
        <v>0</v>
      </c>
      <c r="H238" s="1">
        <v>2</v>
      </c>
      <c r="I238" s="1">
        <v>2</v>
      </c>
      <c r="J238" s="7">
        <v>0.16</v>
      </c>
      <c r="K238" s="8">
        <f>VLOOKUP($A238,'Temprorary Data'!$A:$G,2,FALSE)</f>
        <v>0.18179999999999999</v>
      </c>
      <c r="L238" s="8">
        <f>VLOOKUP($A238,'Temprorary Data'!$A:$G,3,FALSE)</f>
        <v>0.55000000000000004</v>
      </c>
      <c r="M238" s="8">
        <f>VLOOKUP($A238,'Temprorary Data'!$A:$G,4,FALSE)</f>
        <v>0.1343</v>
      </c>
      <c r="N238" s="9">
        <f>VLOOKUP($A238,'Temprorary Data'!$A:$G,5,FALSE)</f>
        <v>0</v>
      </c>
      <c r="O238" s="9">
        <f>VLOOKUP($A238,'Temprorary Data'!$A:$G,6,FALSE)</f>
        <v>6</v>
      </c>
      <c r="P238" s="9">
        <f>VLOOKUP($A238,'Temprorary Data'!$A:$G,7,FALSE)</f>
        <v>6</v>
      </c>
      <c r="Q238" t="b">
        <f t="shared" si="27"/>
        <v>1</v>
      </c>
      <c r="R238" t="str">
        <f t="shared" si="28"/>
        <v>January</v>
      </c>
      <c r="S238" t="str">
        <f t="shared" si="29"/>
        <v>Tuesday</v>
      </c>
      <c r="T238" t="str">
        <f t="shared" si="30"/>
        <v>Weekday</v>
      </c>
      <c r="U238" t="str">
        <f t="shared" si="31"/>
        <v>Spring</v>
      </c>
      <c r="V238" t="str">
        <f t="shared" si="32"/>
        <v>Mist</v>
      </c>
      <c r="W238" t="str">
        <f t="shared" si="33"/>
        <v>Off Peak</v>
      </c>
      <c r="X238" t="str">
        <f t="shared" si="34"/>
        <v>Low</v>
      </c>
      <c r="Y238" t="str">
        <f t="shared" si="35"/>
        <v>Medium</v>
      </c>
    </row>
    <row r="239" spans="1:25" ht="15.75" thickBot="1">
      <c r="A239" s="1">
        <v>238</v>
      </c>
      <c r="B239" s="2">
        <v>40554</v>
      </c>
      <c r="C239" s="1">
        <v>1</v>
      </c>
      <c r="D239" s="1">
        <v>0</v>
      </c>
      <c r="E239" s="1">
        <v>1</v>
      </c>
      <c r="F239" s="1">
        <v>6</v>
      </c>
      <c r="G239" s="3" t="b">
        <v>0</v>
      </c>
      <c r="H239" s="1">
        <v>2</v>
      </c>
      <c r="I239" s="1">
        <v>2</v>
      </c>
      <c r="J239" s="7">
        <v>0.16</v>
      </c>
      <c r="K239" s="8">
        <f>VLOOKUP($A239,'Temprorary Data'!$A:$G,2,FALSE)</f>
        <v>0.18179999999999999</v>
      </c>
      <c r="L239" s="8">
        <f>VLOOKUP($A239,'Temprorary Data'!$A:$G,3,FALSE)</f>
        <v>0.55000000000000004</v>
      </c>
      <c r="M239" s="8">
        <f>VLOOKUP($A239,'Temprorary Data'!$A:$G,4,FALSE)</f>
        <v>0.1343</v>
      </c>
      <c r="N239" s="9">
        <f>VLOOKUP($A239,'Temprorary Data'!$A:$G,5,FALSE)</f>
        <v>0</v>
      </c>
      <c r="O239" s="9">
        <f>VLOOKUP($A239,'Temprorary Data'!$A:$G,6,FALSE)</f>
        <v>27</v>
      </c>
      <c r="P239" s="9">
        <f>VLOOKUP($A239,'Temprorary Data'!$A:$G,7,FALSE)</f>
        <v>27</v>
      </c>
      <c r="Q239" t="b">
        <f t="shared" si="27"/>
        <v>1</v>
      </c>
      <c r="R239" t="str">
        <f t="shared" si="28"/>
        <v>January</v>
      </c>
      <c r="S239" t="str">
        <f t="shared" si="29"/>
        <v>Tuesday</v>
      </c>
      <c r="T239" t="str">
        <f t="shared" si="30"/>
        <v>Weekday</v>
      </c>
      <c r="U239" t="str">
        <f t="shared" si="31"/>
        <v>Spring</v>
      </c>
      <c r="V239" t="str">
        <f t="shared" si="32"/>
        <v>Mist</v>
      </c>
      <c r="W239" t="str">
        <f t="shared" si="33"/>
        <v>Off Peak</v>
      </c>
      <c r="X239" t="str">
        <f t="shared" si="34"/>
        <v>Low</v>
      </c>
      <c r="Y239" t="str">
        <f t="shared" si="35"/>
        <v>Medium</v>
      </c>
    </row>
    <row r="240" spans="1:25" ht="15.75" thickBot="1">
      <c r="A240" s="1">
        <v>239</v>
      </c>
      <c r="B240" s="2">
        <v>40554</v>
      </c>
      <c r="C240" s="1">
        <v>1</v>
      </c>
      <c r="D240" s="1">
        <v>0</v>
      </c>
      <c r="E240" s="1">
        <v>1</v>
      </c>
      <c r="F240" s="1">
        <v>7</v>
      </c>
      <c r="G240" s="3" t="b">
        <v>0</v>
      </c>
      <c r="H240" s="1">
        <v>2</v>
      </c>
      <c r="I240" s="1">
        <v>2</v>
      </c>
      <c r="J240" s="7">
        <v>0.16</v>
      </c>
      <c r="K240" s="8">
        <f>VLOOKUP($A240,'Temprorary Data'!$A:$G,2,FALSE)</f>
        <v>0.2273</v>
      </c>
      <c r="L240" s="8">
        <f>VLOOKUP($A240,'Temprorary Data'!$A:$G,3,FALSE)</f>
        <v>0.55000000000000004</v>
      </c>
      <c r="M240" s="8">
        <f>VLOOKUP($A240,'Temprorary Data'!$A:$G,4,FALSE)</f>
        <v>0</v>
      </c>
      <c r="N240" s="9">
        <f>VLOOKUP($A240,'Temprorary Data'!$A:$G,5,FALSE)</f>
        <v>2</v>
      </c>
      <c r="O240" s="9">
        <f>VLOOKUP($A240,'Temprorary Data'!$A:$G,6,FALSE)</f>
        <v>97</v>
      </c>
      <c r="P240" s="9">
        <f>VLOOKUP($A240,'Temprorary Data'!$A:$G,7,FALSE)</f>
        <v>99</v>
      </c>
      <c r="Q240" t="b">
        <f t="shared" si="27"/>
        <v>1</v>
      </c>
      <c r="R240" t="str">
        <f t="shared" si="28"/>
        <v>January</v>
      </c>
      <c r="S240" t="str">
        <f t="shared" si="29"/>
        <v>Tuesday</v>
      </c>
      <c r="T240" t="str">
        <f t="shared" si="30"/>
        <v>Weekday</v>
      </c>
      <c r="U240" t="str">
        <f t="shared" si="31"/>
        <v>Spring</v>
      </c>
      <c r="V240" t="str">
        <f t="shared" si="32"/>
        <v>Mist</v>
      </c>
      <c r="W240" t="str">
        <f t="shared" si="33"/>
        <v>Morning Peak</v>
      </c>
      <c r="X240" t="str">
        <f t="shared" si="34"/>
        <v>Low</v>
      </c>
      <c r="Y240" t="str">
        <f t="shared" si="35"/>
        <v>Medium</v>
      </c>
    </row>
    <row r="241" spans="1:25" ht="15.75" thickBot="1">
      <c r="A241" s="1">
        <v>240</v>
      </c>
      <c r="B241" s="2">
        <v>40554</v>
      </c>
      <c r="C241" s="1">
        <v>1</v>
      </c>
      <c r="D241" s="1">
        <v>0</v>
      </c>
      <c r="E241" s="1">
        <v>1</v>
      </c>
      <c r="F241" s="1">
        <v>8</v>
      </c>
      <c r="G241" s="3" t="b">
        <v>0</v>
      </c>
      <c r="H241" s="1">
        <v>2</v>
      </c>
      <c r="I241" s="1">
        <v>2</v>
      </c>
      <c r="J241" s="7">
        <v>0.18</v>
      </c>
      <c r="K241" s="8">
        <f>VLOOKUP($A241,'Temprorary Data'!$A:$G,2,FALSE)</f>
        <v>0.21210000000000001</v>
      </c>
      <c r="L241" s="8">
        <f>VLOOKUP($A241,'Temprorary Data'!$A:$G,3,FALSE)</f>
        <v>0.51</v>
      </c>
      <c r="M241" s="8">
        <f>VLOOKUP($A241,'Temprorary Data'!$A:$G,4,FALSE)</f>
        <v>8.9599999999999999E-2</v>
      </c>
      <c r="N241" s="9">
        <f>VLOOKUP($A241,'Temprorary Data'!$A:$G,5,FALSE)</f>
        <v>3</v>
      </c>
      <c r="O241" s="9">
        <f>VLOOKUP($A241,'Temprorary Data'!$A:$G,6,FALSE)</f>
        <v>214</v>
      </c>
      <c r="P241" s="9">
        <f>VLOOKUP($A241,'Temprorary Data'!$A:$G,7,FALSE)</f>
        <v>217</v>
      </c>
      <c r="Q241" t="b">
        <f t="shared" si="27"/>
        <v>1</v>
      </c>
      <c r="R241" t="str">
        <f t="shared" si="28"/>
        <v>January</v>
      </c>
      <c r="S241" t="str">
        <f t="shared" si="29"/>
        <v>Tuesday</v>
      </c>
      <c r="T241" t="str">
        <f t="shared" si="30"/>
        <v>Weekday</v>
      </c>
      <c r="U241" t="str">
        <f t="shared" si="31"/>
        <v>Spring</v>
      </c>
      <c r="V241" t="str">
        <f t="shared" si="32"/>
        <v>Mist</v>
      </c>
      <c r="W241" t="str">
        <f t="shared" si="33"/>
        <v>Morning Peak</v>
      </c>
      <c r="X241" t="str">
        <f t="shared" si="34"/>
        <v>Low</v>
      </c>
      <c r="Y241" t="str">
        <f t="shared" si="35"/>
        <v>Medium</v>
      </c>
    </row>
    <row r="242" spans="1:25" ht="15.75" thickBot="1">
      <c r="A242" s="1">
        <v>241</v>
      </c>
      <c r="B242" s="2">
        <v>40554</v>
      </c>
      <c r="C242" s="1">
        <v>1</v>
      </c>
      <c r="D242" s="1">
        <v>0</v>
      </c>
      <c r="E242" s="1">
        <v>1</v>
      </c>
      <c r="F242" s="1">
        <v>9</v>
      </c>
      <c r="G242" s="3" t="b">
        <v>0</v>
      </c>
      <c r="H242" s="1">
        <v>2</v>
      </c>
      <c r="I242" s="1">
        <v>2</v>
      </c>
      <c r="J242" s="7">
        <v>0.18</v>
      </c>
      <c r="K242" s="8">
        <f>VLOOKUP($A242,'Temprorary Data'!$A:$G,2,FALSE)</f>
        <v>0.19700000000000001</v>
      </c>
      <c r="L242" s="8">
        <f>VLOOKUP($A242,'Temprorary Data'!$A:$G,3,FALSE)</f>
        <v>0.51</v>
      </c>
      <c r="M242" s="8">
        <f>VLOOKUP($A242,'Temprorary Data'!$A:$G,4,FALSE)</f>
        <v>0.16420000000000001</v>
      </c>
      <c r="N242" s="9">
        <f>VLOOKUP($A242,'Temprorary Data'!$A:$G,5,FALSE)</f>
        <v>3</v>
      </c>
      <c r="O242" s="9">
        <f>VLOOKUP($A242,'Temprorary Data'!$A:$G,6,FALSE)</f>
        <v>127</v>
      </c>
      <c r="P242" s="9">
        <f>VLOOKUP($A242,'Temprorary Data'!$A:$G,7,FALSE)</f>
        <v>130</v>
      </c>
      <c r="Q242" t="b">
        <f t="shared" si="27"/>
        <v>1</v>
      </c>
      <c r="R242" t="str">
        <f t="shared" si="28"/>
        <v>January</v>
      </c>
      <c r="S242" t="str">
        <f t="shared" si="29"/>
        <v>Tuesday</v>
      </c>
      <c r="T242" t="str">
        <f t="shared" si="30"/>
        <v>Weekday</v>
      </c>
      <c r="U242" t="str">
        <f t="shared" si="31"/>
        <v>Spring</v>
      </c>
      <c r="V242" t="str">
        <f t="shared" si="32"/>
        <v>Mist</v>
      </c>
      <c r="W242" t="str">
        <f t="shared" si="33"/>
        <v>Morning Peak</v>
      </c>
      <c r="X242" t="str">
        <f t="shared" si="34"/>
        <v>Low</v>
      </c>
      <c r="Y242" t="str">
        <f t="shared" si="35"/>
        <v>Medium</v>
      </c>
    </row>
    <row r="243" spans="1:25" ht="15.75" thickBot="1">
      <c r="A243" s="1">
        <v>242</v>
      </c>
      <c r="B243" s="2">
        <v>40554</v>
      </c>
      <c r="C243" s="1">
        <v>1</v>
      </c>
      <c r="D243" s="1">
        <v>0</v>
      </c>
      <c r="E243" s="1">
        <v>1</v>
      </c>
      <c r="F243" s="1">
        <v>10</v>
      </c>
      <c r="G243" s="3" t="b">
        <v>0</v>
      </c>
      <c r="H243" s="1">
        <v>2</v>
      </c>
      <c r="I243" s="1">
        <v>2</v>
      </c>
      <c r="J243" s="7">
        <v>0.2</v>
      </c>
      <c r="K243" s="8">
        <f>VLOOKUP($A243,'Temprorary Data'!$A:$G,2,FALSE)</f>
        <v>0.21210000000000001</v>
      </c>
      <c r="L243" s="8">
        <f>VLOOKUP($A243,'Temprorary Data'!$A:$G,3,FALSE)</f>
        <v>0.51</v>
      </c>
      <c r="M243" s="8">
        <f>VLOOKUP($A243,'Temprorary Data'!$A:$G,4,FALSE)</f>
        <v>0.16420000000000001</v>
      </c>
      <c r="N243" s="9">
        <f>VLOOKUP($A243,'Temprorary Data'!$A:$G,5,FALSE)</f>
        <v>3</v>
      </c>
      <c r="O243" s="9">
        <f>VLOOKUP($A243,'Temprorary Data'!$A:$G,6,FALSE)</f>
        <v>51</v>
      </c>
      <c r="P243" s="9">
        <f>VLOOKUP($A243,'Temprorary Data'!$A:$G,7,FALSE)</f>
        <v>54</v>
      </c>
      <c r="Q243" t="b">
        <f t="shared" si="27"/>
        <v>1</v>
      </c>
      <c r="R243" t="str">
        <f t="shared" si="28"/>
        <v>January</v>
      </c>
      <c r="S243" t="str">
        <f t="shared" si="29"/>
        <v>Tuesday</v>
      </c>
      <c r="T243" t="str">
        <f t="shared" si="30"/>
        <v>Weekday</v>
      </c>
      <c r="U243" t="str">
        <f t="shared" si="31"/>
        <v>Spring</v>
      </c>
      <c r="V243" t="str">
        <f t="shared" si="32"/>
        <v>Mist</v>
      </c>
      <c r="W243" t="str">
        <f t="shared" si="33"/>
        <v>Off Peak</v>
      </c>
      <c r="X243" t="str">
        <f t="shared" si="34"/>
        <v>Low</v>
      </c>
      <c r="Y243" t="str">
        <f t="shared" si="35"/>
        <v>Medium</v>
      </c>
    </row>
    <row r="244" spans="1:25" ht="15.75" thickBot="1">
      <c r="A244" s="1">
        <v>243</v>
      </c>
      <c r="B244" s="2">
        <v>40554</v>
      </c>
      <c r="C244" s="1">
        <v>1</v>
      </c>
      <c r="D244" s="1">
        <v>0</v>
      </c>
      <c r="E244" s="1">
        <v>1</v>
      </c>
      <c r="F244" s="1">
        <v>11</v>
      </c>
      <c r="G244" s="3" t="b">
        <v>0</v>
      </c>
      <c r="H244" s="1">
        <v>2</v>
      </c>
      <c r="I244" s="1">
        <v>2</v>
      </c>
      <c r="J244" s="7">
        <v>0.2</v>
      </c>
      <c r="K244" s="8">
        <f>VLOOKUP($A244,'Temprorary Data'!$A:$G,2,FALSE)</f>
        <v>0.21210000000000001</v>
      </c>
      <c r="L244" s="8">
        <f>VLOOKUP($A244,'Temprorary Data'!$A:$G,3,FALSE)</f>
        <v>0.47</v>
      </c>
      <c r="M244" s="8">
        <f>VLOOKUP($A244,'Temprorary Data'!$A:$G,4,FALSE)</f>
        <v>0.1343</v>
      </c>
      <c r="N244" s="9">
        <f>VLOOKUP($A244,'Temprorary Data'!$A:$G,5,FALSE)</f>
        <v>4</v>
      </c>
      <c r="O244" s="9">
        <f>VLOOKUP($A244,'Temprorary Data'!$A:$G,6,FALSE)</f>
        <v>31</v>
      </c>
      <c r="P244" s="9">
        <f>VLOOKUP($A244,'Temprorary Data'!$A:$G,7,FALSE)</f>
        <v>35</v>
      </c>
      <c r="Q244" t="b">
        <f t="shared" si="27"/>
        <v>1</v>
      </c>
      <c r="R244" t="str">
        <f t="shared" si="28"/>
        <v>January</v>
      </c>
      <c r="S244" t="str">
        <f t="shared" si="29"/>
        <v>Tuesday</v>
      </c>
      <c r="T244" t="str">
        <f t="shared" si="30"/>
        <v>Weekday</v>
      </c>
      <c r="U244" t="str">
        <f t="shared" si="31"/>
        <v>Spring</v>
      </c>
      <c r="V244" t="str">
        <f t="shared" si="32"/>
        <v>Mist</v>
      </c>
      <c r="W244" t="str">
        <f t="shared" si="33"/>
        <v>Off Peak</v>
      </c>
      <c r="X244" t="str">
        <f t="shared" si="34"/>
        <v>Low</v>
      </c>
      <c r="Y244" t="str">
        <f t="shared" si="35"/>
        <v>Medium</v>
      </c>
    </row>
    <row r="245" spans="1:25" ht="15.75" thickBot="1">
      <c r="A245" s="1">
        <v>244</v>
      </c>
      <c r="B245" s="2">
        <v>40554</v>
      </c>
      <c r="C245" s="1">
        <v>1</v>
      </c>
      <c r="D245" s="1">
        <v>0</v>
      </c>
      <c r="E245" s="1">
        <v>1</v>
      </c>
      <c r="F245" s="1">
        <v>12</v>
      </c>
      <c r="G245" s="3" t="b">
        <v>0</v>
      </c>
      <c r="H245" s="1">
        <v>2</v>
      </c>
      <c r="I245" s="1">
        <v>2</v>
      </c>
      <c r="J245" s="7">
        <v>0.2</v>
      </c>
      <c r="K245" s="8">
        <f>VLOOKUP($A245,'Temprorary Data'!$A:$G,2,FALSE)</f>
        <v>0.2273</v>
      </c>
      <c r="L245" s="8">
        <f>VLOOKUP($A245,'Temprorary Data'!$A:$G,3,FALSE)</f>
        <v>0.51</v>
      </c>
      <c r="M245" s="8">
        <f>VLOOKUP($A245,'Temprorary Data'!$A:$G,4,FALSE)</f>
        <v>0.1045</v>
      </c>
      <c r="N245" s="9">
        <f>VLOOKUP($A245,'Temprorary Data'!$A:$G,5,FALSE)</f>
        <v>2</v>
      </c>
      <c r="O245" s="9">
        <f>VLOOKUP($A245,'Temprorary Data'!$A:$G,6,FALSE)</f>
        <v>55</v>
      </c>
      <c r="P245" s="9">
        <f>VLOOKUP($A245,'Temprorary Data'!$A:$G,7,FALSE)</f>
        <v>57</v>
      </c>
      <c r="Q245" t="b">
        <f t="shared" si="27"/>
        <v>1</v>
      </c>
      <c r="R245" t="str">
        <f t="shared" si="28"/>
        <v>January</v>
      </c>
      <c r="S245" t="str">
        <f t="shared" si="29"/>
        <v>Tuesday</v>
      </c>
      <c r="T245" t="str">
        <f t="shared" si="30"/>
        <v>Weekday</v>
      </c>
      <c r="U245" t="str">
        <f t="shared" si="31"/>
        <v>Spring</v>
      </c>
      <c r="V245" t="str">
        <f t="shared" si="32"/>
        <v>Mist</v>
      </c>
      <c r="W245" t="str">
        <f t="shared" si="33"/>
        <v>Off Peak</v>
      </c>
      <c r="X245" t="str">
        <f t="shared" si="34"/>
        <v>Low</v>
      </c>
      <c r="Y245" t="str">
        <f t="shared" si="35"/>
        <v>Medium</v>
      </c>
    </row>
    <row r="246" spans="1:25" ht="15.75" thickBot="1">
      <c r="A246" s="1">
        <v>245</v>
      </c>
      <c r="B246" s="2">
        <v>40554</v>
      </c>
      <c r="C246" s="1">
        <v>1</v>
      </c>
      <c r="D246" s="1">
        <v>0</v>
      </c>
      <c r="E246" s="1">
        <v>1</v>
      </c>
      <c r="F246" s="1">
        <v>13</v>
      </c>
      <c r="G246" s="3" t="b">
        <v>0</v>
      </c>
      <c r="H246" s="1">
        <v>2</v>
      </c>
      <c r="I246" s="1">
        <v>2</v>
      </c>
      <c r="J246" s="7">
        <v>0.2</v>
      </c>
      <c r="K246" s="8">
        <f>VLOOKUP($A246,'Temprorary Data'!$A:$G,2,FALSE)</f>
        <v>0.2273</v>
      </c>
      <c r="L246" s="8">
        <f>VLOOKUP($A246,'Temprorary Data'!$A:$G,3,FALSE)</f>
        <v>0.59</v>
      </c>
      <c r="M246" s="8">
        <f>VLOOKUP($A246,'Temprorary Data'!$A:$G,4,FALSE)</f>
        <v>8.9599999999999999E-2</v>
      </c>
      <c r="N246" s="9">
        <f>VLOOKUP($A246,'Temprorary Data'!$A:$G,5,FALSE)</f>
        <v>6</v>
      </c>
      <c r="O246" s="9">
        <f>VLOOKUP($A246,'Temprorary Data'!$A:$G,6,FALSE)</f>
        <v>46</v>
      </c>
      <c r="P246" s="9">
        <f>VLOOKUP($A246,'Temprorary Data'!$A:$G,7,FALSE)</f>
        <v>52</v>
      </c>
      <c r="Q246" t="b">
        <f t="shared" si="27"/>
        <v>1</v>
      </c>
      <c r="R246" t="str">
        <f t="shared" si="28"/>
        <v>January</v>
      </c>
      <c r="S246" t="str">
        <f t="shared" si="29"/>
        <v>Tuesday</v>
      </c>
      <c r="T246" t="str">
        <f t="shared" si="30"/>
        <v>Weekday</v>
      </c>
      <c r="U246" t="str">
        <f t="shared" si="31"/>
        <v>Spring</v>
      </c>
      <c r="V246" t="str">
        <f t="shared" si="32"/>
        <v>Mist</v>
      </c>
      <c r="W246" t="str">
        <f t="shared" si="33"/>
        <v>Off Peak</v>
      </c>
      <c r="X246" t="str">
        <f t="shared" si="34"/>
        <v>Low</v>
      </c>
      <c r="Y246" t="str">
        <f t="shared" si="35"/>
        <v>Medium</v>
      </c>
    </row>
    <row r="247" spans="1:25" ht="15.75" thickBot="1">
      <c r="A247" s="1">
        <v>246</v>
      </c>
      <c r="B247" s="2">
        <v>40554</v>
      </c>
      <c r="C247" s="1">
        <v>1</v>
      </c>
      <c r="D247" s="1">
        <v>0</v>
      </c>
      <c r="E247" s="1">
        <v>1</v>
      </c>
      <c r="F247" s="1">
        <v>14</v>
      </c>
      <c r="G247" s="3" t="b">
        <v>0</v>
      </c>
      <c r="H247" s="1">
        <v>2</v>
      </c>
      <c r="I247" s="1">
        <v>2</v>
      </c>
      <c r="J247" s="7">
        <v>0.2</v>
      </c>
      <c r="K247" s="8">
        <f>VLOOKUP($A247,'Temprorary Data'!$A:$G,2,FALSE)</f>
        <v>0.2273</v>
      </c>
      <c r="L247" s="8">
        <f>VLOOKUP($A247,'Temprorary Data'!$A:$G,3,FALSE)</f>
        <v>0.59</v>
      </c>
      <c r="M247" s="8">
        <f>VLOOKUP($A247,'Temprorary Data'!$A:$G,4,FALSE)</f>
        <v>8.9599999999999999E-2</v>
      </c>
      <c r="N247" s="9">
        <f>VLOOKUP($A247,'Temprorary Data'!$A:$G,5,FALSE)</f>
        <v>3</v>
      </c>
      <c r="O247" s="9">
        <f>VLOOKUP($A247,'Temprorary Data'!$A:$G,6,FALSE)</f>
        <v>60</v>
      </c>
      <c r="P247" s="9">
        <f>VLOOKUP($A247,'Temprorary Data'!$A:$G,7,FALSE)</f>
        <v>63</v>
      </c>
      <c r="Q247" t="b">
        <f t="shared" si="27"/>
        <v>1</v>
      </c>
      <c r="R247" t="str">
        <f t="shared" si="28"/>
        <v>January</v>
      </c>
      <c r="S247" t="str">
        <f t="shared" si="29"/>
        <v>Tuesday</v>
      </c>
      <c r="T247" t="str">
        <f t="shared" si="30"/>
        <v>Weekday</v>
      </c>
      <c r="U247" t="str">
        <f t="shared" si="31"/>
        <v>Spring</v>
      </c>
      <c r="V247" t="str">
        <f t="shared" si="32"/>
        <v>Mist</v>
      </c>
      <c r="W247" t="str">
        <f t="shared" si="33"/>
        <v>Off Peak</v>
      </c>
      <c r="X247" t="str">
        <f t="shared" si="34"/>
        <v>Low</v>
      </c>
      <c r="Y247" t="str">
        <f t="shared" si="35"/>
        <v>Medium</v>
      </c>
    </row>
    <row r="248" spans="1:25" ht="15.75" thickBot="1">
      <c r="A248" s="1">
        <v>247</v>
      </c>
      <c r="B248" s="2">
        <v>40554</v>
      </c>
      <c r="C248" s="1">
        <v>1</v>
      </c>
      <c r="D248" s="1">
        <v>0</v>
      </c>
      <c r="E248" s="1">
        <v>1</v>
      </c>
      <c r="F248" s="1">
        <v>15</v>
      </c>
      <c r="G248" s="3" t="b">
        <v>0</v>
      </c>
      <c r="H248" s="1">
        <v>2</v>
      </c>
      <c r="I248" s="1">
        <v>2</v>
      </c>
      <c r="J248" s="7">
        <v>0.16</v>
      </c>
      <c r="K248" s="8">
        <f>VLOOKUP($A248,'Temprorary Data'!$A:$G,2,FALSE)</f>
        <v>0.19700000000000001</v>
      </c>
      <c r="L248" s="8">
        <f>VLOOKUP($A248,'Temprorary Data'!$A:$G,3,FALSE)</f>
        <v>0.8</v>
      </c>
      <c r="M248" s="8">
        <f>VLOOKUP($A248,'Temprorary Data'!$A:$G,4,FALSE)</f>
        <v>8.9599999999999999E-2</v>
      </c>
      <c r="N248" s="9">
        <f>VLOOKUP($A248,'Temprorary Data'!$A:$G,5,FALSE)</f>
        <v>2</v>
      </c>
      <c r="O248" s="9">
        <f>VLOOKUP($A248,'Temprorary Data'!$A:$G,6,FALSE)</f>
        <v>45</v>
      </c>
      <c r="P248" s="9">
        <f>VLOOKUP($A248,'Temprorary Data'!$A:$G,7,FALSE)</f>
        <v>47</v>
      </c>
      <c r="Q248" t="b">
        <f t="shared" si="27"/>
        <v>1</v>
      </c>
      <c r="R248" t="str">
        <f t="shared" si="28"/>
        <v>January</v>
      </c>
      <c r="S248" t="str">
        <f t="shared" si="29"/>
        <v>Tuesday</v>
      </c>
      <c r="T248" t="str">
        <f t="shared" si="30"/>
        <v>Weekday</v>
      </c>
      <c r="U248" t="str">
        <f t="shared" si="31"/>
        <v>Spring</v>
      </c>
      <c r="V248" t="str">
        <f t="shared" si="32"/>
        <v>Mist</v>
      </c>
      <c r="W248" t="str">
        <f t="shared" si="33"/>
        <v>Off Peak</v>
      </c>
      <c r="X248" t="str">
        <f t="shared" si="34"/>
        <v>Low</v>
      </c>
      <c r="Y248" t="str">
        <f t="shared" si="35"/>
        <v>High</v>
      </c>
    </row>
    <row r="249" spans="1:25" ht="15.75" thickBot="1">
      <c r="A249" s="1">
        <v>248</v>
      </c>
      <c r="B249" s="2">
        <v>40554</v>
      </c>
      <c r="C249" s="1">
        <v>1</v>
      </c>
      <c r="D249" s="1">
        <v>0</v>
      </c>
      <c r="E249" s="1">
        <v>1</v>
      </c>
      <c r="F249" s="1">
        <v>16</v>
      </c>
      <c r="G249" s="3" t="b">
        <v>0</v>
      </c>
      <c r="H249" s="1">
        <v>2</v>
      </c>
      <c r="I249" s="1">
        <v>2</v>
      </c>
      <c r="J249" s="7">
        <v>0.16</v>
      </c>
      <c r="K249" s="8">
        <f>VLOOKUP($A249,'Temprorary Data'!$A:$G,2,FALSE)</f>
        <v>0.1515</v>
      </c>
      <c r="L249" s="8">
        <f>VLOOKUP($A249,'Temprorary Data'!$A:$G,3,FALSE)</f>
        <v>0.86</v>
      </c>
      <c r="M249" s="8">
        <f>VLOOKUP($A249,'Temprorary Data'!$A:$G,4,FALSE)</f>
        <v>0.22389999999999999</v>
      </c>
      <c r="N249" s="9">
        <f>VLOOKUP($A249,'Temprorary Data'!$A:$G,5,FALSE)</f>
        <v>4</v>
      </c>
      <c r="O249" s="9">
        <f>VLOOKUP($A249,'Temprorary Data'!$A:$G,6,FALSE)</f>
        <v>72</v>
      </c>
      <c r="P249" s="9">
        <f>VLOOKUP($A249,'Temprorary Data'!$A:$G,7,FALSE)</f>
        <v>76</v>
      </c>
      <c r="Q249" t="b">
        <f t="shared" si="27"/>
        <v>1</v>
      </c>
      <c r="R249" t="str">
        <f t="shared" si="28"/>
        <v>January</v>
      </c>
      <c r="S249" t="str">
        <f t="shared" si="29"/>
        <v>Tuesday</v>
      </c>
      <c r="T249" t="str">
        <f t="shared" si="30"/>
        <v>Weekday</v>
      </c>
      <c r="U249" t="str">
        <f t="shared" si="31"/>
        <v>Spring</v>
      </c>
      <c r="V249" t="str">
        <f t="shared" si="32"/>
        <v>Mist</v>
      </c>
      <c r="W249" t="str">
        <f t="shared" si="33"/>
        <v>Off Peak</v>
      </c>
      <c r="X249" t="str">
        <f t="shared" si="34"/>
        <v>Low</v>
      </c>
      <c r="Y249" t="str">
        <f t="shared" si="35"/>
        <v>High</v>
      </c>
    </row>
    <row r="250" spans="1:25" ht="15.75" thickBot="1">
      <c r="A250" s="1">
        <v>249</v>
      </c>
      <c r="B250" s="2">
        <v>40554</v>
      </c>
      <c r="C250" s="1">
        <v>1</v>
      </c>
      <c r="D250" s="1">
        <v>0</v>
      </c>
      <c r="E250" s="1">
        <v>1</v>
      </c>
      <c r="F250" s="1">
        <v>17</v>
      </c>
      <c r="G250" s="3" t="b">
        <v>0</v>
      </c>
      <c r="H250" s="1">
        <v>2</v>
      </c>
      <c r="I250" s="1">
        <v>2</v>
      </c>
      <c r="J250" s="7">
        <v>0.16</v>
      </c>
      <c r="K250" s="8">
        <f>VLOOKUP($A250,'Temprorary Data'!$A:$G,2,FALSE)</f>
        <v>0.1515</v>
      </c>
      <c r="L250" s="8">
        <f>VLOOKUP($A250,'Temprorary Data'!$A:$G,3,FALSE)</f>
        <v>0.86</v>
      </c>
      <c r="M250" s="8">
        <f>VLOOKUP($A250,'Temprorary Data'!$A:$G,4,FALSE)</f>
        <v>0.22389999999999999</v>
      </c>
      <c r="N250" s="9">
        <f>VLOOKUP($A250,'Temprorary Data'!$A:$G,5,FALSE)</f>
        <v>6</v>
      </c>
      <c r="O250" s="9">
        <f>VLOOKUP($A250,'Temprorary Data'!$A:$G,6,FALSE)</f>
        <v>130</v>
      </c>
      <c r="P250" s="9">
        <f>VLOOKUP($A250,'Temprorary Data'!$A:$G,7,FALSE)</f>
        <v>136</v>
      </c>
      <c r="Q250" t="b">
        <f t="shared" si="27"/>
        <v>1</v>
      </c>
      <c r="R250" t="str">
        <f t="shared" si="28"/>
        <v>January</v>
      </c>
      <c r="S250" t="str">
        <f t="shared" si="29"/>
        <v>Tuesday</v>
      </c>
      <c r="T250" t="str">
        <f t="shared" si="30"/>
        <v>Weekday</v>
      </c>
      <c r="U250" t="str">
        <f t="shared" si="31"/>
        <v>Spring</v>
      </c>
      <c r="V250" t="str">
        <f t="shared" si="32"/>
        <v>Mist</v>
      </c>
      <c r="W250" t="str">
        <f t="shared" si="33"/>
        <v>Evening Peak</v>
      </c>
      <c r="X250" t="str">
        <f t="shared" si="34"/>
        <v>Low</v>
      </c>
      <c r="Y250" t="str">
        <f t="shared" si="35"/>
        <v>High</v>
      </c>
    </row>
    <row r="251" spans="1:25" ht="15.75" thickBot="1">
      <c r="A251" s="1">
        <v>250</v>
      </c>
      <c r="B251" s="2">
        <v>40554</v>
      </c>
      <c r="C251" s="1">
        <v>1</v>
      </c>
      <c r="D251" s="1">
        <v>0</v>
      </c>
      <c r="E251" s="1">
        <v>1</v>
      </c>
      <c r="F251" s="1">
        <v>18</v>
      </c>
      <c r="G251" s="3" t="b">
        <v>0</v>
      </c>
      <c r="H251" s="1">
        <v>2</v>
      </c>
      <c r="I251" s="1">
        <v>3</v>
      </c>
      <c r="J251" s="7">
        <v>0.16</v>
      </c>
      <c r="K251" s="8">
        <f>VLOOKUP($A251,'Temprorary Data'!$A:$G,2,FALSE)</f>
        <v>0.18179999999999999</v>
      </c>
      <c r="L251" s="8">
        <f>VLOOKUP($A251,'Temprorary Data'!$A:$G,3,FALSE)</f>
        <v>0.93</v>
      </c>
      <c r="M251" s="8">
        <f>VLOOKUP($A251,'Temprorary Data'!$A:$G,4,FALSE)</f>
        <v>0.1045</v>
      </c>
      <c r="N251" s="9">
        <f>VLOOKUP($A251,'Temprorary Data'!$A:$G,5,FALSE)</f>
        <v>1</v>
      </c>
      <c r="O251" s="9">
        <f>VLOOKUP($A251,'Temprorary Data'!$A:$G,6,FALSE)</f>
        <v>94</v>
      </c>
      <c r="P251" s="9">
        <f>VLOOKUP($A251,'Temprorary Data'!$A:$G,7,FALSE)</f>
        <v>95</v>
      </c>
      <c r="Q251" t="b">
        <f t="shared" si="27"/>
        <v>1</v>
      </c>
      <c r="R251" t="str">
        <f t="shared" si="28"/>
        <v>January</v>
      </c>
      <c r="S251" t="str">
        <f t="shared" si="29"/>
        <v>Tuesday</v>
      </c>
      <c r="T251" t="str">
        <f t="shared" si="30"/>
        <v>Weekday</v>
      </c>
      <c r="U251" t="str">
        <f t="shared" si="31"/>
        <v>Spring</v>
      </c>
      <c r="V251" t="str">
        <f t="shared" si="32"/>
        <v>Light Rain</v>
      </c>
      <c r="W251" t="str">
        <f t="shared" si="33"/>
        <v>Evening Peak</v>
      </c>
      <c r="X251" t="str">
        <f t="shared" si="34"/>
        <v>Low</v>
      </c>
      <c r="Y251" t="str">
        <f t="shared" si="35"/>
        <v>High</v>
      </c>
    </row>
    <row r="252" spans="1:25" ht="15.75" thickBot="1">
      <c r="A252" s="1">
        <v>251</v>
      </c>
      <c r="B252" s="2">
        <v>40554</v>
      </c>
      <c r="C252" s="1">
        <v>1</v>
      </c>
      <c r="D252" s="1">
        <v>0</v>
      </c>
      <c r="E252" s="1">
        <v>1</v>
      </c>
      <c r="F252" s="1">
        <v>19</v>
      </c>
      <c r="G252" s="3" t="b">
        <v>0</v>
      </c>
      <c r="H252" s="1">
        <v>2</v>
      </c>
      <c r="I252" s="1">
        <v>3</v>
      </c>
      <c r="J252" s="7">
        <v>0.16</v>
      </c>
      <c r="K252" s="8">
        <f>VLOOKUP($A252,'Temprorary Data'!$A:$G,2,FALSE)</f>
        <v>0.2273</v>
      </c>
      <c r="L252" s="8">
        <f>VLOOKUP($A252,'Temprorary Data'!$A:$G,3,FALSE)</f>
        <v>0.93</v>
      </c>
      <c r="M252" s="8">
        <f>VLOOKUP($A252,'Temprorary Data'!$A:$G,4,FALSE)</f>
        <v>0</v>
      </c>
      <c r="N252" s="9">
        <f>VLOOKUP($A252,'Temprorary Data'!$A:$G,5,FALSE)</f>
        <v>0</v>
      </c>
      <c r="O252" s="9">
        <f>VLOOKUP($A252,'Temprorary Data'!$A:$G,6,FALSE)</f>
        <v>51</v>
      </c>
      <c r="P252" s="9">
        <f>VLOOKUP($A252,'Temprorary Data'!$A:$G,7,FALSE)</f>
        <v>51</v>
      </c>
      <c r="Q252" t="b">
        <f t="shared" si="27"/>
        <v>1</v>
      </c>
      <c r="R252" t="str">
        <f t="shared" si="28"/>
        <v>January</v>
      </c>
      <c r="S252" t="str">
        <f t="shared" si="29"/>
        <v>Tuesday</v>
      </c>
      <c r="T252" t="str">
        <f t="shared" si="30"/>
        <v>Weekday</v>
      </c>
      <c r="U252" t="str">
        <f t="shared" si="31"/>
        <v>Spring</v>
      </c>
      <c r="V252" t="str">
        <f t="shared" si="32"/>
        <v>Light Rain</v>
      </c>
      <c r="W252" t="str">
        <f t="shared" si="33"/>
        <v>Evening Peak</v>
      </c>
      <c r="X252" t="str">
        <f t="shared" si="34"/>
        <v>Low</v>
      </c>
      <c r="Y252" t="str">
        <f t="shared" si="35"/>
        <v>High</v>
      </c>
    </row>
    <row r="253" spans="1:25" ht="15.75" thickBot="1">
      <c r="A253" s="1">
        <v>252</v>
      </c>
      <c r="B253" s="2">
        <v>40554</v>
      </c>
      <c r="C253" s="1">
        <v>1</v>
      </c>
      <c r="D253" s="1">
        <v>0</v>
      </c>
      <c r="E253" s="1">
        <v>1</v>
      </c>
      <c r="F253" s="1">
        <v>20</v>
      </c>
      <c r="G253" s="3" t="b">
        <v>0</v>
      </c>
      <c r="H253" s="1">
        <v>2</v>
      </c>
      <c r="I253" s="1">
        <v>3</v>
      </c>
      <c r="J253" s="7">
        <v>0.16</v>
      </c>
      <c r="K253" s="8">
        <f>VLOOKUP($A253,'Temprorary Data'!$A:$G,2,FALSE)</f>
        <v>0.1515</v>
      </c>
      <c r="L253" s="8">
        <f>VLOOKUP($A253,'Temprorary Data'!$A:$G,3,FALSE)</f>
        <v>0.93</v>
      </c>
      <c r="M253" s="8">
        <f>VLOOKUP($A253,'Temprorary Data'!$A:$G,4,FALSE)</f>
        <v>0.19400000000000001</v>
      </c>
      <c r="N253" s="9">
        <f>VLOOKUP($A253,'Temprorary Data'!$A:$G,5,FALSE)</f>
        <v>0</v>
      </c>
      <c r="O253" s="9">
        <f>VLOOKUP($A253,'Temprorary Data'!$A:$G,6,FALSE)</f>
        <v>32</v>
      </c>
      <c r="P253" s="9">
        <f>VLOOKUP($A253,'Temprorary Data'!$A:$G,7,FALSE)</f>
        <v>32</v>
      </c>
      <c r="Q253" t="b">
        <f t="shared" si="27"/>
        <v>1</v>
      </c>
      <c r="R253" t="str">
        <f t="shared" si="28"/>
        <v>January</v>
      </c>
      <c r="S253" t="str">
        <f t="shared" si="29"/>
        <v>Tuesday</v>
      </c>
      <c r="T253" t="str">
        <f t="shared" si="30"/>
        <v>Weekday</v>
      </c>
      <c r="U253" t="str">
        <f t="shared" si="31"/>
        <v>Spring</v>
      </c>
      <c r="V253" t="str">
        <f t="shared" si="32"/>
        <v>Light Rain</v>
      </c>
      <c r="W253" t="str">
        <f t="shared" si="33"/>
        <v>Evening Peak</v>
      </c>
      <c r="X253" t="str">
        <f t="shared" si="34"/>
        <v>Low</v>
      </c>
      <c r="Y253" t="str">
        <f t="shared" si="35"/>
        <v>High</v>
      </c>
    </row>
    <row r="254" spans="1:25" ht="15.75" thickBot="1">
      <c r="A254" s="1">
        <v>253</v>
      </c>
      <c r="B254" s="2">
        <v>40554</v>
      </c>
      <c r="C254" s="1">
        <v>1</v>
      </c>
      <c r="D254" s="1">
        <v>0</v>
      </c>
      <c r="E254" s="1">
        <v>1</v>
      </c>
      <c r="F254" s="1">
        <v>21</v>
      </c>
      <c r="G254" s="3" t="b">
        <v>0</v>
      </c>
      <c r="H254" s="1">
        <v>2</v>
      </c>
      <c r="I254" s="1">
        <v>3</v>
      </c>
      <c r="J254" s="7">
        <v>0.16</v>
      </c>
      <c r="K254" s="8">
        <f>VLOOKUP($A254,'Temprorary Data'!$A:$G,2,FALSE)</f>
        <v>0.19700000000000001</v>
      </c>
      <c r="L254" s="8">
        <f>VLOOKUP($A254,'Temprorary Data'!$A:$G,3,FALSE)</f>
        <v>0.86</v>
      </c>
      <c r="M254" s="8">
        <f>VLOOKUP($A254,'Temprorary Data'!$A:$G,4,FALSE)</f>
        <v>8.9599999999999999E-2</v>
      </c>
      <c r="N254" s="9">
        <f>VLOOKUP($A254,'Temprorary Data'!$A:$G,5,FALSE)</f>
        <v>0</v>
      </c>
      <c r="O254" s="9">
        <f>VLOOKUP($A254,'Temprorary Data'!$A:$G,6,FALSE)</f>
        <v>20</v>
      </c>
      <c r="P254" s="9">
        <f>VLOOKUP($A254,'Temprorary Data'!$A:$G,7,FALSE)</f>
        <v>20</v>
      </c>
      <c r="Q254" t="b">
        <f t="shared" si="27"/>
        <v>1</v>
      </c>
      <c r="R254" t="str">
        <f t="shared" si="28"/>
        <v>January</v>
      </c>
      <c r="S254" t="str">
        <f t="shared" si="29"/>
        <v>Tuesday</v>
      </c>
      <c r="T254" t="str">
        <f t="shared" si="30"/>
        <v>Weekday</v>
      </c>
      <c r="U254" t="str">
        <f t="shared" si="31"/>
        <v>Spring</v>
      </c>
      <c r="V254" t="str">
        <f t="shared" si="32"/>
        <v>Light Rain</v>
      </c>
      <c r="W254" t="str">
        <f t="shared" si="33"/>
        <v>Off Peak</v>
      </c>
      <c r="X254" t="str">
        <f t="shared" si="34"/>
        <v>Low</v>
      </c>
      <c r="Y254" t="str">
        <f t="shared" si="35"/>
        <v>High</v>
      </c>
    </row>
    <row r="255" spans="1:25" ht="15.75" thickBot="1">
      <c r="A255" s="1">
        <v>254</v>
      </c>
      <c r="B255" s="2">
        <v>40554</v>
      </c>
      <c r="C255" s="1">
        <v>1</v>
      </c>
      <c r="D255" s="1">
        <v>0</v>
      </c>
      <c r="E255" s="1">
        <v>1</v>
      </c>
      <c r="F255" s="1">
        <v>22</v>
      </c>
      <c r="G255" s="3" t="b">
        <v>0</v>
      </c>
      <c r="H255" s="1">
        <v>2</v>
      </c>
      <c r="I255" s="1">
        <v>3</v>
      </c>
      <c r="J255" s="7">
        <v>0.16</v>
      </c>
      <c r="K255" s="8">
        <f>VLOOKUP($A255,'Temprorary Data'!$A:$G,2,FALSE)</f>
        <v>0.18179999999999999</v>
      </c>
      <c r="L255" s="8">
        <f>VLOOKUP($A255,'Temprorary Data'!$A:$G,3,FALSE)</f>
        <v>0.93</v>
      </c>
      <c r="M255" s="8">
        <f>VLOOKUP($A255,'Temprorary Data'!$A:$G,4,FALSE)</f>
        <v>0.1045</v>
      </c>
      <c r="N255" s="9">
        <f>VLOOKUP($A255,'Temprorary Data'!$A:$G,5,FALSE)</f>
        <v>1</v>
      </c>
      <c r="O255" s="9">
        <f>VLOOKUP($A255,'Temprorary Data'!$A:$G,6,FALSE)</f>
        <v>28</v>
      </c>
      <c r="P255" s="9">
        <f>VLOOKUP($A255,'Temprorary Data'!$A:$G,7,FALSE)</f>
        <v>29</v>
      </c>
      <c r="Q255" t="b">
        <f t="shared" si="27"/>
        <v>1</v>
      </c>
      <c r="R255" t="str">
        <f t="shared" si="28"/>
        <v>January</v>
      </c>
      <c r="S255" t="str">
        <f t="shared" si="29"/>
        <v>Tuesday</v>
      </c>
      <c r="T255" t="str">
        <f t="shared" si="30"/>
        <v>Weekday</v>
      </c>
      <c r="U255" t="str">
        <f t="shared" si="31"/>
        <v>Spring</v>
      </c>
      <c r="V255" t="str">
        <f t="shared" si="32"/>
        <v>Light Rain</v>
      </c>
      <c r="W255" t="str">
        <f t="shared" si="33"/>
        <v>Off Peak</v>
      </c>
      <c r="X255" t="str">
        <f t="shared" si="34"/>
        <v>Low</v>
      </c>
      <c r="Y255" t="str">
        <f t="shared" si="35"/>
        <v>High</v>
      </c>
    </row>
    <row r="256" spans="1:25" ht="15.75" thickBot="1">
      <c r="A256" s="1">
        <v>255</v>
      </c>
      <c r="B256" s="2">
        <v>40554</v>
      </c>
      <c r="C256" s="1">
        <v>1</v>
      </c>
      <c r="D256" s="1">
        <v>0</v>
      </c>
      <c r="E256" s="1">
        <v>1</v>
      </c>
      <c r="F256" s="1">
        <v>23</v>
      </c>
      <c r="G256" s="3" t="b">
        <v>0</v>
      </c>
      <c r="H256" s="1">
        <v>2</v>
      </c>
      <c r="I256" s="1">
        <v>3</v>
      </c>
      <c r="J256" s="7">
        <v>0.16</v>
      </c>
      <c r="K256" s="8">
        <f>VLOOKUP($A256,'Temprorary Data'!$A:$G,2,FALSE)</f>
        <v>0.19700000000000001</v>
      </c>
      <c r="L256" s="8">
        <f>VLOOKUP($A256,'Temprorary Data'!$A:$G,3,FALSE)</f>
        <v>0.93</v>
      </c>
      <c r="M256" s="8">
        <f>VLOOKUP($A256,'Temprorary Data'!$A:$G,4,FALSE)</f>
        <v>8.9599999999999999E-2</v>
      </c>
      <c r="N256" s="9">
        <f>VLOOKUP($A256,'Temprorary Data'!$A:$G,5,FALSE)</f>
        <v>1</v>
      </c>
      <c r="O256" s="9">
        <f>VLOOKUP($A256,'Temprorary Data'!$A:$G,6,FALSE)</f>
        <v>18</v>
      </c>
      <c r="P256" s="9">
        <f>VLOOKUP($A256,'Temprorary Data'!$A:$G,7,FALSE)</f>
        <v>19</v>
      </c>
      <c r="Q256" t="b">
        <f t="shared" si="27"/>
        <v>1</v>
      </c>
      <c r="R256" t="str">
        <f t="shared" si="28"/>
        <v>January</v>
      </c>
      <c r="S256" t="str">
        <f t="shared" si="29"/>
        <v>Tuesday</v>
      </c>
      <c r="T256" t="str">
        <f t="shared" si="30"/>
        <v>Weekday</v>
      </c>
      <c r="U256" t="str">
        <f t="shared" si="31"/>
        <v>Spring</v>
      </c>
      <c r="V256" t="str">
        <f t="shared" si="32"/>
        <v>Light Rain</v>
      </c>
      <c r="W256" t="str">
        <f t="shared" si="33"/>
        <v>Off Peak</v>
      </c>
      <c r="X256" t="str">
        <f t="shared" si="34"/>
        <v>Low</v>
      </c>
      <c r="Y256" t="str">
        <f t="shared" si="35"/>
        <v>High</v>
      </c>
    </row>
    <row r="257" spans="1:25" ht="15.75" thickBot="1">
      <c r="A257" s="1">
        <v>256</v>
      </c>
      <c r="B257" s="2">
        <v>40555</v>
      </c>
      <c r="C257" s="1">
        <v>1</v>
      </c>
      <c r="D257" s="1">
        <v>0</v>
      </c>
      <c r="E257" s="1">
        <v>1</v>
      </c>
      <c r="F257" s="1">
        <v>0</v>
      </c>
      <c r="G257" s="3" t="b">
        <v>0</v>
      </c>
      <c r="H257" s="1">
        <v>3</v>
      </c>
      <c r="I257" s="1">
        <v>2</v>
      </c>
      <c r="J257" s="7">
        <v>0.16</v>
      </c>
      <c r="K257" s="8">
        <f>VLOOKUP($A257,'Temprorary Data'!$A:$G,2,FALSE)</f>
        <v>0.19700000000000001</v>
      </c>
      <c r="L257" s="8">
        <f>VLOOKUP($A257,'Temprorary Data'!$A:$G,3,FALSE)</f>
        <v>0.86</v>
      </c>
      <c r="M257" s="8">
        <f>VLOOKUP($A257,'Temprorary Data'!$A:$G,4,FALSE)</f>
        <v>8.9599999999999999E-2</v>
      </c>
      <c r="N257" s="9">
        <f>VLOOKUP($A257,'Temprorary Data'!$A:$G,5,FALSE)</f>
        <v>0</v>
      </c>
      <c r="O257" s="9">
        <f>VLOOKUP($A257,'Temprorary Data'!$A:$G,6,FALSE)</f>
        <v>7</v>
      </c>
      <c r="P257" s="9">
        <f>VLOOKUP($A257,'Temprorary Data'!$A:$G,7,FALSE)</f>
        <v>7</v>
      </c>
      <c r="Q257" t="b">
        <f t="shared" si="27"/>
        <v>1</v>
      </c>
      <c r="R257" t="str">
        <f t="shared" si="28"/>
        <v>January</v>
      </c>
      <c r="S257" t="str">
        <f t="shared" si="29"/>
        <v>Wednesday</v>
      </c>
      <c r="T257" t="str">
        <f t="shared" si="30"/>
        <v>Weekday</v>
      </c>
      <c r="U257" t="str">
        <f t="shared" si="31"/>
        <v>Spring</v>
      </c>
      <c r="V257" t="str">
        <f t="shared" si="32"/>
        <v>Mist</v>
      </c>
      <c r="W257" t="str">
        <f t="shared" si="33"/>
        <v>Off Peak</v>
      </c>
      <c r="X257" t="str">
        <f t="shared" si="34"/>
        <v>Low</v>
      </c>
      <c r="Y257" t="str">
        <f t="shared" si="35"/>
        <v>High</v>
      </c>
    </row>
    <row r="258" spans="1:25" ht="15.75" thickBot="1">
      <c r="A258" s="1">
        <v>257</v>
      </c>
      <c r="B258" s="2">
        <v>40555</v>
      </c>
      <c r="C258" s="1">
        <v>1</v>
      </c>
      <c r="D258" s="1">
        <v>0</v>
      </c>
      <c r="E258" s="1">
        <v>1</v>
      </c>
      <c r="F258" s="1">
        <v>1</v>
      </c>
      <c r="G258" s="3" t="b">
        <v>0</v>
      </c>
      <c r="H258" s="1">
        <v>3</v>
      </c>
      <c r="I258" s="1">
        <v>2</v>
      </c>
      <c r="J258" s="7">
        <v>0.16</v>
      </c>
      <c r="K258" s="8">
        <f>VLOOKUP($A258,'Temprorary Data'!$A:$G,2,FALSE)</f>
        <v>0.18179999999999999</v>
      </c>
      <c r="L258" s="8">
        <f>VLOOKUP($A258,'Temprorary Data'!$A:$G,3,FALSE)</f>
        <v>0.86</v>
      </c>
      <c r="M258" s="8">
        <f>VLOOKUP($A258,'Temprorary Data'!$A:$G,4,FALSE)</f>
        <v>0.1045</v>
      </c>
      <c r="N258" s="9">
        <f>VLOOKUP($A258,'Temprorary Data'!$A:$G,5,FALSE)</f>
        <v>0</v>
      </c>
      <c r="O258" s="9">
        <f>VLOOKUP($A258,'Temprorary Data'!$A:$G,6,FALSE)</f>
        <v>6</v>
      </c>
      <c r="P258" s="9">
        <f>VLOOKUP($A258,'Temprorary Data'!$A:$G,7,FALSE)</f>
        <v>6</v>
      </c>
      <c r="Q258" t="b">
        <f t="shared" si="27"/>
        <v>1</v>
      </c>
      <c r="R258" t="str">
        <f t="shared" si="28"/>
        <v>January</v>
      </c>
      <c r="S258" t="str">
        <f t="shared" si="29"/>
        <v>Wednesday</v>
      </c>
      <c r="T258" t="str">
        <f t="shared" si="30"/>
        <v>Weekday</v>
      </c>
      <c r="U258" t="str">
        <f t="shared" si="31"/>
        <v>Spring</v>
      </c>
      <c r="V258" t="str">
        <f t="shared" si="32"/>
        <v>Mist</v>
      </c>
      <c r="W258" t="str">
        <f t="shared" si="33"/>
        <v>Off Peak</v>
      </c>
      <c r="X258" t="str">
        <f t="shared" si="34"/>
        <v>Low</v>
      </c>
      <c r="Y258" t="str">
        <f t="shared" si="35"/>
        <v>High</v>
      </c>
    </row>
    <row r="259" spans="1:25" ht="15.75" thickBot="1">
      <c r="A259" s="1">
        <v>258</v>
      </c>
      <c r="B259" s="2">
        <v>40555</v>
      </c>
      <c r="C259" s="1">
        <v>1</v>
      </c>
      <c r="D259" s="1">
        <v>0</v>
      </c>
      <c r="E259" s="1">
        <v>1</v>
      </c>
      <c r="F259" s="1">
        <v>2</v>
      </c>
      <c r="G259" s="3" t="b">
        <v>0</v>
      </c>
      <c r="H259" s="1">
        <v>3</v>
      </c>
      <c r="I259" s="1">
        <v>1</v>
      </c>
      <c r="J259" s="7">
        <v>0.14000000000000001</v>
      </c>
      <c r="K259" s="8">
        <f>VLOOKUP($A259,'Temprorary Data'!$A:$G,2,FALSE)</f>
        <v>0.1515</v>
      </c>
      <c r="L259" s="8">
        <f>VLOOKUP($A259,'Temprorary Data'!$A:$G,3,FALSE)</f>
        <v>0.86</v>
      </c>
      <c r="M259" s="8">
        <f>VLOOKUP($A259,'Temprorary Data'!$A:$G,4,FALSE)</f>
        <v>0.1343</v>
      </c>
      <c r="N259" s="9">
        <f>VLOOKUP($A259,'Temprorary Data'!$A:$G,5,FALSE)</f>
        <v>0</v>
      </c>
      <c r="O259" s="9">
        <f>VLOOKUP($A259,'Temprorary Data'!$A:$G,6,FALSE)</f>
        <v>1</v>
      </c>
      <c r="P259" s="9">
        <f>VLOOKUP($A259,'Temprorary Data'!$A:$G,7,FALSE)</f>
        <v>1</v>
      </c>
      <c r="Q259" t="b">
        <f t="shared" ref="Q259:Q322" si="36">N259+O259=P259</f>
        <v>1</v>
      </c>
      <c r="R259" t="str">
        <f t="shared" ref="R259:R322" si="37">TEXT(B259,"mmmm")</f>
        <v>January</v>
      </c>
      <c r="S259" t="str">
        <f t="shared" ref="S259:S322" si="38">TEXT(B259,"dddd")</f>
        <v>Wednesday</v>
      </c>
      <c r="T259" t="str">
        <f t="shared" ref="T259:T322" si="39">IF(OR(H259=0,H259=6),"Weekend","Weekday")</f>
        <v>Weekday</v>
      </c>
      <c r="U259" t="str">
        <f t="shared" ref="U259:U322" si="40">IF(C259=1,"Spring",IF(C259=2,"Summer",IF(C259=3,"Fall","Winter")))</f>
        <v>Spring</v>
      </c>
      <c r="V259" t="str">
        <f t="shared" ref="V259:V322" si="41">IF(I259=1,"Clear",IF(I259=2,"Mist",IF(I259=3,"Light Rain","Heavy Rain")))</f>
        <v>Clear</v>
      </c>
      <c r="W259" t="str">
        <f t="shared" ref="W259:W322" si="42">IF(AND(F259&gt;=7,F259&lt;=9),"Morning Peak",IF(AND(F259&gt;=17,F259&lt;=20),"Evening Peak","Off Peak"))</f>
        <v>Off Peak</v>
      </c>
      <c r="X259" t="str">
        <f t="shared" ref="X259:X322" si="43">IF(J259&lt;0.3,"Low",IF(J259&lt;0.6,"Medium","High"))</f>
        <v>Low</v>
      </c>
      <c r="Y259" t="str">
        <f t="shared" ref="Y259:Y322" si="44">IF(L259&lt;0.4,"Low",IF(L259&lt;0.7,"Medium","High"))</f>
        <v>High</v>
      </c>
    </row>
    <row r="260" spans="1:25" ht="15.75" thickBot="1">
      <c r="A260" s="1">
        <v>259</v>
      </c>
      <c r="B260" s="2">
        <v>40555</v>
      </c>
      <c r="C260" s="1">
        <v>1</v>
      </c>
      <c r="D260" s="1">
        <v>0</v>
      </c>
      <c r="E260" s="1">
        <v>1</v>
      </c>
      <c r="F260" s="1">
        <v>5</v>
      </c>
      <c r="G260" s="3" t="b">
        <v>0</v>
      </c>
      <c r="H260" s="1">
        <v>3</v>
      </c>
      <c r="I260" s="1">
        <v>1</v>
      </c>
      <c r="J260" s="7">
        <v>0.14000000000000001</v>
      </c>
      <c r="K260" s="8">
        <f>VLOOKUP($A260,'Temprorary Data'!$A:$G,2,FALSE)</f>
        <v>0.1515</v>
      </c>
      <c r="L260" s="8">
        <f>VLOOKUP($A260,'Temprorary Data'!$A:$G,3,FALSE)</f>
        <v>0.86</v>
      </c>
      <c r="M260" s="8">
        <f>VLOOKUP($A260,'Temprorary Data'!$A:$G,4,FALSE)</f>
        <v>0.16420000000000001</v>
      </c>
      <c r="N260" s="9">
        <f>VLOOKUP($A260,'Temprorary Data'!$A:$G,5,FALSE)</f>
        <v>0</v>
      </c>
      <c r="O260" s="9">
        <f>VLOOKUP($A260,'Temprorary Data'!$A:$G,6,FALSE)</f>
        <v>5</v>
      </c>
      <c r="P260" s="9">
        <f>VLOOKUP($A260,'Temprorary Data'!$A:$G,7,FALSE)</f>
        <v>5</v>
      </c>
      <c r="Q260" t="b">
        <f t="shared" si="36"/>
        <v>1</v>
      </c>
      <c r="R260" t="str">
        <f t="shared" si="37"/>
        <v>January</v>
      </c>
      <c r="S260" t="str">
        <f t="shared" si="38"/>
        <v>Wednesday</v>
      </c>
      <c r="T260" t="str">
        <f t="shared" si="39"/>
        <v>Weekday</v>
      </c>
      <c r="U260" t="str">
        <f t="shared" si="40"/>
        <v>Spring</v>
      </c>
      <c r="V260" t="str">
        <f t="shared" si="41"/>
        <v>Clear</v>
      </c>
      <c r="W260" t="str">
        <f t="shared" si="42"/>
        <v>Off Peak</v>
      </c>
      <c r="X260" t="str">
        <f t="shared" si="43"/>
        <v>Low</v>
      </c>
      <c r="Y260" t="str">
        <f t="shared" si="44"/>
        <v>High</v>
      </c>
    </row>
    <row r="261" spans="1:25" ht="15.75" thickBot="1">
      <c r="A261" s="1">
        <v>260</v>
      </c>
      <c r="B261" s="2">
        <v>40555</v>
      </c>
      <c r="C261" s="1">
        <v>1</v>
      </c>
      <c r="D261" s="1">
        <v>0</v>
      </c>
      <c r="E261" s="1">
        <v>1</v>
      </c>
      <c r="F261" s="1">
        <v>6</v>
      </c>
      <c r="G261" s="3" t="b">
        <v>0</v>
      </c>
      <c r="H261" s="1">
        <v>3</v>
      </c>
      <c r="I261" s="1">
        <v>1</v>
      </c>
      <c r="J261" s="7">
        <v>0.12</v>
      </c>
      <c r="K261" s="8">
        <f>VLOOKUP($A261,'Temprorary Data'!$A:$G,2,FALSE)</f>
        <v>0.1515</v>
      </c>
      <c r="L261" s="8">
        <f>VLOOKUP($A261,'Temprorary Data'!$A:$G,3,FALSE)</f>
        <v>0.93</v>
      </c>
      <c r="M261" s="8">
        <f>VLOOKUP($A261,'Temprorary Data'!$A:$G,4,FALSE)</f>
        <v>0.1343</v>
      </c>
      <c r="N261" s="9">
        <f>VLOOKUP($A261,'Temprorary Data'!$A:$G,5,FALSE)</f>
        <v>0</v>
      </c>
      <c r="O261" s="9">
        <f>VLOOKUP($A261,'Temprorary Data'!$A:$G,6,FALSE)</f>
        <v>16</v>
      </c>
      <c r="P261" s="9">
        <f>VLOOKUP($A261,'Temprorary Data'!$A:$G,7,FALSE)</f>
        <v>16</v>
      </c>
      <c r="Q261" t="b">
        <f t="shared" si="36"/>
        <v>1</v>
      </c>
      <c r="R261" t="str">
        <f t="shared" si="37"/>
        <v>January</v>
      </c>
      <c r="S261" t="str">
        <f t="shared" si="38"/>
        <v>Wednesday</v>
      </c>
      <c r="T261" t="str">
        <f t="shared" si="39"/>
        <v>Weekday</v>
      </c>
      <c r="U261" t="str">
        <f t="shared" si="40"/>
        <v>Spring</v>
      </c>
      <c r="V261" t="str">
        <f t="shared" si="41"/>
        <v>Clear</v>
      </c>
      <c r="W261" t="str">
        <f t="shared" si="42"/>
        <v>Off Peak</v>
      </c>
      <c r="X261" t="str">
        <f t="shared" si="43"/>
        <v>Low</v>
      </c>
      <c r="Y261" t="str">
        <f t="shared" si="44"/>
        <v>High</v>
      </c>
    </row>
    <row r="262" spans="1:25" ht="15.75" thickBot="1">
      <c r="A262" s="1">
        <v>261</v>
      </c>
      <c r="B262" s="2">
        <v>40555</v>
      </c>
      <c r="C262" s="1">
        <v>1</v>
      </c>
      <c r="D262" s="1">
        <v>0</v>
      </c>
      <c r="E262" s="1">
        <v>1</v>
      </c>
      <c r="F262" s="1">
        <v>7</v>
      </c>
      <c r="G262" s="3" t="b">
        <v>0</v>
      </c>
      <c r="H262" s="1">
        <v>3</v>
      </c>
      <c r="I262" s="1">
        <v>1</v>
      </c>
      <c r="J262" s="7">
        <v>0.14000000000000001</v>
      </c>
      <c r="K262" s="8">
        <f>VLOOKUP($A262,'Temprorary Data'!$A:$G,2,FALSE)</f>
        <v>0.1515</v>
      </c>
      <c r="L262" s="8">
        <f>VLOOKUP($A262,'Temprorary Data'!$A:$G,3,FALSE)</f>
        <v>0.69</v>
      </c>
      <c r="M262" s="8">
        <f>VLOOKUP($A262,'Temprorary Data'!$A:$G,4,FALSE)</f>
        <v>0.1343</v>
      </c>
      <c r="N262" s="9">
        <f>VLOOKUP($A262,'Temprorary Data'!$A:$G,5,FALSE)</f>
        <v>0</v>
      </c>
      <c r="O262" s="9">
        <f>VLOOKUP($A262,'Temprorary Data'!$A:$G,6,FALSE)</f>
        <v>54</v>
      </c>
      <c r="P262" s="9">
        <f>VLOOKUP($A262,'Temprorary Data'!$A:$G,7,FALSE)</f>
        <v>54</v>
      </c>
      <c r="Q262" t="b">
        <f t="shared" si="36"/>
        <v>1</v>
      </c>
      <c r="R262" t="str">
        <f t="shared" si="37"/>
        <v>January</v>
      </c>
      <c r="S262" t="str">
        <f t="shared" si="38"/>
        <v>Wednesday</v>
      </c>
      <c r="T262" t="str">
        <f t="shared" si="39"/>
        <v>Weekday</v>
      </c>
      <c r="U262" t="str">
        <f t="shared" si="40"/>
        <v>Spring</v>
      </c>
      <c r="V262" t="str">
        <f t="shared" si="41"/>
        <v>Clear</v>
      </c>
      <c r="W262" t="str">
        <f t="shared" si="42"/>
        <v>Morning Peak</v>
      </c>
      <c r="X262" t="str">
        <f t="shared" si="43"/>
        <v>Low</v>
      </c>
      <c r="Y262" t="str">
        <f t="shared" si="44"/>
        <v>Medium</v>
      </c>
    </row>
    <row r="263" spans="1:25" ht="15.75" thickBot="1">
      <c r="A263" s="1">
        <v>262</v>
      </c>
      <c r="B263" s="2">
        <v>40555</v>
      </c>
      <c r="C263" s="1">
        <v>1</v>
      </c>
      <c r="D263" s="1">
        <v>0</v>
      </c>
      <c r="E263" s="1">
        <v>1</v>
      </c>
      <c r="F263" s="1">
        <v>8</v>
      </c>
      <c r="G263" s="3" t="b">
        <v>0</v>
      </c>
      <c r="H263" s="1">
        <v>3</v>
      </c>
      <c r="I263" s="1">
        <v>1</v>
      </c>
      <c r="J263" s="7">
        <v>0.16</v>
      </c>
      <c r="K263" s="8">
        <f>VLOOKUP($A263,'Temprorary Data'!$A:$G,2,FALSE)</f>
        <v>0.16669999999999999</v>
      </c>
      <c r="L263" s="8">
        <f>VLOOKUP($A263,'Temprorary Data'!$A:$G,3,FALSE)</f>
        <v>0.59</v>
      </c>
      <c r="M263" s="8">
        <f>VLOOKUP($A263,'Temprorary Data'!$A:$G,4,FALSE)</f>
        <v>0.16420000000000001</v>
      </c>
      <c r="N263" s="9">
        <f>VLOOKUP($A263,'Temprorary Data'!$A:$G,5,FALSE)</f>
        <v>3</v>
      </c>
      <c r="O263" s="9">
        <f>VLOOKUP($A263,'Temprorary Data'!$A:$G,6,FALSE)</f>
        <v>125</v>
      </c>
      <c r="P263" s="9">
        <f>VLOOKUP($A263,'Temprorary Data'!$A:$G,7,FALSE)</f>
        <v>128</v>
      </c>
      <c r="Q263" t="b">
        <f t="shared" si="36"/>
        <v>1</v>
      </c>
      <c r="R263" t="str">
        <f t="shared" si="37"/>
        <v>January</v>
      </c>
      <c r="S263" t="str">
        <f t="shared" si="38"/>
        <v>Wednesday</v>
      </c>
      <c r="T263" t="str">
        <f t="shared" si="39"/>
        <v>Weekday</v>
      </c>
      <c r="U263" t="str">
        <f t="shared" si="40"/>
        <v>Spring</v>
      </c>
      <c r="V263" t="str">
        <f t="shared" si="41"/>
        <v>Clear</v>
      </c>
      <c r="W263" t="str">
        <f t="shared" si="42"/>
        <v>Morning Peak</v>
      </c>
      <c r="X263" t="str">
        <f t="shared" si="43"/>
        <v>Low</v>
      </c>
      <c r="Y263" t="str">
        <f t="shared" si="44"/>
        <v>Medium</v>
      </c>
    </row>
    <row r="264" spans="1:25" ht="15.75" thickBot="1">
      <c r="A264" s="1">
        <v>263</v>
      </c>
      <c r="B264" s="2">
        <v>40555</v>
      </c>
      <c r="C264" s="1">
        <v>1</v>
      </c>
      <c r="D264" s="1">
        <v>0</v>
      </c>
      <c r="E264" s="1">
        <v>1</v>
      </c>
      <c r="F264" s="1">
        <v>9</v>
      </c>
      <c r="G264" s="3" t="b">
        <v>0</v>
      </c>
      <c r="H264" s="1">
        <v>3</v>
      </c>
      <c r="I264" s="1">
        <v>1</v>
      </c>
      <c r="J264" s="7">
        <v>0.16</v>
      </c>
      <c r="K264" s="8">
        <f>VLOOKUP($A264,'Temprorary Data'!$A:$G,2,FALSE)</f>
        <v>0.13639999999999999</v>
      </c>
      <c r="L264" s="8">
        <f>VLOOKUP($A264,'Temprorary Data'!$A:$G,3,FALSE)</f>
        <v>0.59</v>
      </c>
      <c r="M264" s="8">
        <f>VLOOKUP($A264,'Temprorary Data'!$A:$G,4,FALSE)</f>
        <v>0.32840000000000003</v>
      </c>
      <c r="N264" s="9">
        <f>VLOOKUP($A264,'Temprorary Data'!$A:$G,5,FALSE)</f>
        <v>3</v>
      </c>
      <c r="O264" s="9">
        <f>VLOOKUP($A264,'Temprorary Data'!$A:$G,6,FALSE)</f>
        <v>78</v>
      </c>
      <c r="P264" s="9">
        <f>VLOOKUP($A264,'Temprorary Data'!$A:$G,7,FALSE)</f>
        <v>81</v>
      </c>
      <c r="Q264" t="b">
        <f t="shared" si="36"/>
        <v>1</v>
      </c>
      <c r="R264" t="str">
        <f t="shared" si="37"/>
        <v>January</v>
      </c>
      <c r="S264" t="str">
        <f t="shared" si="38"/>
        <v>Wednesday</v>
      </c>
      <c r="T264" t="str">
        <f t="shared" si="39"/>
        <v>Weekday</v>
      </c>
      <c r="U264" t="str">
        <f t="shared" si="40"/>
        <v>Spring</v>
      </c>
      <c r="V264" t="str">
        <f t="shared" si="41"/>
        <v>Clear</v>
      </c>
      <c r="W264" t="str">
        <f t="shared" si="42"/>
        <v>Morning Peak</v>
      </c>
      <c r="X264" t="str">
        <f t="shared" si="43"/>
        <v>Low</v>
      </c>
      <c r="Y264" t="str">
        <f t="shared" si="44"/>
        <v>Medium</v>
      </c>
    </row>
    <row r="265" spans="1:25" ht="15.75" thickBot="1">
      <c r="A265" s="1">
        <v>264</v>
      </c>
      <c r="B265" s="2">
        <v>40555</v>
      </c>
      <c r="C265" s="1">
        <v>1</v>
      </c>
      <c r="D265" s="1">
        <v>0</v>
      </c>
      <c r="E265" s="1">
        <v>1</v>
      </c>
      <c r="F265" s="1">
        <v>10</v>
      </c>
      <c r="G265" s="3" t="b">
        <v>0</v>
      </c>
      <c r="H265" s="1">
        <v>3</v>
      </c>
      <c r="I265" s="1">
        <v>1</v>
      </c>
      <c r="J265" s="7">
        <v>0.18</v>
      </c>
      <c r="K265" s="8">
        <f>VLOOKUP($A265,'Temprorary Data'!$A:$G,2,FALSE)</f>
        <v>0.18179999999999999</v>
      </c>
      <c r="L265" s="8">
        <f>VLOOKUP($A265,'Temprorary Data'!$A:$G,3,FALSE)</f>
        <v>0.55000000000000004</v>
      </c>
      <c r="M265" s="8">
        <f>VLOOKUP($A265,'Temprorary Data'!$A:$G,4,FALSE)</f>
        <v>0.22389999999999999</v>
      </c>
      <c r="N265" s="9">
        <f>VLOOKUP($A265,'Temprorary Data'!$A:$G,5,FALSE)</f>
        <v>0</v>
      </c>
      <c r="O265" s="9">
        <f>VLOOKUP($A265,'Temprorary Data'!$A:$G,6,FALSE)</f>
        <v>39</v>
      </c>
      <c r="P265" s="9">
        <f>VLOOKUP($A265,'Temprorary Data'!$A:$G,7,FALSE)</f>
        <v>39</v>
      </c>
      <c r="Q265" t="b">
        <f t="shared" si="36"/>
        <v>1</v>
      </c>
      <c r="R265" t="str">
        <f t="shared" si="37"/>
        <v>January</v>
      </c>
      <c r="S265" t="str">
        <f t="shared" si="38"/>
        <v>Wednesday</v>
      </c>
      <c r="T265" t="str">
        <f t="shared" si="39"/>
        <v>Weekday</v>
      </c>
      <c r="U265" t="str">
        <f t="shared" si="40"/>
        <v>Spring</v>
      </c>
      <c r="V265" t="str">
        <f t="shared" si="41"/>
        <v>Clear</v>
      </c>
      <c r="W265" t="str">
        <f t="shared" si="42"/>
        <v>Off Peak</v>
      </c>
      <c r="X265" t="str">
        <f t="shared" si="43"/>
        <v>Low</v>
      </c>
      <c r="Y265" t="str">
        <f t="shared" si="44"/>
        <v>Medium</v>
      </c>
    </row>
    <row r="266" spans="1:25" ht="15.75" thickBot="1">
      <c r="A266" s="1">
        <v>265</v>
      </c>
      <c r="B266" s="2">
        <v>40555</v>
      </c>
      <c r="C266" s="1">
        <v>1</v>
      </c>
      <c r="D266" s="1">
        <v>0</v>
      </c>
      <c r="E266" s="1">
        <v>1</v>
      </c>
      <c r="F266" s="1">
        <v>11</v>
      </c>
      <c r="G266" s="3" t="b">
        <v>0</v>
      </c>
      <c r="H266" s="1">
        <v>3</v>
      </c>
      <c r="I266" s="1">
        <v>1</v>
      </c>
      <c r="J266" s="7">
        <v>0.2</v>
      </c>
      <c r="K266" s="8">
        <f>VLOOKUP($A266,'Temprorary Data'!$A:$G,2,FALSE)</f>
        <v>0.18179999999999999</v>
      </c>
      <c r="L266" s="8">
        <f>VLOOKUP($A266,'Temprorary Data'!$A:$G,3,FALSE)</f>
        <v>0.51</v>
      </c>
      <c r="M266" s="8">
        <f>VLOOKUP($A266,'Temprorary Data'!$A:$G,4,FALSE)</f>
        <v>0.3881</v>
      </c>
      <c r="N266" s="9">
        <f>VLOOKUP($A266,'Temprorary Data'!$A:$G,5,FALSE)</f>
        <v>3</v>
      </c>
      <c r="O266" s="9">
        <f>VLOOKUP($A266,'Temprorary Data'!$A:$G,6,FALSE)</f>
        <v>32</v>
      </c>
      <c r="P266" s="9">
        <f>VLOOKUP($A266,'Temprorary Data'!$A:$G,7,FALSE)</f>
        <v>35</v>
      </c>
      <c r="Q266" t="b">
        <f t="shared" si="36"/>
        <v>1</v>
      </c>
      <c r="R266" t="str">
        <f t="shared" si="37"/>
        <v>January</v>
      </c>
      <c r="S266" t="str">
        <f t="shared" si="38"/>
        <v>Wednesday</v>
      </c>
      <c r="T266" t="str">
        <f t="shared" si="39"/>
        <v>Weekday</v>
      </c>
      <c r="U266" t="str">
        <f t="shared" si="40"/>
        <v>Spring</v>
      </c>
      <c r="V266" t="str">
        <f t="shared" si="41"/>
        <v>Clear</v>
      </c>
      <c r="W266" t="str">
        <f t="shared" si="42"/>
        <v>Off Peak</v>
      </c>
      <c r="X266" t="str">
        <f t="shared" si="43"/>
        <v>Low</v>
      </c>
      <c r="Y266" t="str">
        <f t="shared" si="44"/>
        <v>Medium</v>
      </c>
    </row>
    <row r="267" spans="1:25" ht="15.75" thickBot="1">
      <c r="A267" s="1">
        <v>266</v>
      </c>
      <c r="B267" s="2">
        <v>40555</v>
      </c>
      <c r="C267" s="1">
        <v>1</v>
      </c>
      <c r="D267" s="1">
        <v>0</v>
      </c>
      <c r="E267" s="1">
        <v>1</v>
      </c>
      <c r="F267" s="1">
        <v>12</v>
      </c>
      <c r="G267" s="3" t="b">
        <v>0</v>
      </c>
      <c r="H267" s="1">
        <v>3</v>
      </c>
      <c r="I267" s="1">
        <v>1</v>
      </c>
      <c r="J267" s="7">
        <v>0.2</v>
      </c>
      <c r="K267" s="8">
        <f>VLOOKUP($A267,'Temprorary Data'!$A:$G,2,FALSE)</f>
        <v>0.1515</v>
      </c>
      <c r="L267" s="8">
        <f>VLOOKUP($A267,'Temprorary Data'!$A:$G,3,FALSE)</f>
        <v>0.47</v>
      </c>
      <c r="M267" s="8">
        <f>VLOOKUP($A267,'Temprorary Data'!$A:$G,4,FALSE)</f>
        <v>0.58209999999999995</v>
      </c>
      <c r="N267" s="9">
        <f>VLOOKUP($A267,'Temprorary Data'!$A:$G,5,FALSE)</f>
        <v>3</v>
      </c>
      <c r="O267" s="9">
        <f>VLOOKUP($A267,'Temprorary Data'!$A:$G,6,FALSE)</f>
        <v>52</v>
      </c>
      <c r="P267" s="9">
        <f>VLOOKUP($A267,'Temprorary Data'!$A:$G,7,FALSE)</f>
        <v>55</v>
      </c>
      <c r="Q267" t="b">
        <f t="shared" si="36"/>
        <v>1</v>
      </c>
      <c r="R267" t="str">
        <f t="shared" si="37"/>
        <v>January</v>
      </c>
      <c r="S267" t="str">
        <f t="shared" si="38"/>
        <v>Wednesday</v>
      </c>
      <c r="T267" t="str">
        <f t="shared" si="39"/>
        <v>Weekday</v>
      </c>
      <c r="U267" t="str">
        <f t="shared" si="40"/>
        <v>Spring</v>
      </c>
      <c r="V267" t="str">
        <f t="shared" si="41"/>
        <v>Clear</v>
      </c>
      <c r="W267" t="str">
        <f t="shared" si="42"/>
        <v>Off Peak</v>
      </c>
      <c r="X267" t="str">
        <f t="shared" si="43"/>
        <v>Low</v>
      </c>
      <c r="Y267" t="str">
        <f t="shared" si="44"/>
        <v>Medium</v>
      </c>
    </row>
    <row r="268" spans="1:25" ht="15.75" thickBot="1">
      <c r="A268" s="1">
        <v>267</v>
      </c>
      <c r="B268" s="2">
        <v>40555</v>
      </c>
      <c r="C268" s="1">
        <v>1</v>
      </c>
      <c r="D268" s="1">
        <v>0</v>
      </c>
      <c r="E268" s="1">
        <v>1</v>
      </c>
      <c r="F268" s="1">
        <v>13</v>
      </c>
      <c r="G268" s="3" t="b">
        <v>0</v>
      </c>
      <c r="H268" s="1">
        <v>3</v>
      </c>
      <c r="I268" s="1">
        <v>1</v>
      </c>
      <c r="J268" s="7">
        <v>0.22</v>
      </c>
      <c r="K268" s="8">
        <f>VLOOKUP($A268,'Temprorary Data'!$A:$G,2,FALSE)</f>
        <v>0.19700000000000001</v>
      </c>
      <c r="L268" s="8">
        <f>VLOOKUP($A268,'Temprorary Data'!$A:$G,3,FALSE)</f>
        <v>0.44</v>
      </c>
      <c r="M268" s="8">
        <f>VLOOKUP($A268,'Temprorary Data'!$A:$G,4,FALSE)</f>
        <v>0.35820000000000002</v>
      </c>
      <c r="N268" s="9">
        <f>VLOOKUP($A268,'Temprorary Data'!$A:$G,5,FALSE)</f>
        <v>0</v>
      </c>
      <c r="O268" s="9">
        <f>VLOOKUP($A268,'Temprorary Data'!$A:$G,6,FALSE)</f>
        <v>49</v>
      </c>
      <c r="P268" s="9">
        <f>VLOOKUP($A268,'Temprorary Data'!$A:$G,7,FALSE)</f>
        <v>49</v>
      </c>
      <c r="Q268" t="b">
        <f t="shared" si="36"/>
        <v>1</v>
      </c>
      <c r="R268" t="str">
        <f t="shared" si="37"/>
        <v>January</v>
      </c>
      <c r="S268" t="str">
        <f t="shared" si="38"/>
        <v>Wednesday</v>
      </c>
      <c r="T268" t="str">
        <f t="shared" si="39"/>
        <v>Weekday</v>
      </c>
      <c r="U268" t="str">
        <f t="shared" si="40"/>
        <v>Spring</v>
      </c>
      <c r="V268" t="str">
        <f t="shared" si="41"/>
        <v>Clear</v>
      </c>
      <c r="W268" t="str">
        <f t="shared" si="42"/>
        <v>Off Peak</v>
      </c>
      <c r="X268" t="str">
        <f t="shared" si="43"/>
        <v>Low</v>
      </c>
      <c r="Y268" t="str">
        <f t="shared" si="44"/>
        <v>Medium</v>
      </c>
    </row>
    <row r="269" spans="1:25" ht="15.75" thickBot="1">
      <c r="A269" s="1">
        <v>268</v>
      </c>
      <c r="B269" s="2">
        <v>40555</v>
      </c>
      <c r="C269" s="1">
        <v>1</v>
      </c>
      <c r="D269" s="1">
        <v>0</v>
      </c>
      <c r="E269" s="1">
        <v>1</v>
      </c>
      <c r="F269" s="1">
        <v>14</v>
      </c>
      <c r="G269" s="3" t="b">
        <v>0</v>
      </c>
      <c r="H269" s="1">
        <v>3</v>
      </c>
      <c r="I269" s="1">
        <v>1</v>
      </c>
      <c r="J269" s="7">
        <v>0.2</v>
      </c>
      <c r="K269" s="8">
        <f>VLOOKUP($A269,'Temprorary Data'!$A:$G,2,FALSE)</f>
        <v>0.18179999999999999</v>
      </c>
      <c r="L269" s="8">
        <f>VLOOKUP($A269,'Temprorary Data'!$A:$G,3,FALSE)</f>
        <v>0.47</v>
      </c>
      <c r="M269" s="8">
        <f>VLOOKUP($A269,'Temprorary Data'!$A:$G,4,FALSE)</f>
        <v>0.32840000000000003</v>
      </c>
      <c r="N269" s="9">
        <f>VLOOKUP($A269,'Temprorary Data'!$A:$G,5,FALSE)</f>
        <v>0</v>
      </c>
      <c r="O269" s="9">
        <f>VLOOKUP($A269,'Temprorary Data'!$A:$G,6,FALSE)</f>
        <v>44</v>
      </c>
      <c r="P269" s="9">
        <f>VLOOKUP($A269,'Temprorary Data'!$A:$G,7,FALSE)</f>
        <v>44</v>
      </c>
      <c r="Q269" t="b">
        <f t="shared" si="36"/>
        <v>1</v>
      </c>
      <c r="R269" t="str">
        <f t="shared" si="37"/>
        <v>January</v>
      </c>
      <c r="S269" t="str">
        <f t="shared" si="38"/>
        <v>Wednesday</v>
      </c>
      <c r="T269" t="str">
        <f t="shared" si="39"/>
        <v>Weekday</v>
      </c>
      <c r="U269" t="str">
        <f t="shared" si="40"/>
        <v>Spring</v>
      </c>
      <c r="V269" t="str">
        <f t="shared" si="41"/>
        <v>Clear</v>
      </c>
      <c r="W269" t="str">
        <f t="shared" si="42"/>
        <v>Off Peak</v>
      </c>
      <c r="X269" t="str">
        <f t="shared" si="43"/>
        <v>Low</v>
      </c>
      <c r="Y269" t="str">
        <f t="shared" si="44"/>
        <v>Medium</v>
      </c>
    </row>
    <row r="270" spans="1:25" ht="15.75" thickBot="1">
      <c r="A270" s="1">
        <v>269</v>
      </c>
      <c r="B270" s="2">
        <v>40555</v>
      </c>
      <c r="C270" s="1">
        <v>1</v>
      </c>
      <c r="D270" s="1">
        <v>0</v>
      </c>
      <c r="E270" s="1">
        <v>1</v>
      </c>
      <c r="F270" s="1">
        <v>15</v>
      </c>
      <c r="G270" s="3" t="b">
        <v>0</v>
      </c>
      <c r="H270" s="1">
        <v>3</v>
      </c>
      <c r="I270" s="1">
        <v>1</v>
      </c>
      <c r="J270" s="7">
        <v>0.2</v>
      </c>
      <c r="K270" s="8">
        <f>VLOOKUP($A270,'Temprorary Data'!$A:$G,2,FALSE)</f>
        <v>0.16669999999999999</v>
      </c>
      <c r="L270" s="8">
        <f>VLOOKUP($A270,'Temprorary Data'!$A:$G,3,FALSE)</f>
        <v>0.47</v>
      </c>
      <c r="M270" s="8">
        <f>VLOOKUP($A270,'Temprorary Data'!$A:$G,4,FALSE)</f>
        <v>0.41789999999999999</v>
      </c>
      <c r="N270" s="9">
        <f>VLOOKUP($A270,'Temprorary Data'!$A:$G,5,FALSE)</f>
        <v>1</v>
      </c>
      <c r="O270" s="9">
        <f>VLOOKUP($A270,'Temprorary Data'!$A:$G,6,FALSE)</f>
        <v>48</v>
      </c>
      <c r="P270" s="9">
        <f>VLOOKUP($A270,'Temprorary Data'!$A:$G,7,FALSE)</f>
        <v>49</v>
      </c>
      <c r="Q270" t="b">
        <f t="shared" si="36"/>
        <v>1</v>
      </c>
      <c r="R270" t="str">
        <f t="shared" si="37"/>
        <v>January</v>
      </c>
      <c r="S270" t="str">
        <f t="shared" si="38"/>
        <v>Wednesday</v>
      </c>
      <c r="T270" t="str">
        <f t="shared" si="39"/>
        <v>Weekday</v>
      </c>
      <c r="U270" t="str">
        <f t="shared" si="40"/>
        <v>Spring</v>
      </c>
      <c r="V270" t="str">
        <f t="shared" si="41"/>
        <v>Clear</v>
      </c>
      <c r="W270" t="str">
        <f t="shared" si="42"/>
        <v>Off Peak</v>
      </c>
      <c r="X270" t="str">
        <f t="shared" si="43"/>
        <v>Low</v>
      </c>
      <c r="Y270" t="str">
        <f t="shared" si="44"/>
        <v>Medium</v>
      </c>
    </row>
    <row r="271" spans="1:25" ht="15.75" thickBot="1">
      <c r="A271" s="1">
        <v>270</v>
      </c>
      <c r="B271" s="2">
        <v>40555</v>
      </c>
      <c r="C271" s="1">
        <v>1</v>
      </c>
      <c r="D271" s="1">
        <v>0</v>
      </c>
      <c r="E271" s="1">
        <v>1</v>
      </c>
      <c r="F271" s="1">
        <v>16</v>
      </c>
      <c r="G271" s="3" t="b">
        <v>0</v>
      </c>
      <c r="H271" s="1">
        <v>3</v>
      </c>
      <c r="I271" s="1">
        <v>1</v>
      </c>
      <c r="J271" s="7">
        <v>0.22</v>
      </c>
      <c r="K271" s="8">
        <f>VLOOKUP($A271,'Temprorary Data'!$A:$G,2,FALSE)</f>
        <v>0.19700000000000001</v>
      </c>
      <c r="L271" s="8">
        <f>VLOOKUP($A271,'Temprorary Data'!$A:$G,3,FALSE)</f>
        <v>0.44</v>
      </c>
      <c r="M271" s="8">
        <f>VLOOKUP($A271,'Temprorary Data'!$A:$G,4,FALSE)</f>
        <v>0.32840000000000003</v>
      </c>
      <c r="N271" s="9">
        <f>VLOOKUP($A271,'Temprorary Data'!$A:$G,5,FALSE)</f>
        <v>5</v>
      </c>
      <c r="O271" s="9">
        <f>VLOOKUP($A271,'Temprorary Data'!$A:$G,6,FALSE)</f>
        <v>63</v>
      </c>
      <c r="P271" s="9">
        <f>VLOOKUP($A271,'Temprorary Data'!$A:$G,7,FALSE)</f>
        <v>68</v>
      </c>
      <c r="Q271" t="b">
        <f t="shared" si="36"/>
        <v>1</v>
      </c>
      <c r="R271" t="str">
        <f t="shared" si="37"/>
        <v>January</v>
      </c>
      <c r="S271" t="str">
        <f t="shared" si="38"/>
        <v>Wednesday</v>
      </c>
      <c r="T271" t="str">
        <f t="shared" si="39"/>
        <v>Weekday</v>
      </c>
      <c r="U271" t="str">
        <f t="shared" si="40"/>
        <v>Spring</v>
      </c>
      <c r="V271" t="str">
        <f t="shared" si="41"/>
        <v>Clear</v>
      </c>
      <c r="W271" t="str">
        <f t="shared" si="42"/>
        <v>Off Peak</v>
      </c>
      <c r="X271" t="str">
        <f t="shared" si="43"/>
        <v>Low</v>
      </c>
      <c r="Y271" t="str">
        <f t="shared" si="44"/>
        <v>Medium</v>
      </c>
    </row>
    <row r="272" spans="1:25" ht="15.75" thickBot="1">
      <c r="A272" s="1">
        <v>271</v>
      </c>
      <c r="B272" s="2">
        <v>40555</v>
      </c>
      <c r="C272" s="1">
        <v>1</v>
      </c>
      <c r="D272" s="1">
        <v>0</v>
      </c>
      <c r="E272" s="1">
        <v>1</v>
      </c>
      <c r="F272" s="1">
        <v>17</v>
      </c>
      <c r="G272" s="3" t="b">
        <v>0</v>
      </c>
      <c r="H272" s="1">
        <v>3</v>
      </c>
      <c r="I272" s="1">
        <v>1</v>
      </c>
      <c r="J272" s="7">
        <v>0.2</v>
      </c>
      <c r="K272" s="8">
        <f>VLOOKUP($A272,'Temprorary Data'!$A:$G,2,FALSE)</f>
        <v>0.18179999999999999</v>
      </c>
      <c r="L272" s="8">
        <f>VLOOKUP($A272,'Temprorary Data'!$A:$G,3,FALSE)</f>
        <v>0.47</v>
      </c>
      <c r="M272" s="8">
        <f>VLOOKUP($A272,'Temprorary Data'!$A:$G,4,FALSE)</f>
        <v>0.35820000000000002</v>
      </c>
      <c r="N272" s="9">
        <f>VLOOKUP($A272,'Temprorary Data'!$A:$G,5,FALSE)</f>
        <v>0</v>
      </c>
      <c r="O272" s="9">
        <f>VLOOKUP($A272,'Temprorary Data'!$A:$G,6,FALSE)</f>
        <v>139</v>
      </c>
      <c r="P272" s="9">
        <f>VLOOKUP($A272,'Temprorary Data'!$A:$G,7,FALSE)</f>
        <v>139</v>
      </c>
      <c r="Q272" t="b">
        <f t="shared" si="36"/>
        <v>1</v>
      </c>
      <c r="R272" t="str">
        <f t="shared" si="37"/>
        <v>January</v>
      </c>
      <c r="S272" t="str">
        <f t="shared" si="38"/>
        <v>Wednesday</v>
      </c>
      <c r="T272" t="str">
        <f t="shared" si="39"/>
        <v>Weekday</v>
      </c>
      <c r="U272" t="str">
        <f t="shared" si="40"/>
        <v>Spring</v>
      </c>
      <c r="V272" t="str">
        <f t="shared" si="41"/>
        <v>Clear</v>
      </c>
      <c r="W272" t="str">
        <f t="shared" si="42"/>
        <v>Evening Peak</v>
      </c>
      <c r="X272" t="str">
        <f t="shared" si="43"/>
        <v>Low</v>
      </c>
      <c r="Y272" t="str">
        <f t="shared" si="44"/>
        <v>Medium</v>
      </c>
    </row>
    <row r="273" spans="1:25" ht="15.75" thickBot="1">
      <c r="A273" s="1">
        <v>272</v>
      </c>
      <c r="B273" s="2">
        <v>40555</v>
      </c>
      <c r="C273" s="1">
        <v>1</v>
      </c>
      <c r="D273" s="1">
        <v>0</v>
      </c>
      <c r="E273" s="1">
        <v>1</v>
      </c>
      <c r="F273" s="1">
        <v>18</v>
      </c>
      <c r="G273" s="3" t="b">
        <v>0</v>
      </c>
      <c r="H273" s="1">
        <v>3</v>
      </c>
      <c r="I273" s="1">
        <v>1</v>
      </c>
      <c r="J273" s="7">
        <v>0.2</v>
      </c>
      <c r="K273" s="8">
        <f>VLOOKUP($A273,'Temprorary Data'!$A:$G,2,FALSE)</f>
        <v>0.1515</v>
      </c>
      <c r="L273" s="8">
        <f>VLOOKUP($A273,'Temprorary Data'!$A:$G,3,FALSE)</f>
        <v>0.47</v>
      </c>
      <c r="M273" s="8">
        <f>VLOOKUP($A273,'Temprorary Data'!$A:$G,4,FALSE)</f>
        <v>0.52239999999999998</v>
      </c>
      <c r="N273" s="9">
        <f>VLOOKUP($A273,'Temprorary Data'!$A:$G,5,FALSE)</f>
        <v>2</v>
      </c>
      <c r="O273" s="9">
        <f>VLOOKUP($A273,'Temprorary Data'!$A:$G,6,FALSE)</f>
        <v>135</v>
      </c>
      <c r="P273" s="9">
        <f>VLOOKUP($A273,'Temprorary Data'!$A:$G,7,FALSE)</f>
        <v>137</v>
      </c>
      <c r="Q273" t="b">
        <f t="shared" si="36"/>
        <v>1</v>
      </c>
      <c r="R273" t="str">
        <f t="shared" si="37"/>
        <v>January</v>
      </c>
      <c r="S273" t="str">
        <f t="shared" si="38"/>
        <v>Wednesday</v>
      </c>
      <c r="T273" t="str">
        <f t="shared" si="39"/>
        <v>Weekday</v>
      </c>
      <c r="U273" t="str">
        <f t="shared" si="40"/>
        <v>Spring</v>
      </c>
      <c r="V273" t="str">
        <f t="shared" si="41"/>
        <v>Clear</v>
      </c>
      <c r="W273" t="str">
        <f t="shared" si="42"/>
        <v>Evening Peak</v>
      </c>
      <c r="X273" t="str">
        <f t="shared" si="43"/>
        <v>Low</v>
      </c>
      <c r="Y273" t="str">
        <f t="shared" si="44"/>
        <v>Medium</v>
      </c>
    </row>
    <row r="274" spans="1:25" ht="15.75" thickBot="1">
      <c r="A274" s="1">
        <v>273</v>
      </c>
      <c r="B274" s="2">
        <v>40555</v>
      </c>
      <c r="C274" s="1">
        <v>1</v>
      </c>
      <c r="D274" s="1">
        <v>0</v>
      </c>
      <c r="E274" s="1">
        <v>1</v>
      </c>
      <c r="F274" s="1">
        <v>19</v>
      </c>
      <c r="G274" s="3" t="b">
        <v>0</v>
      </c>
      <c r="H274" s="1">
        <v>3</v>
      </c>
      <c r="I274" s="1">
        <v>1</v>
      </c>
      <c r="J274" s="7">
        <v>0.18</v>
      </c>
      <c r="K274" s="8">
        <f>VLOOKUP($A274,'Temprorary Data'!$A:$G,2,FALSE)</f>
        <v>0.1515</v>
      </c>
      <c r="L274" s="8">
        <f>VLOOKUP($A274,'Temprorary Data'!$A:$G,3,FALSE)</f>
        <v>0.47</v>
      </c>
      <c r="M274" s="8">
        <f>VLOOKUP($A274,'Temprorary Data'!$A:$G,4,FALSE)</f>
        <v>0.41789999999999999</v>
      </c>
      <c r="N274" s="9">
        <f>VLOOKUP($A274,'Temprorary Data'!$A:$G,5,FALSE)</f>
        <v>1</v>
      </c>
      <c r="O274" s="9">
        <f>VLOOKUP($A274,'Temprorary Data'!$A:$G,6,FALSE)</f>
        <v>82</v>
      </c>
      <c r="P274" s="9">
        <f>VLOOKUP($A274,'Temprorary Data'!$A:$G,7,FALSE)</f>
        <v>83</v>
      </c>
      <c r="Q274" t="b">
        <f t="shared" si="36"/>
        <v>1</v>
      </c>
      <c r="R274" t="str">
        <f t="shared" si="37"/>
        <v>January</v>
      </c>
      <c r="S274" t="str">
        <f t="shared" si="38"/>
        <v>Wednesday</v>
      </c>
      <c r="T274" t="str">
        <f t="shared" si="39"/>
        <v>Weekday</v>
      </c>
      <c r="U274" t="str">
        <f t="shared" si="40"/>
        <v>Spring</v>
      </c>
      <c r="V274" t="str">
        <f t="shared" si="41"/>
        <v>Clear</v>
      </c>
      <c r="W274" t="str">
        <f t="shared" si="42"/>
        <v>Evening Peak</v>
      </c>
      <c r="X274" t="str">
        <f t="shared" si="43"/>
        <v>Low</v>
      </c>
      <c r="Y274" t="str">
        <f t="shared" si="44"/>
        <v>Medium</v>
      </c>
    </row>
    <row r="275" spans="1:25" ht="15.75" thickBot="1">
      <c r="A275" s="1">
        <v>274</v>
      </c>
      <c r="B275" s="2">
        <v>40555</v>
      </c>
      <c r="C275" s="1">
        <v>1</v>
      </c>
      <c r="D275" s="1">
        <v>0</v>
      </c>
      <c r="E275" s="1">
        <v>1</v>
      </c>
      <c r="F275" s="1">
        <v>20</v>
      </c>
      <c r="G275" s="3" t="b">
        <v>0</v>
      </c>
      <c r="H275" s="1">
        <v>3</v>
      </c>
      <c r="I275" s="1">
        <v>1</v>
      </c>
      <c r="J275" s="7">
        <v>0.16</v>
      </c>
      <c r="K275" s="8">
        <f>VLOOKUP($A275,'Temprorary Data'!$A:$G,2,FALSE)</f>
        <v>0.13639999999999999</v>
      </c>
      <c r="L275" s="8">
        <f>VLOOKUP($A275,'Temprorary Data'!$A:$G,3,FALSE)</f>
        <v>0.5</v>
      </c>
      <c r="M275" s="8">
        <f>VLOOKUP($A275,'Temprorary Data'!$A:$G,4,FALSE)</f>
        <v>0.32840000000000003</v>
      </c>
      <c r="N275" s="9">
        <f>VLOOKUP($A275,'Temprorary Data'!$A:$G,5,FALSE)</f>
        <v>2</v>
      </c>
      <c r="O275" s="9">
        <f>VLOOKUP($A275,'Temprorary Data'!$A:$G,6,FALSE)</f>
        <v>54</v>
      </c>
      <c r="P275" s="9">
        <f>VLOOKUP($A275,'Temprorary Data'!$A:$G,7,FALSE)</f>
        <v>56</v>
      </c>
      <c r="Q275" t="b">
        <f t="shared" si="36"/>
        <v>1</v>
      </c>
      <c r="R275" t="str">
        <f t="shared" si="37"/>
        <v>January</v>
      </c>
      <c r="S275" t="str">
        <f t="shared" si="38"/>
        <v>Wednesday</v>
      </c>
      <c r="T275" t="str">
        <f t="shared" si="39"/>
        <v>Weekday</v>
      </c>
      <c r="U275" t="str">
        <f t="shared" si="40"/>
        <v>Spring</v>
      </c>
      <c r="V275" t="str">
        <f t="shared" si="41"/>
        <v>Clear</v>
      </c>
      <c r="W275" t="str">
        <f t="shared" si="42"/>
        <v>Evening Peak</v>
      </c>
      <c r="X275" t="str">
        <f t="shared" si="43"/>
        <v>Low</v>
      </c>
      <c r="Y275" t="str">
        <f t="shared" si="44"/>
        <v>Medium</v>
      </c>
    </row>
    <row r="276" spans="1:25" ht="15.75" thickBot="1">
      <c r="A276" s="1">
        <v>275</v>
      </c>
      <c r="B276" s="2">
        <v>40555</v>
      </c>
      <c r="C276" s="1">
        <v>1</v>
      </c>
      <c r="D276" s="1">
        <v>0</v>
      </c>
      <c r="E276" s="1">
        <v>1</v>
      </c>
      <c r="F276" s="1">
        <v>21</v>
      </c>
      <c r="G276" s="3" t="b">
        <v>0</v>
      </c>
      <c r="H276" s="1">
        <v>3</v>
      </c>
      <c r="I276" s="1">
        <v>1</v>
      </c>
      <c r="J276" s="7">
        <v>0.16</v>
      </c>
      <c r="K276" s="8">
        <f>VLOOKUP($A276,'Temprorary Data'!$A:$G,2,FALSE)</f>
        <v>0.13639999999999999</v>
      </c>
      <c r="L276" s="8">
        <f>VLOOKUP($A276,'Temprorary Data'!$A:$G,3,FALSE)</f>
        <v>0.55000000000000004</v>
      </c>
      <c r="M276" s="8">
        <f>VLOOKUP($A276,'Temprorary Data'!$A:$G,4,FALSE)</f>
        <v>0.32840000000000003</v>
      </c>
      <c r="N276" s="9">
        <f>VLOOKUP($A276,'Temprorary Data'!$A:$G,5,FALSE)</f>
        <v>0</v>
      </c>
      <c r="O276" s="9">
        <f>VLOOKUP($A276,'Temprorary Data'!$A:$G,6,FALSE)</f>
        <v>57</v>
      </c>
      <c r="P276" s="9">
        <f>VLOOKUP($A276,'Temprorary Data'!$A:$G,7,FALSE)</f>
        <v>57</v>
      </c>
      <c r="Q276" t="b">
        <f t="shared" si="36"/>
        <v>1</v>
      </c>
      <c r="R276" t="str">
        <f t="shared" si="37"/>
        <v>January</v>
      </c>
      <c r="S276" t="str">
        <f t="shared" si="38"/>
        <v>Wednesday</v>
      </c>
      <c r="T276" t="str">
        <f t="shared" si="39"/>
        <v>Weekday</v>
      </c>
      <c r="U276" t="str">
        <f t="shared" si="40"/>
        <v>Spring</v>
      </c>
      <c r="V276" t="str">
        <f t="shared" si="41"/>
        <v>Clear</v>
      </c>
      <c r="W276" t="str">
        <f t="shared" si="42"/>
        <v>Off Peak</v>
      </c>
      <c r="X276" t="str">
        <f t="shared" si="43"/>
        <v>Low</v>
      </c>
      <c r="Y276" t="str">
        <f t="shared" si="44"/>
        <v>Medium</v>
      </c>
    </row>
    <row r="277" spans="1:25" ht="15.75" thickBot="1">
      <c r="A277" s="1">
        <v>276</v>
      </c>
      <c r="B277" s="2">
        <v>40555</v>
      </c>
      <c r="C277" s="1">
        <v>1</v>
      </c>
      <c r="D277" s="1">
        <v>0</v>
      </c>
      <c r="E277" s="1">
        <v>1</v>
      </c>
      <c r="F277" s="1">
        <v>22</v>
      </c>
      <c r="G277" s="3" t="b">
        <v>0</v>
      </c>
      <c r="H277" s="1">
        <v>3</v>
      </c>
      <c r="I277" s="1">
        <v>1</v>
      </c>
      <c r="J277" s="7">
        <v>0.16</v>
      </c>
      <c r="K277" s="8">
        <f>VLOOKUP($A277,'Temprorary Data'!$A:$G,2,FALSE)</f>
        <v>0.1212</v>
      </c>
      <c r="L277" s="8">
        <f>VLOOKUP($A277,'Temprorary Data'!$A:$G,3,FALSE)</f>
        <v>0.55000000000000004</v>
      </c>
      <c r="M277" s="8">
        <f>VLOOKUP($A277,'Temprorary Data'!$A:$G,4,FALSE)</f>
        <v>0.44779999999999998</v>
      </c>
      <c r="N277" s="9">
        <f>VLOOKUP($A277,'Temprorary Data'!$A:$G,5,FALSE)</f>
        <v>1</v>
      </c>
      <c r="O277" s="9">
        <f>VLOOKUP($A277,'Temprorary Data'!$A:$G,6,FALSE)</f>
        <v>32</v>
      </c>
      <c r="P277" s="9">
        <f>VLOOKUP($A277,'Temprorary Data'!$A:$G,7,FALSE)</f>
        <v>33</v>
      </c>
      <c r="Q277" t="b">
        <f t="shared" si="36"/>
        <v>1</v>
      </c>
      <c r="R277" t="str">
        <f t="shared" si="37"/>
        <v>January</v>
      </c>
      <c r="S277" t="str">
        <f t="shared" si="38"/>
        <v>Wednesday</v>
      </c>
      <c r="T277" t="str">
        <f t="shared" si="39"/>
        <v>Weekday</v>
      </c>
      <c r="U277" t="str">
        <f t="shared" si="40"/>
        <v>Spring</v>
      </c>
      <c r="V277" t="str">
        <f t="shared" si="41"/>
        <v>Clear</v>
      </c>
      <c r="W277" t="str">
        <f t="shared" si="42"/>
        <v>Off Peak</v>
      </c>
      <c r="X277" t="str">
        <f t="shared" si="43"/>
        <v>Low</v>
      </c>
      <c r="Y277" t="str">
        <f t="shared" si="44"/>
        <v>Medium</v>
      </c>
    </row>
    <row r="278" spans="1:25" ht="15.75" thickBot="1">
      <c r="A278" s="1">
        <v>277</v>
      </c>
      <c r="B278" s="2">
        <v>40555</v>
      </c>
      <c r="C278" s="1">
        <v>1</v>
      </c>
      <c r="D278" s="1">
        <v>0</v>
      </c>
      <c r="E278" s="1">
        <v>1</v>
      </c>
      <c r="F278" s="1">
        <v>23</v>
      </c>
      <c r="G278" s="3" t="b">
        <v>0</v>
      </c>
      <c r="H278" s="1">
        <v>3</v>
      </c>
      <c r="I278" s="1">
        <v>1</v>
      </c>
      <c r="J278" s="7">
        <v>0.14000000000000001</v>
      </c>
      <c r="K278" s="8">
        <f>VLOOKUP($A278,'Temprorary Data'!$A:$G,2,FALSE)</f>
        <v>0.1061</v>
      </c>
      <c r="L278" s="8">
        <f>VLOOKUP($A278,'Temprorary Data'!$A:$G,3,FALSE)</f>
        <v>0.59</v>
      </c>
      <c r="M278" s="8">
        <f>VLOOKUP($A278,'Temprorary Data'!$A:$G,4,FALSE)</f>
        <v>0.41789999999999999</v>
      </c>
      <c r="N278" s="9">
        <f>VLOOKUP($A278,'Temprorary Data'!$A:$G,5,FALSE)</f>
        <v>1</v>
      </c>
      <c r="O278" s="9">
        <f>VLOOKUP($A278,'Temprorary Data'!$A:$G,6,FALSE)</f>
        <v>19</v>
      </c>
      <c r="P278" s="9">
        <f>VLOOKUP($A278,'Temprorary Data'!$A:$G,7,FALSE)</f>
        <v>20</v>
      </c>
      <c r="Q278" t="b">
        <f t="shared" si="36"/>
        <v>1</v>
      </c>
      <c r="R278" t="str">
        <f t="shared" si="37"/>
        <v>January</v>
      </c>
      <c r="S278" t="str">
        <f t="shared" si="38"/>
        <v>Wednesday</v>
      </c>
      <c r="T278" t="str">
        <f t="shared" si="39"/>
        <v>Weekday</v>
      </c>
      <c r="U278" t="str">
        <f t="shared" si="40"/>
        <v>Spring</v>
      </c>
      <c r="V278" t="str">
        <f t="shared" si="41"/>
        <v>Clear</v>
      </c>
      <c r="W278" t="str">
        <f t="shared" si="42"/>
        <v>Off Peak</v>
      </c>
      <c r="X278" t="str">
        <f t="shared" si="43"/>
        <v>Low</v>
      </c>
      <c r="Y278" t="str">
        <f t="shared" si="44"/>
        <v>Medium</v>
      </c>
    </row>
    <row r="279" spans="1:25" ht="15.75" thickBot="1">
      <c r="A279" s="1">
        <v>278</v>
      </c>
      <c r="B279" s="2">
        <v>40556</v>
      </c>
      <c r="C279" s="1">
        <v>1</v>
      </c>
      <c r="D279" s="1">
        <v>0</v>
      </c>
      <c r="E279" s="1">
        <v>1</v>
      </c>
      <c r="F279" s="1">
        <v>0</v>
      </c>
      <c r="G279" s="3" t="b">
        <v>0</v>
      </c>
      <c r="H279" s="1">
        <v>4</v>
      </c>
      <c r="I279" s="1">
        <v>1</v>
      </c>
      <c r="J279" s="7">
        <v>0.14000000000000001</v>
      </c>
      <c r="K279" s="8">
        <f>VLOOKUP($A279,'Temprorary Data'!$A:$G,2,FALSE)</f>
        <v>0.1212</v>
      </c>
      <c r="L279" s="8">
        <f>VLOOKUP($A279,'Temprorary Data'!$A:$G,3,FALSE)</f>
        <v>0.59</v>
      </c>
      <c r="M279" s="8">
        <f>VLOOKUP($A279,'Temprorary Data'!$A:$G,4,FALSE)</f>
        <v>0.28360000000000002</v>
      </c>
      <c r="N279" s="9">
        <f>VLOOKUP($A279,'Temprorary Data'!$A:$G,5,FALSE)</f>
        <v>1</v>
      </c>
      <c r="O279" s="9">
        <f>VLOOKUP($A279,'Temprorary Data'!$A:$G,6,FALSE)</f>
        <v>6</v>
      </c>
      <c r="P279" s="9">
        <f>VLOOKUP($A279,'Temprorary Data'!$A:$G,7,FALSE)</f>
        <v>7</v>
      </c>
      <c r="Q279" t="b">
        <f t="shared" si="36"/>
        <v>1</v>
      </c>
      <c r="R279" t="str">
        <f t="shared" si="37"/>
        <v>January</v>
      </c>
      <c r="S279" t="str">
        <f t="shared" si="38"/>
        <v>Thursday</v>
      </c>
      <c r="T279" t="str">
        <f t="shared" si="39"/>
        <v>Weekday</v>
      </c>
      <c r="U279" t="str">
        <f t="shared" si="40"/>
        <v>Spring</v>
      </c>
      <c r="V279" t="str">
        <f t="shared" si="41"/>
        <v>Clear</v>
      </c>
      <c r="W279" t="str">
        <f t="shared" si="42"/>
        <v>Off Peak</v>
      </c>
      <c r="X279" t="str">
        <f t="shared" si="43"/>
        <v>Low</v>
      </c>
      <c r="Y279" t="str">
        <f t="shared" si="44"/>
        <v>Medium</v>
      </c>
    </row>
    <row r="280" spans="1:25" ht="15.75" thickBot="1">
      <c r="A280" s="1">
        <v>279</v>
      </c>
      <c r="B280" s="2">
        <v>40556</v>
      </c>
      <c r="C280" s="1">
        <v>1</v>
      </c>
      <c r="D280" s="1">
        <v>0</v>
      </c>
      <c r="E280" s="1">
        <v>1</v>
      </c>
      <c r="F280" s="1">
        <v>1</v>
      </c>
      <c r="G280" s="3" t="b">
        <v>0</v>
      </c>
      <c r="H280" s="1">
        <v>4</v>
      </c>
      <c r="I280" s="1">
        <v>1</v>
      </c>
      <c r="J280" s="7">
        <v>0.14000000000000001</v>
      </c>
      <c r="K280" s="8">
        <f>VLOOKUP($A280,'Temprorary Data'!$A:$G,2,FALSE)</f>
        <v>0.1212</v>
      </c>
      <c r="L280" s="8">
        <f>VLOOKUP($A280,'Temprorary Data'!$A:$G,3,FALSE)</f>
        <v>0.5</v>
      </c>
      <c r="M280" s="8">
        <f>VLOOKUP($A280,'Temprorary Data'!$A:$G,4,FALSE)</f>
        <v>0.28360000000000002</v>
      </c>
      <c r="N280" s="9">
        <f>VLOOKUP($A280,'Temprorary Data'!$A:$G,5,FALSE)</f>
        <v>0</v>
      </c>
      <c r="O280" s="9">
        <f>VLOOKUP($A280,'Temprorary Data'!$A:$G,6,FALSE)</f>
        <v>2</v>
      </c>
      <c r="P280" s="9">
        <f>VLOOKUP($A280,'Temprorary Data'!$A:$G,7,FALSE)</f>
        <v>2</v>
      </c>
      <c r="Q280" t="b">
        <f t="shared" si="36"/>
        <v>1</v>
      </c>
      <c r="R280" t="str">
        <f t="shared" si="37"/>
        <v>January</v>
      </c>
      <c r="S280" t="str">
        <f t="shared" si="38"/>
        <v>Thursday</v>
      </c>
      <c r="T280" t="str">
        <f t="shared" si="39"/>
        <v>Weekday</v>
      </c>
      <c r="U280" t="str">
        <f t="shared" si="40"/>
        <v>Spring</v>
      </c>
      <c r="V280" t="str">
        <f t="shared" si="41"/>
        <v>Clear</v>
      </c>
      <c r="W280" t="str">
        <f t="shared" si="42"/>
        <v>Off Peak</v>
      </c>
      <c r="X280" t="str">
        <f t="shared" si="43"/>
        <v>Low</v>
      </c>
      <c r="Y280" t="str">
        <f t="shared" si="44"/>
        <v>Medium</v>
      </c>
    </row>
    <row r="281" spans="1:25" ht="15.75" thickBot="1">
      <c r="A281" s="1">
        <v>280</v>
      </c>
      <c r="B281" s="2">
        <v>40556</v>
      </c>
      <c r="C281" s="1">
        <v>1</v>
      </c>
      <c r="D281" s="1">
        <v>0</v>
      </c>
      <c r="E281" s="1">
        <v>1</v>
      </c>
      <c r="F281" s="1">
        <v>2</v>
      </c>
      <c r="G281" s="3" t="b">
        <v>0</v>
      </c>
      <c r="H281" s="1">
        <v>4</v>
      </c>
      <c r="I281" s="1">
        <v>1</v>
      </c>
      <c r="J281" s="7">
        <v>0.14000000000000001</v>
      </c>
      <c r="K281" s="8">
        <f>VLOOKUP($A281,'Temprorary Data'!$A:$G,2,FALSE)</f>
        <v>0.1212</v>
      </c>
      <c r="L281" s="8">
        <f>VLOOKUP($A281,'Temprorary Data'!$A:$G,3,FALSE)</f>
        <v>0.5</v>
      </c>
      <c r="M281" s="8">
        <f>VLOOKUP($A281,'Temprorary Data'!$A:$G,4,FALSE)</f>
        <v>0.35820000000000002</v>
      </c>
      <c r="N281" s="9">
        <f>VLOOKUP($A281,'Temprorary Data'!$A:$G,5,FALSE)</f>
        <v>0</v>
      </c>
      <c r="O281" s="9">
        <f>VLOOKUP($A281,'Temprorary Data'!$A:$G,6,FALSE)</f>
        <v>2</v>
      </c>
      <c r="P281" s="9">
        <f>VLOOKUP($A281,'Temprorary Data'!$A:$G,7,FALSE)</f>
        <v>2</v>
      </c>
      <c r="Q281" t="b">
        <f t="shared" si="36"/>
        <v>1</v>
      </c>
      <c r="R281" t="str">
        <f t="shared" si="37"/>
        <v>January</v>
      </c>
      <c r="S281" t="str">
        <f t="shared" si="38"/>
        <v>Thursday</v>
      </c>
      <c r="T281" t="str">
        <f t="shared" si="39"/>
        <v>Weekday</v>
      </c>
      <c r="U281" t="str">
        <f t="shared" si="40"/>
        <v>Spring</v>
      </c>
      <c r="V281" t="str">
        <f t="shared" si="41"/>
        <v>Clear</v>
      </c>
      <c r="W281" t="str">
        <f t="shared" si="42"/>
        <v>Off Peak</v>
      </c>
      <c r="X281" t="str">
        <f t="shared" si="43"/>
        <v>Low</v>
      </c>
      <c r="Y281" t="str">
        <f t="shared" si="44"/>
        <v>Medium</v>
      </c>
    </row>
    <row r="282" spans="1:25" ht="15.75" thickBot="1">
      <c r="A282" s="1">
        <v>281</v>
      </c>
      <c r="B282" s="2">
        <v>40556</v>
      </c>
      <c r="C282" s="1">
        <v>1</v>
      </c>
      <c r="D282" s="1">
        <v>0</v>
      </c>
      <c r="E282" s="1">
        <v>1</v>
      </c>
      <c r="F282" s="1">
        <v>3</v>
      </c>
      <c r="G282" s="3" t="b">
        <v>0</v>
      </c>
      <c r="H282" s="1">
        <v>4</v>
      </c>
      <c r="I282" s="1">
        <v>1</v>
      </c>
      <c r="J282" s="7">
        <v>0.14000000000000001</v>
      </c>
      <c r="K282" s="8">
        <f>VLOOKUP($A282,'Temprorary Data'!$A:$G,2,FALSE)</f>
        <v>0.1212</v>
      </c>
      <c r="L282" s="8">
        <f>VLOOKUP($A282,'Temprorary Data'!$A:$G,3,FALSE)</f>
        <v>0.5</v>
      </c>
      <c r="M282" s="8">
        <f>VLOOKUP($A282,'Temprorary Data'!$A:$G,4,FALSE)</f>
        <v>0.32840000000000003</v>
      </c>
      <c r="N282" s="9">
        <f>VLOOKUP($A282,'Temprorary Data'!$A:$G,5,FALSE)</f>
        <v>0</v>
      </c>
      <c r="O282" s="9">
        <f>VLOOKUP($A282,'Temprorary Data'!$A:$G,6,FALSE)</f>
        <v>3</v>
      </c>
      <c r="P282" s="9">
        <f>VLOOKUP($A282,'Temprorary Data'!$A:$G,7,FALSE)</f>
        <v>3</v>
      </c>
      <c r="Q282" t="b">
        <f t="shared" si="36"/>
        <v>1</v>
      </c>
      <c r="R282" t="str">
        <f t="shared" si="37"/>
        <v>January</v>
      </c>
      <c r="S282" t="str">
        <f t="shared" si="38"/>
        <v>Thursday</v>
      </c>
      <c r="T282" t="str">
        <f t="shared" si="39"/>
        <v>Weekday</v>
      </c>
      <c r="U282" t="str">
        <f t="shared" si="40"/>
        <v>Spring</v>
      </c>
      <c r="V282" t="str">
        <f t="shared" si="41"/>
        <v>Clear</v>
      </c>
      <c r="W282" t="str">
        <f t="shared" si="42"/>
        <v>Off Peak</v>
      </c>
      <c r="X282" t="str">
        <f t="shared" si="43"/>
        <v>Low</v>
      </c>
      <c r="Y282" t="str">
        <f t="shared" si="44"/>
        <v>Medium</v>
      </c>
    </row>
    <row r="283" spans="1:25" ht="15.75" thickBot="1">
      <c r="A283" s="1">
        <v>282</v>
      </c>
      <c r="B283" s="2">
        <v>40556</v>
      </c>
      <c r="C283" s="1">
        <v>1</v>
      </c>
      <c r="D283" s="1">
        <v>0</v>
      </c>
      <c r="E283" s="1">
        <v>1</v>
      </c>
      <c r="F283" s="1">
        <v>4</v>
      </c>
      <c r="G283" s="3" t="b">
        <v>0</v>
      </c>
      <c r="H283" s="1">
        <v>4</v>
      </c>
      <c r="I283" s="1">
        <v>1</v>
      </c>
      <c r="J283" s="7">
        <v>0.14000000000000001</v>
      </c>
      <c r="K283" s="8">
        <f>VLOOKUP($A283,'Temprorary Data'!$A:$G,2,FALSE)</f>
        <v>0.1212</v>
      </c>
      <c r="L283" s="8">
        <f>VLOOKUP($A283,'Temprorary Data'!$A:$G,3,FALSE)</f>
        <v>0.5</v>
      </c>
      <c r="M283" s="8">
        <f>VLOOKUP($A283,'Temprorary Data'!$A:$G,4,FALSE)</f>
        <v>0.25369999999999998</v>
      </c>
      <c r="N283" s="9">
        <f>VLOOKUP($A283,'Temprorary Data'!$A:$G,5,FALSE)</f>
        <v>0</v>
      </c>
      <c r="O283" s="9">
        <f>VLOOKUP($A283,'Temprorary Data'!$A:$G,6,FALSE)</f>
        <v>4</v>
      </c>
      <c r="P283" s="9">
        <f>VLOOKUP($A283,'Temprorary Data'!$A:$G,7,FALSE)</f>
        <v>4</v>
      </c>
      <c r="Q283" t="b">
        <f t="shared" si="36"/>
        <v>1</v>
      </c>
      <c r="R283" t="str">
        <f t="shared" si="37"/>
        <v>January</v>
      </c>
      <c r="S283" t="str">
        <f t="shared" si="38"/>
        <v>Thursday</v>
      </c>
      <c r="T283" t="str">
        <f t="shared" si="39"/>
        <v>Weekday</v>
      </c>
      <c r="U283" t="str">
        <f t="shared" si="40"/>
        <v>Spring</v>
      </c>
      <c r="V283" t="str">
        <f t="shared" si="41"/>
        <v>Clear</v>
      </c>
      <c r="W283" t="str">
        <f t="shared" si="42"/>
        <v>Off Peak</v>
      </c>
      <c r="X283" t="str">
        <f t="shared" si="43"/>
        <v>Low</v>
      </c>
      <c r="Y283" t="str">
        <f t="shared" si="44"/>
        <v>Medium</v>
      </c>
    </row>
    <row r="284" spans="1:25" ht="15.75" thickBot="1">
      <c r="A284" s="1">
        <v>283</v>
      </c>
      <c r="B284" s="2">
        <v>40556</v>
      </c>
      <c r="C284" s="1">
        <v>1</v>
      </c>
      <c r="D284" s="1">
        <v>0</v>
      </c>
      <c r="E284" s="1">
        <v>1</v>
      </c>
      <c r="F284" s="1">
        <v>5</v>
      </c>
      <c r="G284" s="3" t="b">
        <v>0</v>
      </c>
      <c r="H284" s="1">
        <v>4</v>
      </c>
      <c r="I284" s="1">
        <v>1</v>
      </c>
      <c r="J284" s="7">
        <v>0.14000000000000001</v>
      </c>
      <c r="K284" s="8">
        <f>VLOOKUP($A284,'Temprorary Data'!$A:$G,2,FALSE)</f>
        <v>0.1212</v>
      </c>
      <c r="L284" s="8">
        <f>VLOOKUP($A284,'Temprorary Data'!$A:$G,3,FALSE)</f>
        <v>0.5</v>
      </c>
      <c r="M284" s="8">
        <f>VLOOKUP($A284,'Temprorary Data'!$A:$G,4,FALSE)</f>
        <v>0.29849999999999999</v>
      </c>
      <c r="N284" s="9">
        <f>VLOOKUP($A284,'Temprorary Data'!$A:$G,5,FALSE)</f>
        <v>0</v>
      </c>
      <c r="O284" s="9">
        <f>VLOOKUP($A284,'Temprorary Data'!$A:$G,6,FALSE)</f>
        <v>3</v>
      </c>
      <c r="P284" s="9">
        <f>VLOOKUP($A284,'Temprorary Data'!$A:$G,7,FALSE)</f>
        <v>3</v>
      </c>
      <c r="Q284" t="b">
        <f t="shared" si="36"/>
        <v>1</v>
      </c>
      <c r="R284" t="str">
        <f t="shared" si="37"/>
        <v>January</v>
      </c>
      <c r="S284" t="str">
        <f t="shared" si="38"/>
        <v>Thursday</v>
      </c>
      <c r="T284" t="str">
        <f t="shared" si="39"/>
        <v>Weekday</v>
      </c>
      <c r="U284" t="str">
        <f t="shared" si="40"/>
        <v>Spring</v>
      </c>
      <c r="V284" t="str">
        <f t="shared" si="41"/>
        <v>Clear</v>
      </c>
      <c r="W284" t="str">
        <f t="shared" si="42"/>
        <v>Off Peak</v>
      </c>
      <c r="X284" t="str">
        <f t="shared" si="43"/>
        <v>Low</v>
      </c>
      <c r="Y284" t="str">
        <f t="shared" si="44"/>
        <v>Medium</v>
      </c>
    </row>
    <row r="285" spans="1:25" ht="15.75" thickBot="1">
      <c r="A285" s="1">
        <v>284</v>
      </c>
      <c r="B285" s="2">
        <v>40556</v>
      </c>
      <c r="C285" s="1">
        <v>1</v>
      </c>
      <c r="D285" s="1">
        <v>0</v>
      </c>
      <c r="E285" s="1">
        <v>1</v>
      </c>
      <c r="F285" s="1">
        <v>6</v>
      </c>
      <c r="G285" s="3" t="b">
        <v>0</v>
      </c>
      <c r="H285" s="1">
        <v>4</v>
      </c>
      <c r="I285" s="1">
        <v>1</v>
      </c>
      <c r="J285" s="7">
        <v>0.12</v>
      </c>
      <c r="K285" s="8">
        <f>VLOOKUP($A285,'Temprorary Data'!$A:$G,2,FALSE)</f>
        <v>0.1515</v>
      </c>
      <c r="L285" s="8">
        <f>VLOOKUP($A285,'Temprorary Data'!$A:$G,3,FALSE)</f>
        <v>0.54</v>
      </c>
      <c r="M285" s="8">
        <f>VLOOKUP($A285,'Temprorary Data'!$A:$G,4,FALSE)</f>
        <v>0.1343</v>
      </c>
      <c r="N285" s="9">
        <f>VLOOKUP($A285,'Temprorary Data'!$A:$G,5,FALSE)</f>
        <v>0</v>
      </c>
      <c r="O285" s="9">
        <f>VLOOKUP($A285,'Temprorary Data'!$A:$G,6,FALSE)</f>
        <v>28</v>
      </c>
      <c r="P285" s="9">
        <f>VLOOKUP($A285,'Temprorary Data'!$A:$G,7,FALSE)</f>
        <v>28</v>
      </c>
      <c r="Q285" t="b">
        <f t="shared" si="36"/>
        <v>1</v>
      </c>
      <c r="R285" t="str">
        <f t="shared" si="37"/>
        <v>January</v>
      </c>
      <c r="S285" t="str">
        <f t="shared" si="38"/>
        <v>Thursday</v>
      </c>
      <c r="T285" t="str">
        <f t="shared" si="39"/>
        <v>Weekday</v>
      </c>
      <c r="U285" t="str">
        <f t="shared" si="40"/>
        <v>Spring</v>
      </c>
      <c r="V285" t="str">
        <f t="shared" si="41"/>
        <v>Clear</v>
      </c>
      <c r="W285" t="str">
        <f t="shared" si="42"/>
        <v>Off Peak</v>
      </c>
      <c r="X285" t="str">
        <f t="shared" si="43"/>
        <v>Low</v>
      </c>
      <c r="Y285" t="str">
        <f t="shared" si="44"/>
        <v>Medium</v>
      </c>
    </row>
    <row r="286" spans="1:25" ht="15.75" thickBot="1">
      <c r="A286" s="1">
        <v>285</v>
      </c>
      <c r="B286" s="2">
        <v>40556</v>
      </c>
      <c r="C286" s="1">
        <v>1</v>
      </c>
      <c r="D286" s="1">
        <v>0</v>
      </c>
      <c r="E286" s="1">
        <v>1</v>
      </c>
      <c r="F286" s="1">
        <v>7</v>
      </c>
      <c r="G286" s="3" t="b">
        <v>0</v>
      </c>
      <c r="H286" s="1">
        <v>4</v>
      </c>
      <c r="I286" s="1">
        <v>1</v>
      </c>
      <c r="J286" s="7">
        <v>0.12</v>
      </c>
      <c r="K286" s="8">
        <f>VLOOKUP($A286,'Temprorary Data'!$A:$G,2,FALSE)</f>
        <v>0.1515</v>
      </c>
      <c r="L286" s="8">
        <f>VLOOKUP($A286,'Temprorary Data'!$A:$G,3,FALSE)</f>
        <v>0.54</v>
      </c>
      <c r="M286" s="8">
        <f>VLOOKUP($A286,'Temprorary Data'!$A:$G,4,FALSE)</f>
        <v>0.1343</v>
      </c>
      <c r="N286" s="9">
        <f>VLOOKUP($A286,'Temprorary Data'!$A:$G,5,FALSE)</f>
        <v>0</v>
      </c>
      <c r="O286" s="9">
        <f>VLOOKUP($A286,'Temprorary Data'!$A:$G,6,FALSE)</f>
        <v>72</v>
      </c>
      <c r="P286" s="9">
        <f>VLOOKUP($A286,'Temprorary Data'!$A:$G,7,FALSE)</f>
        <v>72</v>
      </c>
      <c r="Q286" t="b">
        <f t="shared" si="36"/>
        <v>1</v>
      </c>
      <c r="R286" t="str">
        <f t="shared" si="37"/>
        <v>January</v>
      </c>
      <c r="S286" t="str">
        <f t="shared" si="38"/>
        <v>Thursday</v>
      </c>
      <c r="T286" t="str">
        <f t="shared" si="39"/>
        <v>Weekday</v>
      </c>
      <c r="U286" t="str">
        <f t="shared" si="40"/>
        <v>Spring</v>
      </c>
      <c r="V286" t="str">
        <f t="shared" si="41"/>
        <v>Clear</v>
      </c>
      <c r="W286" t="str">
        <f t="shared" si="42"/>
        <v>Morning Peak</v>
      </c>
      <c r="X286" t="str">
        <f t="shared" si="43"/>
        <v>Low</v>
      </c>
      <c r="Y286" t="str">
        <f t="shared" si="44"/>
        <v>Medium</v>
      </c>
    </row>
    <row r="287" spans="1:25" ht="15.75" thickBot="1">
      <c r="A287" s="1">
        <v>286</v>
      </c>
      <c r="B287" s="2">
        <v>40556</v>
      </c>
      <c r="C287" s="1">
        <v>1</v>
      </c>
      <c r="D287" s="1">
        <v>0</v>
      </c>
      <c r="E287" s="1">
        <v>1</v>
      </c>
      <c r="F287" s="1">
        <v>8</v>
      </c>
      <c r="G287" s="3" t="b">
        <v>0</v>
      </c>
      <c r="H287" s="1">
        <v>4</v>
      </c>
      <c r="I287" s="1">
        <v>1</v>
      </c>
      <c r="J287" s="7">
        <v>0.14000000000000001</v>
      </c>
      <c r="K287" s="8">
        <f>VLOOKUP($A287,'Temprorary Data'!$A:$G,2,FALSE)</f>
        <v>0.13639999999999999</v>
      </c>
      <c r="L287" s="8">
        <f>VLOOKUP($A287,'Temprorary Data'!$A:$G,3,FALSE)</f>
        <v>0.5</v>
      </c>
      <c r="M287" s="8">
        <f>VLOOKUP($A287,'Temprorary Data'!$A:$G,4,FALSE)</f>
        <v>0.19400000000000001</v>
      </c>
      <c r="N287" s="9">
        <f>VLOOKUP($A287,'Temprorary Data'!$A:$G,5,FALSE)</f>
        <v>5</v>
      </c>
      <c r="O287" s="9">
        <f>VLOOKUP($A287,'Temprorary Data'!$A:$G,6,FALSE)</f>
        <v>197</v>
      </c>
      <c r="P287" s="9">
        <f>VLOOKUP($A287,'Temprorary Data'!$A:$G,7,FALSE)</f>
        <v>202</v>
      </c>
      <c r="Q287" t="b">
        <f t="shared" si="36"/>
        <v>1</v>
      </c>
      <c r="R287" t="str">
        <f t="shared" si="37"/>
        <v>January</v>
      </c>
      <c r="S287" t="str">
        <f t="shared" si="38"/>
        <v>Thursday</v>
      </c>
      <c r="T287" t="str">
        <f t="shared" si="39"/>
        <v>Weekday</v>
      </c>
      <c r="U287" t="str">
        <f t="shared" si="40"/>
        <v>Spring</v>
      </c>
      <c r="V287" t="str">
        <f t="shared" si="41"/>
        <v>Clear</v>
      </c>
      <c r="W287" t="str">
        <f t="shared" si="42"/>
        <v>Morning Peak</v>
      </c>
      <c r="X287" t="str">
        <f t="shared" si="43"/>
        <v>Low</v>
      </c>
      <c r="Y287" t="str">
        <f t="shared" si="44"/>
        <v>Medium</v>
      </c>
    </row>
    <row r="288" spans="1:25" ht="15.75" thickBot="1">
      <c r="A288" s="1">
        <v>287</v>
      </c>
      <c r="B288" s="2">
        <v>40556</v>
      </c>
      <c r="C288" s="1">
        <v>1</v>
      </c>
      <c r="D288" s="1">
        <v>0</v>
      </c>
      <c r="E288" s="1">
        <v>1</v>
      </c>
      <c r="F288" s="1">
        <v>9</v>
      </c>
      <c r="G288" s="3" t="b">
        <v>0</v>
      </c>
      <c r="H288" s="1">
        <v>4</v>
      </c>
      <c r="I288" s="1">
        <v>1</v>
      </c>
      <c r="J288" s="7">
        <v>0.14000000000000001</v>
      </c>
      <c r="K288" s="8">
        <f>VLOOKUP($A288,'Temprorary Data'!$A:$G,2,FALSE)</f>
        <v>0.1212</v>
      </c>
      <c r="L288" s="8">
        <f>VLOOKUP($A288,'Temprorary Data'!$A:$G,3,FALSE)</f>
        <v>0.5</v>
      </c>
      <c r="M288" s="8">
        <f>VLOOKUP($A288,'Temprorary Data'!$A:$G,4,FALSE)</f>
        <v>0.32840000000000003</v>
      </c>
      <c r="N288" s="9">
        <f>VLOOKUP($A288,'Temprorary Data'!$A:$G,5,FALSE)</f>
        <v>2</v>
      </c>
      <c r="O288" s="9">
        <f>VLOOKUP($A288,'Temprorary Data'!$A:$G,6,FALSE)</f>
        <v>137</v>
      </c>
      <c r="P288" s="9">
        <f>VLOOKUP($A288,'Temprorary Data'!$A:$G,7,FALSE)</f>
        <v>139</v>
      </c>
      <c r="Q288" t="b">
        <f t="shared" si="36"/>
        <v>1</v>
      </c>
      <c r="R288" t="str">
        <f t="shared" si="37"/>
        <v>January</v>
      </c>
      <c r="S288" t="str">
        <f t="shared" si="38"/>
        <v>Thursday</v>
      </c>
      <c r="T288" t="str">
        <f t="shared" si="39"/>
        <v>Weekday</v>
      </c>
      <c r="U288" t="str">
        <f t="shared" si="40"/>
        <v>Spring</v>
      </c>
      <c r="V288" t="str">
        <f t="shared" si="41"/>
        <v>Clear</v>
      </c>
      <c r="W288" t="str">
        <f t="shared" si="42"/>
        <v>Morning Peak</v>
      </c>
      <c r="X288" t="str">
        <f t="shared" si="43"/>
        <v>Low</v>
      </c>
      <c r="Y288" t="str">
        <f t="shared" si="44"/>
        <v>Medium</v>
      </c>
    </row>
    <row r="289" spans="1:25" ht="15.75" thickBot="1">
      <c r="A289" s="1">
        <v>288</v>
      </c>
      <c r="B289" s="2">
        <v>40556</v>
      </c>
      <c r="C289" s="1">
        <v>1</v>
      </c>
      <c r="D289" s="1">
        <v>0</v>
      </c>
      <c r="E289" s="1">
        <v>1</v>
      </c>
      <c r="F289" s="1">
        <v>10</v>
      </c>
      <c r="G289" s="3" t="b">
        <v>0</v>
      </c>
      <c r="H289" s="1">
        <v>4</v>
      </c>
      <c r="I289" s="1">
        <v>2</v>
      </c>
      <c r="J289" s="7">
        <v>0.16</v>
      </c>
      <c r="K289" s="8">
        <f>VLOOKUP($A289,'Temprorary Data'!$A:$G,2,FALSE)</f>
        <v>0.13639999999999999</v>
      </c>
      <c r="L289" s="8">
        <f>VLOOKUP($A289,'Temprorary Data'!$A:$G,3,FALSE)</f>
        <v>0.5</v>
      </c>
      <c r="M289" s="8">
        <f>VLOOKUP($A289,'Temprorary Data'!$A:$G,4,FALSE)</f>
        <v>0.35820000000000002</v>
      </c>
      <c r="N289" s="9">
        <f>VLOOKUP($A289,'Temprorary Data'!$A:$G,5,FALSE)</f>
        <v>2</v>
      </c>
      <c r="O289" s="9">
        <f>VLOOKUP($A289,'Temprorary Data'!$A:$G,6,FALSE)</f>
        <v>36</v>
      </c>
      <c r="P289" s="9">
        <f>VLOOKUP($A289,'Temprorary Data'!$A:$G,7,FALSE)</f>
        <v>38</v>
      </c>
      <c r="Q289" t="b">
        <f t="shared" si="36"/>
        <v>1</v>
      </c>
      <c r="R289" t="str">
        <f t="shared" si="37"/>
        <v>January</v>
      </c>
      <c r="S289" t="str">
        <f t="shared" si="38"/>
        <v>Thursday</v>
      </c>
      <c r="T289" t="str">
        <f t="shared" si="39"/>
        <v>Weekday</v>
      </c>
      <c r="U289" t="str">
        <f t="shared" si="40"/>
        <v>Spring</v>
      </c>
      <c r="V289" t="str">
        <f t="shared" si="41"/>
        <v>Mist</v>
      </c>
      <c r="W289" t="str">
        <f t="shared" si="42"/>
        <v>Off Peak</v>
      </c>
      <c r="X289" t="str">
        <f t="shared" si="43"/>
        <v>Low</v>
      </c>
      <c r="Y289" t="str">
        <f t="shared" si="44"/>
        <v>Medium</v>
      </c>
    </row>
    <row r="290" spans="1:25" ht="15.75" thickBot="1">
      <c r="A290" s="1">
        <v>289</v>
      </c>
      <c r="B290" s="2">
        <v>40556</v>
      </c>
      <c r="C290" s="1">
        <v>1</v>
      </c>
      <c r="D290" s="1">
        <v>0</v>
      </c>
      <c r="E290" s="1">
        <v>1</v>
      </c>
      <c r="F290" s="1">
        <v>11</v>
      </c>
      <c r="G290" s="3" t="b">
        <v>0</v>
      </c>
      <c r="H290" s="1">
        <v>4</v>
      </c>
      <c r="I290" s="1">
        <v>2</v>
      </c>
      <c r="J290" s="7">
        <v>0.2</v>
      </c>
      <c r="K290" s="8">
        <f>VLOOKUP($A290,'Temprorary Data'!$A:$G,2,FALSE)</f>
        <v>0.16669999999999999</v>
      </c>
      <c r="L290" s="8">
        <f>VLOOKUP($A290,'Temprorary Data'!$A:$G,3,FALSE)</f>
        <v>0.44</v>
      </c>
      <c r="M290" s="8">
        <f>VLOOKUP($A290,'Temprorary Data'!$A:$G,4,FALSE)</f>
        <v>0.44779999999999998</v>
      </c>
      <c r="N290" s="9">
        <f>VLOOKUP($A290,'Temprorary Data'!$A:$G,5,FALSE)</f>
        <v>4</v>
      </c>
      <c r="O290" s="9">
        <f>VLOOKUP($A290,'Temprorary Data'!$A:$G,6,FALSE)</f>
        <v>33</v>
      </c>
      <c r="P290" s="9">
        <f>VLOOKUP($A290,'Temprorary Data'!$A:$G,7,FALSE)</f>
        <v>37</v>
      </c>
      <c r="Q290" t="b">
        <f t="shared" si="36"/>
        <v>1</v>
      </c>
      <c r="R290" t="str">
        <f t="shared" si="37"/>
        <v>January</v>
      </c>
      <c r="S290" t="str">
        <f t="shared" si="38"/>
        <v>Thursday</v>
      </c>
      <c r="T290" t="str">
        <f t="shared" si="39"/>
        <v>Weekday</v>
      </c>
      <c r="U290" t="str">
        <f t="shared" si="40"/>
        <v>Spring</v>
      </c>
      <c r="V290" t="str">
        <f t="shared" si="41"/>
        <v>Mist</v>
      </c>
      <c r="W290" t="str">
        <f t="shared" si="42"/>
        <v>Off Peak</v>
      </c>
      <c r="X290" t="str">
        <f t="shared" si="43"/>
        <v>Low</v>
      </c>
      <c r="Y290" t="str">
        <f t="shared" si="44"/>
        <v>Medium</v>
      </c>
    </row>
    <row r="291" spans="1:25" ht="15.75" thickBot="1">
      <c r="A291" s="1">
        <v>290</v>
      </c>
      <c r="B291" s="2">
        <v>40556</v>
      </c>
      <c r="C291" s="1">
        <v>1</v>
      </c>
      <c r="D291" s="1">
        <v>0</v>
      </c>
      <c r="E291" s="1">
        <v>1</v>
      </c>
      <c r="F291" s="1">
        <v>12</v>
      </c>
      <c r="G291" s="3" t="b">
        <v>0</v>
      </c>
      <c r="H291" s="1">
        <v>4</v>
      </c>
      <c r="I291" s="1">
        <v>1</v>
      </c>
      <c r="J291" s="7">
        <v>0.2</v>
      </c>
      <c r="K291" s="8">
        <f>VLOOKUP($A291,'Temprorary Data'!$A:$G,2,FALSE)</f>
        <v>0.16669999999999999</v>
      </c>
      <c r="L291" s="8">
        <f>VLOOKUP($A291,'Temprorary Data'!$A:$G,3,FALSE)</f>
        <v>0.44</v>
      </c>
      <c r="M291" s="8">
        <f>VLOOKUP($A291,'Temprorary Data'!$A:$G,4,FALSE)</f>
        <v>0.41789999999999999</v>
      </c>
      <c r="N291" s="9">
        <f>VLOOKUP($A291,'Temprorary Data'!$A:$G,5,FALSE)</f>
        <v>3</v>
      </c>
      <c r="O291" s="9">
        <f>VLOOKUP($A291,'Temprorary Data'!$A:$G,6,FALSE)</f>
        <v>49</v>
      </c>
      <c r="P291" s="9">
        <f>VLOOKUP($A291,'Temprorary Data'!$A:$G,7,FALSE)</f>
        <v>52</v>
      </c>
      <c r="Q291" t="b">
        <f t="shared" si="36"/>
        <v>1</v>
      </c>
      <c r="R291" t="str">
        <f t="shared" si="37"/>
        <v>January</v>
      </c>
      <c r="S291" t="str">
        <f t="shared" si="38"/>
        <v>Thursday</v>
      </c>
      <c r="T291" t="str">
        <f t="shared" si="39"/>
        <v>Weekday</v>
      </c>
      <c r="U291" t="str">
        <f t="shared" si="40"/>
        <v>Spring</v>
      </c>
      <c r="V291" t="str">
        <f t="shared" si="41"/>
        <v>Clear</v>
      </c>
      <c r="W291" t="str">
        <f t="shared" si="42"/>
        <v>Off Peak</v>
      </c>
      <c r="X291" t="str">
        <f t="shared" si="43"/>
        <v>Low</v>
      </c>
      <c r="Y291" t="str">
        <f t="shared" si="44"/>
        <v>Medium</v>
      </c>
    </row>
    <row r="292" spans="1:25" ht="15.75" thickBot="1">
      <c r="A292" s="1">
        <v>291</v>
      </c>
      <c r="B292" s="2">
        <v>40556</v>
      </c>
      <c r="C292" s="1">
        <v>1</v>
      </c>
      <c r="D292" s="1">
        <v>0</v>
      </c>
      <c r="E292" s="1">
        <v>1</v>
      </c>
      <c r="F292" s="1">
        <v>13</v>
      </c>
      <c r="G292" s="3" t="b">
        <v>0</v>
      </c>
      <c r="H292" s="1">
        <v>4</v>
      </c>
      <c r="I292" s="1">
        <v>1</v>
      </c>
      <c r="J292" s="7">
        <v>0.22</v>
      </c>
      <c r="K292" s="8">
        <f>VLOOKUP($A292,'Temprorary Data'!$A:$G,2,FALSE)</f>
        <v>0.19700000000000001</v>
      </c>
      <c r="L292" s="8">
        <f>VLOOKUP($A292,'Temprorary Data'!$A:$G,3,FALSE)</f>
        <v>0.41</v>
      </c>
      <c r="M292" s="8">
        <f>VLOOKUP($A292,'Temprorary Data'!$A:$G,4,FALSE)</f>
        <v>0.44779999999999998</v>
      </c>
      <c r="N292" s="9">
        <f>VLOOKUP($A292,'Temprorary Data'!$A:$G,5,FALSE)</f>
        <v>2</v>
      </c>
      <c r="O292" s="9">
        <f>VLOOKUP($A292,'Temprorary Data'!$A:$G,6,FALSE)</f>
        <v>81</v>
      </c>
      <c r="P292" s="9">
        <f>VLOOKUP($A292,'Temprorary Data'!$A:$G,7,FALSE)</f>
        <v>83</v>
      </c>
      <c r="Q292" t="b">
        <f t="shared" si="36"/>
        <v>1</v>
      </c>
      <c r="R292" t="str">
        <f t="shared" si="37"/>
        <v>January</v>
      </c>
      <c r="S292" t="str">
        <f t="shared" si="38"/>
        <v>Thursday</v>
      </c>
      <c r="T292" t="str">
        <f t="shared" si="39"/>
        <v>Weekday</v>
      </c>
      <c r="U292" t="str">
        <f t="shared" si="40"/>
        <v>Spring</v>
      </c>
      <c r="V292" t="str">
        <f t="shared" si="41"/>
        <v>Clear</v>
      </c>
      <c r="W292" t="str">
        <f t="shared" si="42"/>
        <v>Off Peak</v>
      </c>
      <c r="X292" t="str">
        <f t="shared" si="43"/>
        <v>Low</v>
      </c>
      <c r="Y292" t="str">
        <f t="shared" si="44"/>
        <v>Medium</v>
      </c>
    </row>
    <row r="293" spans="1:25" ht="15.75" thickBot="1">
      <c r="A293" s="1">
        <v>292</v>
      </c>
      <c r="B293" s="2">
        <v>40556</v>
      </c>
      <c r="C293" s="1">
        <v>1</v>
      </c>
      <c r="D293" s="1">
        <v>0</v>
      </c>
      <c r="E293" s="1">
        <v>1</v>
      </c>
      <c r="F293" s="1">
        <v>14</v>
      </c>
      <c r="G293" s="3" t="b">
        <v>0</v>
      </c>
      <c r="H293" s="1">
        <v>4</v>
      </c>
      <c r="I293" s="1">
        <v>1</v>
      </c>
      <c r="J293" s="7">
        <v>0.22</v>
      </c>
      <c r="K293" s="8">
        <f>VLOOKUP($A293,'Temprorary Data'!$A:$G,2,FALSE)</f>
        <v>0.19700000000000001</v>
      </c>
      <c r="L293" s="8">
        <f>VLOOKUP($A293,'Temprorary Data'!$A:$G,3,FALSE)</f>
        <v>0.41</v>
      </c>
      <c r="M293" s="8">
        <f>VLOOKUP($A293,'Temprorary Data'!$A:$G,4,FALSE)</f>
        <v>0.3881</v>
      </c>
      <c r="N293" s="9">
        <f>VLOOKUP($A293,'Temprorary Data'!$A:$G,5,FALSE)</f>
        <v>3</v>
      </c>
      <c r="O293" s="9">
        <f>VLOOKUP($A293,'Temprorary Data'!$A:$G,6,FALSE)</f>
        <v>39</v>
      </c>
      <c r="P293" s="9">
        <f>VLOOKUP($A293,'Temprorary Data'!$A:$G,7,FALSE)</f>
        <v>42</v>
      </c>
      <c r="Q293" t="b">
        <f t="shared" si="36"/>
        <v>1</v>
      </c>
      <c r="R293" t="str">
        <f t="shared" si="37"/>
        <v>January</v>
      </c>
      <c r="S293" t="str">
        <f t="shared" si="38"/>
        <v>Thursday</v>
      </c>
      <c r="T293" t="str">
        <f t="shared" si="39"/>
        <v>Weekday</v>
      </c>
      <c r="U293" t="str">
        <f t="shared" si="40"/>
        <v>Spring</v>
      </c>
      <c r="V293" t="str">
        <f t="shared" si="41"/>
        <v>Clear</v>
      </c>
      <c r="W293" t="str">
        <f t="shared" si="42"/>
        <v>Off Peak</v>
      </c>
      <c r="X293" t="str">
        <f t="shared" si="43"/>
        <v>Low</v>
      </c>
      <c r="Y293" t="str">
        <f t="shared" si="44"/>
        <v>Medium</v>
      </c>
    </row>
    <row r="294" spans="1:25" ht="15.75" thickBot="1">
      <c r="A294" s="1">
        <v>293</v>
      </c>
      <c r="B294" s="2">
        <v>40556</v>
      </c>
      <c r="C294" s="1">
        <v>1</v>
      </c>
      <c r="D294" s="1">
        <v>0</v>
      </c>
      <c r="E294" s="1">
        <v>1</v>
      </c>
      <c r="F294" s="1">
        <v>15</v>
      </c>
      <c r="G294" s="3" t="b">
        <v>0</v>
      </c>
      <c r="H294" s="1">
        <v>4</v>
      </c>
      <c r="I294" s="1">
        <v>1</v>
      </c>
      <c r="J294" s="7">
        <v>0.24</v>
      </c>
      <c r="K294" s="8">
        <f>VLOOKUP($A294,'Temprorary Data'!$A:$G,2,FALSE)</f>
        <v>0.21210000000000001</v>
      </c>
      <c r="L294" s="8">
        <f>VLOOKUP($A294,'Temprorary Data'!$A:$G,3,FALSE)</f>
        <v>0.38</v>
      </c>
      <c r="M294" s="8">
        <f>VLOOKUP($A294,'Temprorary Data'!$A:$G,4,FALSE)</f>
        <v>0.29849999999999999</v>
      </c>
      <c r="N294" s="9">
        <f>VLOOKUP($A294,'Temprorary Data'!$A:$G,5,FALSE)</f>
        <v>5</v>
      </c>
      <c r="O294" s="9">
        <f>VLOOKUP($A294,'Temprorary Data'!$A:$G,6,FALSE)</f>
        <v>55</v>
      </c>
      <c r="P294" s="9">
        <f>VLOOKUP($A294,'Temprorary Data'!$A:$G,7,FALSE)</f>
        <v>60</v>
      </c>
      <c r="Q294" t="b">
        <f t="shared" si="36"/>
        <v>1</v>
      </c>
      <c r="R294" t="str">
        <f t="shared" si="37"/>
        <v>January</v>
      </c>
      <c r="S294" t="str">
        <f t="shared" si="38"/>
        <v>Thursday</v>
      </c>
      <c r="T294" t="str">
        <f t="shared" si="39"/>
        <v>Weekday</v>
      </c>
      <c r="U294" t="str">
        <f t="shared" si="40"/>
        <v>Spring</v>
      </c>
      <c r="V294" t="str">
        <f t="shared" si="41"/>
        <v>Clear</v>
      </c>
      <c r="W294" t="str">
        <f t="shared" si="42"/>
        <v>Off Peak</v>
      </c>
      <c r="X294" t="str">
        <f t="shared" si="43"/>
        <v>Low</v>
      </c>
      <c r="Y294" t="str">
        <f t="shared" si="44"/>
        <v>Low</v>
      </c>
    </row>
    <row r="295" spans="1:25" ht="15.75" thickBot="1">
      <c r="A295" s="1">
        <v>294</v>
      </c>
      <c r="B295" s="2">
        <v>40556</v>
      </c>
      <c r="C295" s="1">
        <v>1</v>
      </c>
      <c r="D295" s="1">
        <v>0</v>
      </c>
      <c r="E295" s="1">
        <v>1</v>
      </c>
      <c r="F295" s="1">
        <v>16</v>
      </c>
      <c r="G295" s="3" t="b">
        <v>0</v>
      </c>
      <c r="H295" s="1">
        <v>4</v>
      </c>
      <c r="I295" s="1">
        <v>1</v>
      </c>
      <c r="J295" s="7">
        <v>0.24</v>
      </c>
      <c r="K295" s="8">
        <f>VLOOKUP($A295,'Temprorary Data'!$A:$G,2,FALSE)</f>
        <v>0.21210000000000001</v>
      </c>
      <c r="L295" s="8">
        <f>VLOOKUP($A295,'Temprorary Data'!$A:$G,3,FALSE)</f>
        <v>0.38</v>
      </c>
      <c r="M295" s="8">
        <f>VLOOKUP($A295,'Temprorary Data'!$A:$G,4,FALSE)</f>
        <v>0.35820000000000002</v>
      </c>
      <c r="N295" s="9">
        <f>VLOOKUP($A295,'Temprorary Data'!$A:$G,5,FALSE)</f>
        <v>2</v>
      </c>
      <c r="O295" s="9">
        <f>VLOOKUP($A295,'Temprorary Data'!$A:$G,6,FALSE)</f>
        <v>76</v>
      </c>
      <c r="P295" s="9">
        <f>VLOOKUP($A295,'Temprorary Data'!$A:$G,7,FALSE)</f>
        <v>78</v>
      </c>
      <c r="Q295" t="b">
        <f t="shared" si="36"/>
        <v>1</v>
      </c>
      <c r="R295" t="str">
        <f t="shared" si="37"/>
        <v>January</v>
      </c>
      <c r="S295" t="str">
        <f t="shared" si="38"/>
        <v>Thursday</v>
      </c>
      <c r="T295" t="str">
        <f t="shared" si="39"/>
        <v>Weekday</v>
      </c>
      <c r="U295" t="str">
        <f t="shared" si="40"/>
        <v>Spring</v>
      </c>
      <c r="V295" t="str">
        <f t="shared" si="41"/>
        <v>Clear</v>
      </c>
      <c r="W295" t="str">
        <f t="shared" si="42"/>
        <v>Off Peak</v>
      </c>
      <c r="X295" t="str">
        <f t="shared" si="43"/>
        <v>Low</v>
      </c>
      <c r="Y295" t="str">
        <f t="shared" si="44"/>
        <v>Low</v>
      </c>
    </row>
    <row r="296" spans="1:25" ht="15.75" thickBot="1">
      <c r="A296" s="1">
        <v>295</v>
      </c>
      <c r="B296" s="2">
        <v>40556</v>
      </c>
      <c r="C296" s="1">
        <v>1</v>
      </c>
      <c r="D296" s="1">
        <v>0</v>
      </c>
      <c r="E296" s="1">
        <v>1</v>
      </c>
      <c r="F296" s="1">
        <v>17</v>
      </c>
      <c r="G296" s="3" t="b">
        <v>0</v>
      </c>
      <c r="H296" s="1">
        <v>4</v>
      </c>
      <c r="I296" s="1">
        <v>1</v>
      </c>
      <c r="J296" s="7">
        <v>0.2</v>
      </c>
      <c r="K296" s="8">
        <f>VLOOKUP($A296,'Temprorary Data'!$A:$G,2,FALSE)</f>
        <v>0.18179999999999999</v>
      </c>
      <c r="L296" s="8">
        <f>VLOOKUP($A296,'Temprorary Data'!$A:$G,3,FALSE)</f>
        <v>0.4</v>
      </c>
      <c r="M296" s="8">
        <f>VLOOKUP($A296,'Temprorary Data'!$A:$G,4,FALSE)</f>
        <v>0.28360000000000002</v>
      </c>
      <c r="N296" s="9">
        <f>VLOOKUP($A296,'Temprorary Data'!$A:$G,5,FALSE)</f>
        <v>4</v>
      </c>
      <c r="O296" s="9">
        <f>VLOOKUP($A296,'Temprorary Data'!$A:$G,6,FALSE)</f>
        <v>158</v>
      </c>
      <c r="P296" s="9">
        <f>VLOOKUP($A296,'Temprorary Data'!$A:$G,7,FALSE)</f>
        <v>162</v>
      </c>
      <c r="Q296" t="b">
        <f t="shared" si="36"/>
        <v>1</v>
      </c>
      <c r="R296" t="str">
        <f t="shared" si="37"/>
        <v>January</v>
      </c>
      <c r="S296" t="str">
        <f t="shared" si="38"/>
        <v>Thursday</v>
      </c>
      <c r="T296" t="str">
        <f t="shared" si="39"/>
        <v>Weekday</v>
      </c>
      <c r="U296" t="str">
        <f t="shared" si="40"/>
        <v>Spring</v>
      </c>
      <c r="V296" t="str">
        <f t="shared" si="41"/>
        <v>Clear</v>
      </c>
      <c r="W296" t="str">
        <f t="shared" si="42"/>
        <v>Evening Peak</v>
      </c>
      <c r="X296" t="str">
        <f t="shared" si="43"/>
        <v>Low</v>
      </c>
      <c r="Y296" t="str">
        <f t="shared" si="44"/>
        <v>Medium</v>
      </c>
    </row>
    <row r="297" spans="1:25" ht="15.75" thickBot="1">
      <c r="A297" s="1">
        <v>296</v>
      </c>
      <c r="B297" s="2">
        <v>40556</v>
      </c>
      <c r="C297" s="1">
        <v>1</v>
      </c>
      <c r="D297" s="1">
        <v>0</v>
      </c>
      <c r="E297" s="1">
        <v>1</v>
      </c>
      <c r="F297" s="1">
        <v>18</v>
      </c>
      <c r="G297" s="3" t="b">
        <v>0</v>
      </c>
      <c r="H297" s="1">
        <v>4</v>
      </c>
      <c r="I297" s="1">
        <v>1</v>
      </c>
      <c r="J297" s="7">
        <v>0.2</v>
      </c>
      <c r="K297" s="8">
        <f>VLOOKUP($A297,'Temprorary Data'!$A:$G,2,FALSE)</f>
        <v>0.18179999999999999</v>
      </c>
      <c r="L297" s="8">
        <f>VLOOKUP($A297,'Temprorary Data'!$A:$G,3,FALSE)</f>
        <v>0.4</v>
      </c>
      <c r="M297" s="8">
        <f>VLOOKUP($A297,'Temprorary Data'!$A:$G,4,FALSE)</f>
        <v>0.32840000000000003</v>
      </c>
      <c r="N297" s="9">
        <f>VLOOKUP($A297,'Temprorary Data'!$A:$G,5,FALSE)</f>
        <v>3</v>
      </c>
      <c r="O297" s="9">
        <f>VLOOKUP($A297,'Temprorary Data'!$A:$G,6,FALSE)</f>
        <v>141</v>
      </c>
      <c r="P297" s="9">
        <f>VLOOKUP($A297,'Temprorary Data'!$A:$G,7,FALSE)</f>
        <v>144</v>
      </c>
      <c r="Q297" t="b">
        <f t="shared" si="36"/>
        <v>1</v>
      </c>
      <c r="R297" t="str">
        <f t="shared" si="37"/>
        <v>January</v>
      </c>
      <c r="S297" t="str">
        <f t="shared" si="38"/>
        <v>Thursday</v>
      </c>
      <c r="T297" t="str">
        <f t="shared" si="39"/>
        <v>Weekday</v>
      </c>
      <c r="U297" t="str">
        <f t="shared" si="40"/>
        <v>Spring</v>
      </c>
      <c r="V297" t="str">
        <f t="shared" si="41"/>
        <v>Clear</v>
      </c>
      <c r="W297" t="str">
        <f t="shared" si="42"/>
        <v>Evening Peak</v>
      </c>
      <c r="X297" t="str">
        <f t="shared" si="43"/>
        <v>Low</v>
      </c>
      <c r="Y297" t="str">
        <f t="shared" si="44"/>
        <v>Medium</v>
      </c>
    </row>
    <row r="298" spans="1:25" ht="15.75" thickBot="1">
      <c r="A298" s="1">
        <v>297</v>
      </c>
      <c r="B298" s="2">
        <v>40556</v>
      </c>
      <c r="C298" s="1">
        <v>1</v>
      </c>
      <c r="D298" s="1">
        <v>0</v>
      </c>
      <c r="E298" s="1">
        <v>1</v>
      </c>
      <c r="F298" s="1">
        <v>19</v>
      </c>
      <c r="G298" s="3" t="b">
        <v>0</v>
      </c>
      <c r="H298" s="1">
        <v>4</v>
      </c>
      <c r="I298" s="1">
        <v>1</v>
      </c>
      <c r="J298" s="7">
        <v>0.16</v>
      </c>
      <c r="K298" s="8">
        <f>VLOOKUP($A298,'Temprorary Data'!$A:$G,2,FALSE)</f>
        <v>0.1515</v>
      </c>
      <c r="L298" s="8">
        <f>VLOOKUP($A298,'Temprorary Data'!$A:$G,3,FALSE)</f>
        <v>0.47</v>
      </c>
      <c r="M298" s="8">
        <f>VLOOKUP($A298,'Temprorary Data'!$A:$G,4,FALSE)</f>
        <v>0.25369999999999998</v>
      </c>
      <c r="N298" s="9">
        <f>VLOOKUP($A298,'Temprorary Data'!$A:$G,5,FALSE)</f>
        <v>1</v>
      </c>
      <c r="O298" s="9">
        <f>VLOOKUP($A298,'Temprorary Data'!$A:$G,6,FALSE)</f>
        <v>98</v>
      </c>
      <c r="P298" s="9">
        <f>VLOOKUP($A298,'Temprorary Data'!$A:$G,7,FALSE)</f>
        <v>99</v>
      </c>
      <c r="Q298" t="b">
        <f t="shared" si="36"/>
        <v>1</v>
      </c>
      <c r="R298" t="str">
        <f t="shared" si="37"/>
        <v>January</v>
      </c>
      <c r="S298" t="str">
        <f t="shared" si="38"/>
        <v>Thursday</v>
      </c>
      <c r="T298" t="str">
        <f t="shared" si="39"/>
        <v>Weekday</v>
      </c>
      <c r="U298" t="str">
        <f t="shared" si="40"/>
        <v>Spring</v>
      </c>
      <c r="V298" t="str">
        <f t="shared" si="41"/>
        <v>Clear</v>
      </c>
      <c r="W298" t="str">
        <f t="shared" si="42"/>
        <v>Evening Peak</v>
      </c>
      <c r="X298" t="str">
        <f t="shared" si="43"/>
        <v>Low</v>
      </c>
      <c r="Y298" t="str">
        <f t="shared" si="44"/>
        <v>Medium</v>
      </c>
    </row>
    <row r="299" spans="1:25" ht="15.75" thickBot="1">
      <c r="A299" s="1">
        <v>298</v>
      </c>
      <c r="B299" s="2">
        <v>40556</v>
      </c>
      <c r="C299" s="1">
        <v>1</v>
      </c>
      <c r="D299" s="1">
        <v>0</v>
      </c>
      <c r="E299" s="1">
        <v>1</v>
      </c>
      <c r="F299" s="1">
        <v>20</v>
      </c>
      <c r="G299" s="3" t="b">
        <v>0</v>
      </c>
      <c r="H299" s="1">
        <v>4</v>
      </c>
      <c r="I299" s="1">
        <v>1</v>
      </c>
      <c r="J299" s="7">
        <v>0.16</v>
      </c>
      <c r="K299" s="8">
        <f>VLOOKUP($A299,'Temprorary Data'!$A:$G,2,FALSE)</f>
        <v>0.1515</v>
      </c>
      <c r="L299" s="8">
        <f>VLOOKUP($A299,'Temprorary Data'!$A:$G,3,FALSE)</f>
        <v>0.47</v>
      </c>
      <c r="M299" s="8">
        <f>VLOOKUP($A299,'Temprorary Data'!$A:$G,4,FALSE)</f>
        <v>0.22389999999999999</v>
      </c>
      <c r="N299" s="9">
        <f>VLOOKUP($A299,'Temprorary Data'!$A:$G,5,FALSE)</f>
        <v>0</v>
      </c>
      <c r="O299" s="9">
        <f>VLOOKUP($A299,'Temprorary Data'!$A:$G,6,FALSE)</f>
        <v>64</v>
      </c>
      <c r="P299" s="9">
        <f>VLOOKUP($A299,'Temprorary Data'!$A:$G,7,FALSE)</f>
        <v>64</v>
      </c>
      <c r="Q299" t="b">
        <f t="shared" si="36"/>
        <v>1</v>
      </c>
      <c r="R299" t="str">
        <f t="shared" si="37"/>
        <v>January</v>
      </c>
      <c r="S299" t="str">
        <f t="shared" si="38"/>
        <v>Thursday</v>
      </c>
      <c r="T299" t="str">
        <f t="shared" si="39"/>
        <v>Weekday</v>
      </c>
      <c r="U299" t="str">
        <f t="shared" si="40"/>
        <v>Spring</v>
      </c>
      <c r="V299" t="str">
        <f t="shared" si="41"/>
        <v>Clear</v>
      </c>
      <c r="W299" t="str">
        <f t="shared" si="42"/>
        <v>Evening Peak</v>
      </c>
      <c r="X299" t="str">
        <f t="shared" si="43"/>
        <v>Low</v>
      </c>
      <c r="Y299" t="str">
        <f t="shared" si="44"/>
        <v>Medium</v>
      </c>
    </row>
    <row r="300" spans="1:25" ht="15.75" thickBot="1">
      <c r="A300" s="1">
        <v>299</v>
      </c>
      <c r="B300" s="2">
        <v>40556</v>
      </c>
      <c r="C300" s="1">
        <v>1</v>
      </c>
      <c r="D300" s="1">
        <v>0</v>
      </c>
      <c r="E300" s="1">
        <v>1</v>
      </c>
      <c r="F300" s="1">
        <v>21</v>
      </c>
      <c r="G300" s="3" t="b">
        <v>0</v>
      </c>
      <c r="H300" s="1">
        <v>4</v>
      </c>
      <c r="I300" s="1">
        <v>1</v>
      </c>
      <c r="J300" s="7">
        <v>0.14000000000000001</v>
      </c>
      <c r="K300" s="8">
        <f>VLOOKUP($A300,'Temprorary Data'!$A:$G,2,FALSE)</f>
        <v>0.1212</v>
      </c>
      <c r="L300" s="8">
        <f>VLOOKUP($A300,'Temprorary Data'!$A:$G,3,FALSE)</f>
        <v>0.46</v>
      </c>
      <c r="M300" s="8">
        <f>VLOOKUP($A300,'Temprorary Data'!$A:$G,4,FALSE)</f>
        <v>0.29849999999999999</v>
      </c>
      <c r="N300" s="9">
        <f>VLOOKUP($A300,'Temprorary Data'!$A:$G,5,FALSE)</f>
        <v>0</v>
      </c>
      <c r="O300" s="9">
        <f>VLOOKUP($A300,'Temprorary Data'!$A:$G,6,FALSE)</f>
        <v>40</v>
      </c>
      <c r="P300" s="9">
        <f>VLOOKUP($A300,'Temprorary Data'!$A:$G,7,FALSE)</f>
        <v>40</v>
      </c>
      <c r="Q300" t="b">
        <f t="shared" si="36"/>
        <v>1</v>
      </c>
      <c r="R300" t="str">
        <f t="shared" si="37"/>
        <v>January</v>
      </c>
      <c r="S300" t="str">
        <f t="shared" si="38"/>
        <v>Thursday</v>
      </c>
      <c r="T300" t="str">
        <f t="shared" si="39"/>
        <v>Weekday</v>
      </c>
      <c r="U300" t="str">
        <f t="shared" si="40"/>
        <v>Spring</v>
      </c>
      <c r="V300" t="str">
        <f t="shared" si="41"/>
        <v>Clear</v>
      </c>
      <c r="W300" t="str">
        <f t="shared" si="42"/>
        <v>Off Peak</v>
      </c>
      <c r="X300" t="str">
        <f t="shared" si="43"/>
        <v>Low</v>
      </c>
      <c r="Y300" t="str">
        <f t="shared" si="44"/>
        <v>Medium</v>
      </c>
    </row>
    <row r="301" spans="1:25" ht="15.75" thickBot="1">
      <c r="A301" s="1">
        <v>300</v>
      </c>
      <c r="B301" s="2">
        <v>40556</v>
      </c>
      <c r="C301" s="1">
        <v>1</v>
      </c>
      <c r="D301" s="1">
        <v>0</v>
      </c>
      <c r="E301" s="1">
        <v>1</v>
      </c>
      <c r="F301" s="1">
        <v>22</v>
      </c>
      <c r="G301" s="3" t="b">
        <v>0</v>
      </c>
      <c r="H301" s="1">
        <v>4</v>
      </c>
      <c r="I301" s="1">
        <v>1</v>
      </c>
      <c r="J301" s="7">
        <v>0.14000000000000001</v>
      </c>
      <c r="K301" s="8">
        <f>VLOOKUP($A301,'Temprorary Data'!$A:$G,2,FALSE)</f>
        <v>0.1212</v>
      </c>
      <c r="L301" s="8">
        <f>VLOOKUP($A301,'Temprorary Data'!$A:$G,3,FALSE)</f>
        <v>0.46</v>
      </c>
      <c r="M301" s="8">
        <f>VLOOKUP($A301,'Temprorary Data'!$A:$G,4,FALSE)</f>
        <v>0.32840000000000003</v>
      </c>
      <c r="N301" s="9">
        <f>VLOOKUP($A301,'Temprorary Data'!$A:$G,5,FALSE)</f>
        <v>0</v>
      </c>
      <c r="O301" s="9">
        <f>VLOOKUP($A301,'Temprorary Data'!$A:$G,6,FALSE)</f>
        <v>30</v>
      </c>
      <c r="P301" s="9">
        <f>VLOOKUP($A301,'Temprorary Data'!$A:$G,7,FALSE)</f>
        <v>30</v>
      </c>
      <c r="Q301" t="b">
        <f t="shared" si="36"/>
        <v>1</v>
      </c>
      <c r="R301" t="str">
        <f t="shared" si="37"/>
        <v>January</v>
      </c>
      <c r="S301" t="str">
        <f t="shared" si="38"/>
        <v>Thursday</v>
      </c>
      <c r="T301" t="str">
        <f t="shared" si="39"/>
        <v>Weekday</v>
      </c>
      <c r="U301" t="str">
        <f t="shared" si="40"/>
        <v>Spring</v>
      </c>
      <c r="V301" t="str">
        <f t="shared" si="41"/>
        <v>Clear</v>
      </c>
      <c r="W301" t="str">
        <f t="shared" si="42"/>
        <v>Off Peak</v>
      </c>
      <c r="X301" t="str">
        <f t="shared" si="43"/>
        <v>Low</v>
      </c>
      <c r="Y301" t="str">
        <f t="shared" si="44"/>
        <v>Medium</v>
      </c>
    </row>
    <row r="302" spans="1:25" ht="15.75" thickBot="1">
      <c r="A302" s="1">
        <v>301</v>
      </c>
      <c r="B302" s="2">
        <v>40556</v>
      </c>
      <c r="C302" s="1">
        <v>1</v>
      </c>
      <c r="D302" s="1">
        <v>0</v>
      </c>
      <c r="E302" s="1">
        <v>1</v>
      </c>
      <c r="F302" s="1">
        <v>23</v>
      </c>
      <c r="G302" s="3" t="b">
        <v>0</v>
      </c>
      <c r="H302" s="1">
        <v>4</v>
      </c>
      <c r="I302" s="1">
        <v>1</v>
      </c>
      <c r="J302" s="7">
        <v>0.12</v>
      </c>
      <c r="K302" s="8">
        <f>VLOOKUP($A302,'Temprorary Data'!$A:$G,2,FALSE)</f>
        <v>0.13639999999999999</v>
      </c>
      <c r="L302" s="8">
        <f>VLOOKUP($A302,'Temprorary Data'!$A:$G,3,FALSE)</f>
        <v>0.5</v>
      </c>
      <c r="M302" s="8">
        <f>VLOOKUP($A302,'Temprorary Data'!$A:$G,4,FALSE)</f>
        <v>0.19400000000000001</v>
      </c>
      <c r="N302" s="9">
        <f>VLOOKUP($A302,'Temprorary Data'!$A:$G,5,FALSE)</f>
        <v>1</v>
      </c>
      <c r="O302" s="9">
        <f>VLOOKUP($A302,'Temprorary Data'!$A:$G,6,FALSE)</f>
        <v>14</v>
      </c>
      <c r="P302" s="9">
        <f>VLOOKUP($A302,'Temprorary Data'!$A:$G,7,FALSE)</f>
        <v>15</v>
      </c>
      <c r="Q302" t="b">
        <f t="shared" si="36"/>
        <v>1</v>
      </c>
      <c r="R302" t="str">
        <f t="shared" si="37"/>
        <v>January</v>
      </c>
      <c r="S302" t="str">
        <f t="shared" si="38"/>
        <v>Thursday</v>
      </c>
      <c r="T302" t="str">
        <f t="shared" si="39"/>
        <v>Weekday</v>
      </c>
      <c r="U302" t="str">
        <f t="shared" si="40"/>
        <v>Spring</v>
      </c>
      <c r="V302" t="str">
        <f t="shared" si="41"/>
        <v>Clear</v>
      </c>
      <c r="W302" t="str">
        <f t="shared" si="42"/>
        <v>Off Peak</v>
      </c>
      <c r="X302" t="str">
        <f t="shared" si="43"/>
        <v>Low</v>
      </c>
      <c r="Y302" t="str">
        <f t="shared" si="44"/>
        <v>Medium</v>
      </c>
    </row>
    <row r="303" spans="1:25" ht="15.75" thickBot="1">
      <c r="A303" s="1">
        <v>302</v>
      </c>
      <c r="B303" s="2">
        <v>40557</v>
      </c>
      <c r="C303" s="1">
        <v>1</v>
      </c>
      <c r="D303" s="1">
        <v>0</v>
      </c>
      <c r="E303" s="1">
        <v>1</v>
      </c>
      <c r="F303" s="1">
        <v>0</v>
      </c>
      <c r="G303" s="3" t="b">
        <v>0</v>
      </c>
      <c r="H303" s="1">
        <v>5</v>
      </c>
      <c r="I303" s="1">
        <v>1</v>
      </c>
      <c r="J303" s="7">
        <v>0.12</v>
      </c>
      <c r="K303" s="8">
        <f>VLOOKUP($A303,'Temprorary Data'!$A:$G,2,FALSE)</f>
        <v>0.13639999999999999</v>
      </c>
      <c r="L303" s="8">
        <f>VLOOKUP($A303,'Temprorary Data'!$A:$G,3,FALSE)</f>
        <v>0.5</v>
      </c>
      <c r="M303" s="8">
        <f>VLOOKUP($A303,'Temprorary Data'!$A:$G,4,FALSE)</f>
        <v>0.19400000000000001</v>
      </c>
      <c r="N303" s="9">
        <f>VLOOKUP($A303,'Temprorary Data'!$A:$G,5,FALSE)</f>
        <v>0</v>
      </c>
      <c r="O303" s="9">
        <f>VLOOKUP($A303,'Temprorary Data'!$A:$G,6,FALSE)</f>
        <v>14</v>
      </c>
      <c r="P303" s="9">
        <f>VLOOKUP($A303,'Temprorary Data'!$A:$G,7,FALSE)</f>
        <v>14</v>
      </c>
      <c r="Q303" t="b">
        <f t="shared" si="36"/>
        <v>1</v>
      </c>
      <c r="R303" t="str">
        <f t="shared" si="37"/>
        <v>January</v>
      </c>
      <c r="S303" t="str">
        <f t="shared" si="38"/>
        <v>Friday</v>
      </c>
      <c r="T303" t="str">
        <f t="shared" si="39"/>
        <v>Weekday</v>
      </c>
      <c r="U303" t="str">
        <f t="shared" si="40"/>
        <v>Spring</v>
      </c>
      <c r="V303" t="str">
        <f t="shared" si="41"/>
        <v>Clear</v>
      </c>
      <c r="W303" t="str">
        <f t="shared" si="42"/>
        <v>Off Peak</v>
      </c>
      <c r="X303" t="str">
        <f t="shared" si="43"/>
        <v>Low</v>
      </c>
      <c r="Y303" t="str">
        <f t="shared" si="44"/>
        <v>Medium</v>
      </c>
    </row>
    <row r="304" spans="1:25" ht="15.75" thickBot="1">
      <c r="A304" s="1">
        <v>303</v>
      </c>
      <c r="B304" s="2">
        <v>40557</v>
      </c>
      <c r="C304" s="1">
        <v>1</v>
      </c>
      <c r="D304" s="1">
        <v>0</v>
      </c>
      <c r="E304" s="1">
        <v>1</v>
      </c>
      <c r="F304" s="1">
        <v>1</v>
      </c>
      <c r="G304" s="3" t="b">
        <v>0</v>
      </c>
      <c r="H304" s="1">
        <v>5</v>
      </c>
      <c r="I304" s="1">
        <v>1</v>
      </c>
      <c r="J304" s="7">
        <v>0.1</v>
      </c>
      <c r="K304" s="8">
        <f>VLOOKUP($A304,'Temprorary Data'!$A:$G,2,FALSE)</f>
        <v>0.1212</v>
      </c>
      <c r="L304" s="8">
        <f>VLOOKUP($A304,'Temprorary Data'!$A:$G,3,FALSE)</f>
        <v>0.54</v>
      </c>
      <c r="M304" s="8">
        <f>VLOOKUP($A304,'Temprorary Data'!$A:$G,4,FALSE)</f>
        <v>0.16420000000000001</v>
      </c>
      <c r="N304" s="9">
        <f>VLOOKUP($A304,'Temprorary Data'!$A:$G,5,FALSE)</f>
        <v>0</v>
      </c>
      <c r="O304" s="9">
        <f>VLOOKUP($A304,'Temprorary Data'!$A:$G,6,FALSE)</f>
        <v>5</v>
      </c>
      <c r="P304" s="9">
        <f>VLOOKUP($A304,'Temprorary Data'!$A:$G,7,FALSE)</f>
        <v>5</v>
      </c>
      <c r="Q304" t="b">
        <f t="shared" si="36"/>
        <v>1</v>
      </c>
      <c r="R304" t="str">
        <f t="shared" si="37"/>
        <v>January</v>
      </c>
      <c r="S304" t="str">
        <f t="shared" si="38"/>
        <v>Friday</v>
      </c>
      <c r="T304" t="str">
        <f t="shared" si="39"/>
        <v>Weekday</v>
      </c>
      <c r="U304" t="str">
        <f t="shared" si="40"/>
        <v>Spring</v>
      </c>
      <c r="V304" t="str">
        <f t="shared" si="41"/>
        <v>Clear</v>
      </c>
      <c r="W304" t="str">
        <f t="shared" si="42"/>
        <v>Off Peak</v>
      </c>
      <c r="X304" t="str">
        <f t="shared" si="43"/>
        <v>Low</v>
      </c>
      <c r="Y304" t="str">
        <f t="shared" si="44"/>
        <v>Medium</v>
      </c>
    </row>
    <row r="305" spans="1:25" ht="15.75" thickBot="1">
      <c r="A305" s="1">
        <v>304</v>
      </c>
      <c r="B305" s="2">
        <v>40557</v>
      </c>
      <c r="C305" s="1">
        <v>1</v>
      </c>
      <c r="D305" s="1">
        <v>0</v>
      </c>
      <c r="E305" s="1">
        <v>1</v>
      </c>
      <c r="F305" s="1">
        <v>2</v>
      </c>
      <c r="G305" s="3" t="b">
        <v>0</v>
      </c>
      <c r="H305" s="1">
        <v>5</v>
      </c>
      <c r="I305" s="1">
        <v>1</v>
      </c>
      <c r="J305" s="7">
        <v>0.1</v>
      </c>
      <c r="K305" s="8">
        <f>VLOOKUP($A305,'Temprorary Data'!$A:$G,2,FALSE)</f>
        <v>0.1212</v>
      </c>
      <c r="L305" s="8">
        <f>VLOOKUP($A305,'Temprorary Data'!$A:$G,3,FALSE)</f>
        <v>0.54</v>
      </c>
      <c r="M305" s="8">
        <f>VLOOKUP($A305,'Temprorary Data'!$A:$G,4,FALSE)</f>
        <v>0.1343</v>
      </c>
      <c r="N305" s="9">
        <f>VLOOKUP($A305,'Temprorary Data'!$A:$G,5,FALSE)</f>
        <v>0</v>
      </c>
      <c r="O305" s="9">
        <f>VLOOKUP($A305,'Temprorary Data'!$A:$G,6,FALSE)</f>
        <v>1</v>
      </c>
      <c r="P305" s="9">
        <f>VLOOKUP($A305,'Temprorary Data'!$A:$G,7,FALSE)</f>
        <v>1</v>
      </c>
      <c r="Q305" t="b">
        <f t="shared" si="36"/>
        <v>1</v>
      </c>
      <c r="R305" t="str">
        <f t="shared" si="37"/>
        <v>January</v>
      </c>
      <c r="S305" t="str">
        <f t="shared" si="38"/>
        <v>Friday</v>
      </c>
      <c r="T305" t="str">
        <f t="shared" si="39"/>
        <v>Weekday</v>
      </c>
      <c r="U305" t="str">
        <f t="shared" si="40"/>
        <v>Spring</v>
      </c>
      <c r="V305" t="str">
        <f t="shared" si="41"/>
        <v>Clear</v>
      </c>
      <c r="W305" t="str">
        <f t="shared" si="42"/>
        <v>Off Peak</v>
      </c>
      <c r="X305" t="str">
        <f t="shared" si="43"/>
        <v>Low</v>
      </c>
      <c r="Y305" t="str">
        <f t="shared" si="44"/>
        <v>Medium</v>
      </c>
    </row>
    <row r="306" spans="1:25" ht="15.75" thickBot="1">
      <c r="A306" s="1">
        <v>305</v>
      </c>
      <c r="B306" s="2">
        <v>40557</v>
      </c>
      <c r="C306" s="1">
        <v>1</v>
      </c>
      <c r="D306" s="1">
        <v>0</v>
      </c>
      <c r="E306" s="1">
        <v>1</v>
      </c>
      <c r="F306" s="1">
        <v>3</v>
      </c>
      <c r="G306" s="3" t="b">
        <v>0</v>
      </c>
      <c r="H306" s="1">
        <v>5</v>
      </c>
      <c r="I306" s="1">
        <v>1</v>
      </c>
      <c r="J306" s="7">
        <v>0.1</v>
      </c>
      <c r="K306" s="8">
        <f>VLOOKUP($A306,'Temprorary Data'!$A:$G,2,FALSE)</f>
        <v>0.13639999999999999</v>
      </c>
      <c r="L306" s="8">
        <f>VLOOKUP($A306,'Temprorary Data'!$A:$G,3,FALSE)</f>
        <v>0.54</v>
      </c>
      <c r="M306" s="8">
        <f>VLOOKUP($A306,'Temprorary Data'!$A:$G,4,FALSE)</f>
        <v>0.1045</v>
      </c>
      <c r="N306" s="9">
        <f>VLOOKUP($A306,'Temprorary Data'!$A:$G,5,FALSE)</f>
        <v>0</v>
      </c>
      <c r="O306" s="9">
        <f>VLOOKUP($A306,'Temprorary Data'!$A:$G,6,FALSE)</f>
        <v>1</v>
      </c>
      <c r="P306" s="9">
        <f>VLOOKUP($A306,'Temprorary Data'!$A:$G,7,FALSE)</f>
        <v>1</v>
      </c>
      <c r="Q306" t="b">
        <f t="shared" si="36"/>
        <v>1</v>
      </c>
      <c r="R306" t="str">
        <f t="shared" si="37"/>
        <v>January</v>
      </c>
      <c r="S306" t="str">
        <f t="shared" si="38"/>
        <v>Friday</v>
      </c>
      <c r="T306" t="str">
        <f t="shared" si="39"/>
        <v>Weekday</v>
      </c>
      <c r="U306" t="str">
        <f t="shared" si="40"/>
        <v>Spring</v>
      </c>
      <c r="V306" t="str">
        <f t="shared" si="41"/>
        <v>Clear</v>
      </c>
      <c r="W306" t="str">
        <f t="shared" si="42"/>
        <v>Off Peak</v>
      </c>
      <c r="X306" t="str">
        <f t="shared" si="43"/>
        <v>Low</v>
      </c>
      <c r="Y306" t="str">
        <f t="shared" si="44"/>
        <v>Medium</v>
      </c>
    </row>
    <row r="307" spans="1:25" ht="15.75" thickBot="1">
      <c r="A307" s="1">
        <v>306</v>
      </c>
      <c r="B307" s="2">
        <v>40557</v>
      </c>
      <c r="C307" s="1">
        <v>1</v>
      </c>
      <c r="D307" s="1">
        <v>0</v>
      </c>
      <c r="E307" s="1">
        <v>1</v>
      </c>
      <c r="F307" s="1">
        <v>5</v>
      </c>
      <c r="G307" s="3" t="b">
        <v>0</v>
      </c>
      <c r="H307" s="1">
        <v>5</v>
      </c>
      <c r="I307" s="1">
        <v>1</v>
      </c>
      <c r="J307" s="7">
        <v>0.1</v>
      </c>
      <c r="K307" s="8">
        <f>VLOOKUP($A307,'Temprorary Data'!$A:$G,2,FALSE)</f>
        <v>0.13639999999999999</v>
      </c>
      <c r="L307" s="8">
        <f>VLOOKUP($A307,'Temprorary Data'!$A:$G,3,FALSE)</f>
        <v>0.54</v>
      </c>
      <c r="M307" s="8">
        <f>VLOOKUP($A307,'Temprorary Data'!$A:$G,4,FALSE)</f>
        <v>8.9599999999999999E-2</v>
      </c>
      <c r="N307" s="9">
        <f>VLOOKUP($A307,'Temprorary Data'!$A:$G,5,FALSE)</f>
        <v>0</v>
      </c>
      <c r="O307" s="9">
        <f>VLOOKUP($A307,'Temprorary Data'!$A:$G,6,FALSE)</f>
        <v>8</v>
      </c>
      <c r="P307" s="9">
        <f>VLOOKUP($A307,'Temprorary Data'!$A:$G,7,FALSE)</f>
        <v>8</v>
      </c>
      <c r="Q307" t="b">
        <f t="shared" si="36"/>
        <v>1</v>
      </c>
      <c r="R307" t="str">
        <f t="shared" si="37"/>
        <v>January</v>
      </c>
      <c r="S307" t="str">
        <f t="shared" si="38"/>
        <v>Friday</v>
      </c>
      <c r="T307" t="str">
        <f t="shared" si="39"/>
        <v>Weekday</v>
      </c>
      <c r="U307" t="str">
        <f t="shared" si="40"/>
        <v>Spring</v>
      </c>
      <c r="V307" t="str">
        <f t="shared" si="41"/>
        <v>Clear</v>
      </c>
      <c r="W307" t="str">
        <f t="shared" si="42"/>
        <v>Off Peak</v>
      </c>
      <c r="X307" t="str">
        <f t="shared" si="43"/>
        <v>Low</v>
      </c>
      <c r="Y307" t="str">
        <f t="shared" si="44"/>
        <v>Medium</v>
      </c>
    </row>
    <row r="308" spans="1:25" ht="15.75" thickBot="1">
      <c r="A308" s="1">
        <v>307</v>
      </c>
      <c r="B308" s="2">
        <v>40557</v>
      </c>
      <c r="C308" s="1">
        <v>1</v>
      </c>
      <c r="D308" s="1">
        <v>0</v>
      </c>
      <c r="E308" s="1">
        <v>1</v>
      </c>
      <c r="F308" s="1">
        <v>6</v>
      </c>
      <c r="G308" s="3" t="b">
        <v>0</v>
      </c>
      <c r="H308" s="1">
        <v>5</v>
      </c>
      <c r="I308" s="1">
        <v>1</v>
      </c>
      <c r="J308" s="7">
        <v>0.1</v>
      </c>
      <c r="K308" s="8">
        <f>VLOOKUP($A308,'Temprorary Data'!$A:$G,2,FALSE)</f>
        <v>0.18179999999999999</v>
      </c>
      <c r="L308" s="8">
        <f>VLOOKUP($A308,'Temprorary Data'!$A:$G,3,FALSE)</f>
        <v>0.54</v>
      </c>
      <c r="M308" s="8">
        <f>VLOOKUP($A308,'Temprorary Data'!$A:$G,4,FALSE)</f>
        <v>0</v>
      </c>
      <c r="N308" s="9">
        <f>VLOOKUP($A308,'Temprorary Data'!$A:$G,5,FALSE)</f>
        <v>0</v>
      </c>
      <c r="O308" s="9">
        <f>VLOOKUP($A308,'Temprorary Data'!$A:$G,6,FALSE)</f>
        <v>17</v>
      </c>
      <c r="P308" s="9">
        <f>VLOOKUP($A308,'Temprorary Data'!$A:$G,7,FALSE)</f>
        <v>17</v>
      </c>
      <c r="Q308" t="b">
        <f t="shared" si="36"/>
        <v>1</v>
      </c>
      <c r="R308" t="str">
        <f t="shared" si="37"/>
        <v>January</v>
      </c>
      <c r="S308" t="str">
        <f t="shared" si="38"/>
        <v>Friday</v>
      </c>
      <c r="T308" t="str">
        <f t="shared" si="39"/>
        <v>Weekday</v>
      </c>
      <c r="U308" t="str">
        <f t="shared" si="40"/>
        <v>Spring</v>
      </c>
      <c r="V308" t="str">
        <f t="shared" si="41"/>
        <v>Clear</v>
      </c>
      <c r="W308" t="str">
        <f t="shared" si="42"/>
        <v>Off Peak</v>
      </c>
      <c r="X308" t="str">
        <f t="shared" si="43"/>
        <v>Low</v>
      </c>
      <c r="Y308" t="str">
        <f t="shared" si="44"/>
        <v>Medium</v>
      </c>
    </row>
    <row r="309" spans="1:25" ht="15.75" thickBot="1">
      <c r="A309" s="1">
        <v>308</v>
      </c>
      <c r="B309" s="2">
        <v>40557</v>
      </c>
      <c r="C309" s="1">
        <v>1</v>
      </c>
      <c r="D309" s="1">
        <v>0</v>
      </c>
      <c r="E309" s="1">
        <v>1</v>
      </c>
      <c r="F309" s="1">
        <v>7</v>
      </c>
      <c r="G309" s="3" t="b">
        <v>0</v>
      </c>
      <c r="H309" s="1">
        <v>5</v>
      </c>
      <c r="I309" s="1">
        <v>1</v>
      </c>
      <c r="J309" s="7">
        <v>0.1</v>
      </c>
      <c r="K309" s="8">
        <f>VLOOKUP($A309,'Temprorary Data'!$A:$G,2,FALSE)</f>
        <v>0.1212</v>
      </c>
      <c r="L309" s="8">
        <f>VLOOKUP($A309,'Temprorary Data'!$A:$G,3,FALSE)</f>
        <v>0.74</v>
      </c>
      <c r="M309" s="8">
        <f>VLOOKUP($A309,'Temprorary Data'!$A:$G,4,FALSE)</f>
        <v>0.16420000000000001</v>
      </c>
      <c r="N309" s="9">
        <f>VLOOKUP($A309,'Temprorary Data'!$A:$G,5,FALSE)</f>
        <v>0</v>
      </c>
      <c r="O309" s="9">
        <f>VLOOKUP($A309,'Temprorary Data'!$A:$G,6,FALSE)</f>
        <v>70</v>
      </c>
      <c r="P309" s="9">
        <f>VLOOKUP($A309,'Temprorary Data'!$A:$G,7,FALSE)</f>
        <v>70</v>
      </c>
      <c r="Q309" t="b">
        <f t="shared" si="36"/>
        <v>1</v>
      </c>
      <c r="R309" t="str">
        <f t="shared" si="37"/>
        <v>January</v>
      </c>
      <c r="S309" t="str">
        <f t="shared" si="38"/>
        <v>Friday</v>
      </c>
      <c r="T309" t="str">
        <f t="shared" si="39"/>
        <v>Weekday</v>
      </c>
      <c r="U309" t="str">
        <f t="shared" si="40"/>
        <v>Spring</v>
      </c>
      <c r="V309" t="str">
        <f t="shared" si="41"/>
        <v>Clear</v>
      </c>
      <c r="W309" t="str">
        <f t="shared" si="42"/>
        <v>Morning Peak</v>
      </c>
      <c r="X309" t="str">
        <f t="shared" si="43"/>
        <v>Low</v>
      </c>
      <c r="Y309" t="str">
        <f t="shared" si="44"/>
        <v>High</v>
      </c>
    </row>
    <row r="310" spans="1:25" ht="15.75" thickBot="1">
      <c r="A310" s="1">
        <v>309</v>
      </c>
      <c r="B310" s="2">
        <v>40557</v>
      </c>
      <c r="C310" s="1">
        <v>1</v>
      </c>
      <c r="D310" s="1">
        <v>0</v>
      </c>
      <c r="E310" s="1">
        <v>1</v>
      </c>
      <c r="F310" s="1">
        <v>8</v>
      </c>
      <c r="G310" s="3" t="b">
        <v>0</v>
      </c>
      <c r="H310" s="1">
        <v>5</v>
      </c>
      <c r="I310" s="1">
        <v>1</v>
      </c>
      <c r="J310" s="7">
        <v>0.12</v>
      </c>
      <c r="K310" s="8">
        <f>VLOOKUP($A310,'Temprorary Data'!$A:$G,2,FALSE)</f>
        <v>0.16669999999999999</v>
      </c>
      <c r="L310" s="8">
        <f>VLOOKUP($A310,'Temprorary Data'!$A:$G,3,FALSE)</f>
        <v>0.68</v>
      </c>
      <c r="M310" s="8">
        <f>VLOOKUP($A310,'Temprorary Data'!$A:$G,4,FALSE)</f>
        <v>0</v>
      </c>
      <c r="N310" s="9">
        <f>VLOOKUP($A310,'Temprorary Data'!$A:$G,5,FALSE)</f>
        <v>2</v>
      </c>
      <c r="O310" s="9">
        <f>VLOOKUP($A310,'Temprorary Data'!$A:$G,6,FALSE)</f>
        <v>156</v>
      </c>
      <c r="P310" s="9">
        <f>VLOOKUP($A310,'Temprorary Data'!$A:$G,7,FALSE)</f>
        <v>158</v>
      </c>
      <c r="Q310" t="b">
        <f t="shared" si="36"/>
        <v>1</v>
      </c>
      <c r="R310" t="str">
        <f t="shared" si="37"/>
        <v>January</v>
      </c>
      <c r="S310" t="str">
        <f t="shared" si="38"/>
        <v>Friday</v>
      </c>
      <c r="T310" t="str">
        <f t="shared" si="39"/>
        <v>Weekday</v>
      </c>
      <c r="U310" t="str">
        <f t="shared" si="40"/>
        <v>Spring</v>
      </c>
      <c r="V310" t="str">
        <f t="shared" si="41"/>
        <v>Clear</v>
      </c>
      <c r="W310" t="str">
        <f t="shared" si="42"/>
        <v>Morning Peak</v>
      </c>
      <c r="X310" t="str">
        <f t="shared" si="43"/>
        <v>Low</v>
      </c>
      <c r="Y310" t="str">
        <f t="shared" si="44"/>
        <v>Medium</v>
      </c>
    </row>
    <row r="311" spans="1:25" ht="15.75" thickBot="1">
      <c r="A311" s="1">
        <v>310</v>
      </c>
      <c r="B311" s="2">
        <v>40557</v>
      </c>
      <c r="C311" s="1">
        <v>1</v>
      </c>
      <c r="D311" s="1">
        <v>0</v>
      </c>
      <c r="E311" s="1">
        <v>1</v>
      </c>
      <c r="F311" s="1">
        <v>9</v>
      </c>
      <c r="G311" s="3" t="b">
        <v>0</v>
      </c>
      <c r="H311" s="1">
        <v>5</v>
      </c>
      <c r="I311" s="1">
        <v>1</v>
      </c>
      <c r="J311" s="7">
        <v>0.14000000000000001</v>
      </c>
      <c r="K311" s="8">
        <f>VLOOKUP($A311,'Temprorary Data'!$A:$G,2,FALSE)</f>
        <v>0.1515</v>
      </c>
      <c r="L311" s="8">
        <f>VLOOKUP($A311,'Temprorary Data'!$A:$G,3,FALSE)</f>
        <v>0.69</v>
      </c>
      <c r="M311" s="8">
        <f>VLOOKUP($A311,'Temprorary Data'!$A:$G,4,FALSE)</f>
        <v>0.1343</v>
      </c>
      <c r="N311" s="9">
        <f>VLOOKUP($A311,'Temprorary Data'!$A:$G,5,FALSE)</f>
        <v>0</v>
      </c>
      <c r="O311" s="9">
        <f>VLOOKUP($A311,'Temprorary Data'!$A:$G,6,FALSE)</f>
        <v>117</v>
      </c>
      <c r="P311" s="9">
        <f>VLOOKUP($A311,'Temprorary Data'!$A:$G,7,FALSE)</f>
        <v>117</v>
      </c>
      <c r="Q311" t="b">
        <f t="shared" si="36"/>
        <v>1</v>
      </c>
      <c r="R311" t="str">
        <f t="shared" si="37"/>
        <v>January</v>
      </c>
      <c r="S311" t="str">
        <f t="shared" si="38"/>
        <v>Friday</v>
      </c>
      <c r="T311" t="str">
        <f t="shared" si="39"/>
        <v>Weekday</v>
      </c>
      <c r="U311" t="str">
        <f t="shared" si="40"/>
        <v>Spring</v>
      </c>
      <c r="V311" t="str">
        <f t="shared" si="41"/>
        <v>Clear</v>
      </c>
      <c r="W311" t="str">
        <f t="shared" si="42"/>
        <v>Morning Peak</v>
      </c>
      <c r="X311" t="str">
        <f t="shared" si="43"/>
        <v>Low</v>
      </c>
      <c r="Y311" t="str">
        <f t="shared" si="44"/>
        <v>Medium</v>
      </c>
    </row>
    <row r="312" spans="1:25" ht="15.75" thickBot="1">
      <c r="A312" s="1">
        <v>311</v>
      </c>
      <c r="B312" s="2">
        <v>40557</v>
      </c>
      <c r="C312" s="1">
        <v>1</v>
      </c>
      <c r="D312" s="1">
        <v>0</v>
      </c>
      <c r="E312" s="1">
        <v>1</v>
      </c>
      <c r="F312" s="1">
        <v>10</v>
      </c>
      <c r="G312" s="3" t="b">
        <v>0</v>
      </c>
      <c r="H312" s="1">
        <v>5</v>
      </c>
      <c r="I312" s="1">
        <v>1</v>
      </c>
      <c r="J312" s="7">
        <v>0.18</v>
      </c>
      <c r="K312" s="8">
        <f>VLOOKUP($A312,'Temprorary Data'!$A:$G,2,FALSE)</f>
        <v>0.18179999999999999</v>
      </c>
      <c r="L312" s="8">
        <f>VLOOKUP($A312,'Temprorary Data'!$A:$G,3,FALSE)</f>
        <v>0.55000000000000004</v>
      </c>
      <c r="M312" s="8">
        <f>VLOOKUP($A312,'Temprorary Data'!$A:$G,4,FALSE)</f>
        <v>0.19400000000000001</v>
      </c>
      <c r="N312" s="9">
        <f>VLOOKUP($A312,'Temprorary Data'!$A:$G,5,FALSE)</f>
        <v>4</v>
      </c>
      <c r="O312" s="9">
        <f>VLOOKUP($A312,'Temprorary Data'!$A:$G,6,FALSE)</f>
        <v>40</v>
      </c>
      <c r="P312" s="9">
        <f>VLOOKUP($A312,'Temprorary Data'!$A:$G,7,FALSE)</f>
        <v>44</v>
      </c>
      <c r="Q312" t="b">
        <f t="shared" si="36"/>
        <v>1</v>
      </c>
      <c r="R312" t="str">
        <f t="shared" si="37"/>
        <v>January</v>
      </c>
      <c r="S312" t="str">
        <f t="shared" si="38"/>
        <v>Friday</v>
      </c>
      <c r="T312" t="str">
        <f t="shared" si="39"/>
        <v>Weekday</v>
      </c>
      <c r="U312" t="str">
        <f t="shared" si="40"/>
        <v>Spring</v>
      </c>
      <c r="V312" t="str">
        <f t="shared" si="41"/>
        <v>Clear</v>
      </c>
      <c r="W312" t="str">
        <f t="shared" si="42"/>
        <v>Off Peak</v>
      </c>
      <c r="X312" t="str">
        <f t="shared" si="43"/>
        <v>Low</v>
      </c>
      <c r="Y312" t="str">
        <f t="shared" si="44"/>
        <v>Medium</v>
      </c>
    </row>
    <row r="313" spans="1:25" ht="15.75" thickBot="1">
      <c r="A313" s="1">
        <v>312</v>
      </c>
      <c r="B313" s="2">
        <v>40557</v>
      </c>
      <c r="C313" s="1">
        <v>1</v>
      </c>
      <c r="D313" s="1">
        <v>0</v>
      </c>
      <c r="E313" s="1">
        <v>1</v>
      </c>
      <c r="F313" s="1">
        <v>11</v>
      </c>
      <c r="G313" s="3" t="b">
        <v>0</v>
      </c>
      <c r="H313" s="1">
        <v>5</v>
      </c>
      <c r="I313" s="1">
        <v>1</v>
      </c>
      <c r="J313" s="7">
        <v>0.18</v>
      </c>
      <c r="K313" s="8">
        <f>VLOOKUP($A313,'Temprorary Data'!$A:$G,2,FALSE)</f>
        <v>0.16669999999999999</v>
      </c>
      <c r="L313" s="8">
        <f>VLOOKUP($A313,'Temprorary Data'!$A:$G,3,FALSE)</f>
        <v>0.51</v>
      </c>
      <c r="M313" s="8">
        <f>VLOOKUP($A313,'Temprorary Data'!$A:$G,4,FALSE)</f>
        <v>0.28360000000000002</v>
      </c>
      <c r="N313" s="9">
        <f>VLOOKUP($A313,'Temprorary Data'!$A:$G,5,FALSE)</f>
        <v>6</v>
      </c>
      <c r="O313" s="9">
        <f>VLOOKUP($A313,'Temprorary Data'!$A:$G,6,FALSE)</f>
        <v>47</v>
      </c>
      <c r="P313" s="9">
        <f>VLOOKUP($A313,'Temprorary Data'!$A:$G,7,FALSE)</f>
        <v>53</v>
      </c>
      <c r="Q313" t="b">
        <f t="shared" si="36"/>
        <v>1</v>
      </c>
      <c r="R313" t="str">
        <f t="shared" si="37"/>
        <v>January</v>
      </c>
      <c r="S313" t="str">
        <f t="shared" si="38"/>
        <v>Friday</v>
      </c>
      <c r="T313" t="str">
        <f t="shared" si="39"/>
        <v>Weekday</v>
      </c>
      <c r="U313" t="str">
        <f t="shared" si="40"/>
        <v>Spring</v>
      </c>
      <c r="V313" t="str">
        <f t="shared" si="41"/>
        <v>Clear</v>
      </c>
      <c r="W313" t="str">
        <f t="shared" si="42"/>
        <v>Off Peak</v>
      </c>
      <c r="X313" t="str">
        <f t="shared" si="43"/>
        <v>Low</v>
      </c>
      <c r="Y313" t="str">
        <f t="shared" si="44"/>
        <v>Medium</v>
      </c>
    </row>
    <row r="314" spans="1:25" ht="15.75" thickBot="1">
      <c r="A314" s="1">
        <v>313</v>
      </c>
      <c r="B314" s="2">
        <v>40557</v>
      </c>
      <c r="C314" s="1">
        <v>1</v>
      </c>
      <c r="D314" s="1">
        <v>0</v>
      </c>
      <c r="E314" s="1">
        <v>1</v>
      </c>
      <c r="F314" s="1">
        <v>12</v>
      </c>
      <c r="G314" s="3" t="b">
        <v>0</v>
      </c>
      <c r="H314" s="1">
        <v>5</v>
      </c>
      <c r="I314" s="1">
        <v>1</v>
      </c>
      <c r="J314" s="7">
        <v>0.2</v>
      </c>
      <c r="K314" s="8">
        <f>VLOOKUP($A314,'Temprorary Data'!$A:$G,2,FALSE)</f>
        <v>0.19700000000000001</v>
      </c>
      <c r="L314" s="8">
        <f>VLOOKUP($A314,'Temprorary Data'!$A:$G,3,FALSE)</f>
        <v>0.44</v>
      </c>
      <c r="M314" s="8">
        <f>VLOOKUP($A314,'Temprorary Data'!$A:$G,4,FALSE)</f>
        <v>0.25369999999999998</v>
      </c>
      <c r="N314" s="9">
        <f>VLOOKUP($A314,'Temprorary Data'!$A:$G,5,FALSE)</f>
        <v>2</v>
      </c>
      <c r="O314" s="9">
        <f>VLOOKUP($A314,'Temprorary Data'!$A:$G,6,FALSE)</f>
        <v>59</v>
      </c>
      <c r="P314" s="9">
        <f>VLOOKUP($A314,'Temprorary Data'!$A:$G,7,FALSE)</f>
        <v>61</v>
      </c>
      <c r="Q314" t="b">
        <f t="shared" si="36"/>
        <v>1</v>
      </c>
      <c r="R314" t="str">
        <f t="shared" si="37"/>
        <v>January</v>
      </c>
      <c r="S314" t="str">
        <f t="shared" si="38"/>
        <v>Friday</v>
      </c>
      <c r="T314" t="str">
        <f t="shared" si="39"/>
        <v>Weekday</v>
      </c>
      <c r="U314" t="str">
        <f t="shared" si="40"/>
        <v>Spring</v>
      </c>
      <c r="V314" t="str">
        <f t="shared" si="41"/>
        <v>Clear</v>
      </c>
      <c r="W314" t="str">
        <f t="shared" si="42"/>
        <v>Off Peak</v>
      </c>
      <c r="X314" t="str">
        <f t="shared" si="43"/>
        <v>Low</v>
      </c>
      <c r="Y314" t="str">
        <f t="shared" si="44"/>
        <v>Medium</v>
      </c>
    </row>
    <row r="315" spans="1:25" ht="15.75" thickBot="1">
      <c r="A315" s="1">
        <v>314</v>
      </c>
      <c r="B315" s="2">
        <v>40557</v>
      </c>
      <c r="C315" s="1">
        <v>1</v>
      </c>
      <c r="D315" s="1">
        <v>0</v>
      </c>
      <c r="E315" s="1">
        <v>1</v>
      </c>
      <c r="F315" s="1">
        <v>13</v>
      </c>
      <c r="G315" s="3" t="b">
        <v>0</v>
      </c>
      <c r="H315" s="1">
        <v>5</v>
      </c>
      <c r="I315" s="1">
        <v>1</v>
      </c>
      <c r="J315" s="7">
        <v>0.22</v>
      </c>
      <c r="K315" s="8">
        <f>VLOOKUP($A315,'Temprorary Data'!$A:$G,2,FALSE)</f>
        <v>0.19700000000000001</v>
      </c>
      <c r="L315" s="8">
        <f>VLOOKUP($A315,'Temprorary Data'!$A:$G,3,FALSE)</f>
        <v>0.37</v>
      </c>
      <c r="M315" s="8">
        <f>VLOOKUP($A315,'Temprorary Data'!$A:$G,4,FALSE)</f>
        <v>0.3881</v>
      </c>
      <c r="N315" s="9">
        <f>VLOOKUP($A315,'Temprorary Data'!$A:$G,5,FALSE)</f>
        <v>4</v>
      </c>
      <c r="O315" s="9">
        <f>VLOOKUP($A315,'Temprorary Data'!$A:$G,6,FALSE)</f>
        <v>73</v>
      </c>
      <c r="P315" s="9">
        <f>VLOOKUP($A315,'Temprorary Data'!$A:$G,7,FALSE)</f>
        <v>77</v>
      </c>
      <c r="Q315" t="b">
        <f t="shared" si="36"/>
        <v>1</v>
      </c>
      <c r="R315" t="str">
        <f t="shared" si="37"/>
        <v>January</v>
      </c>
      <c r="S315" t="str">
        <f t="shared" si="38"/>
        <v>Friday</v>
      </c>
      <c r="T315" t="str">
        <f t="shared" si="39"/>
        <v>Weekday</v>
      </c>
      <c r="U315" t="str">
        <f t="shared" si="40"/>
        <v>Spring</v>
      </c>
      <c r="V315" t="str">
        <f t="shared" si="41"/>
        <v>Clear</v>
      </c>
      <c r="W315" t="str">
        <f t="shared" si="42"/>
        <v>Off Peak</v>
      </c>
      <c r="X315" t="str">
        <f t="shared" si="43"/>
        <v>Low</v>
      </c>
      <c r="Y315" t="str">
        <f t="shared" si="44"/>
        <v>Low</v>
      </c>
    </row>
    <row r="316" spans="1:25" ht="15.75" thickBot="1">
      <c r="A316" s="1">
        <v>315</v>
      </c>
      <c r="B316" s="2">
        <v>40557</v>
      </c>
      <c r="C316" s="1">
        <v>1</v>
      </c>
      <c r="D316" s="1">
        <v>0</v>
      </c>
      <c r="E316" s="1">
        <v>1</v>
      </c>
      <c r="F316" s="1">
        <v>14</v>
      </c>
      <c r="G316" s="3" t="b">
        <v>0</v>
      </c>
      <c r="H316" s="1">
        <v>5</v>
      </c>
      <c r="I316" s="1">
        <v>1</v>
      </c>
      <c r="J316" s="7">
        <v>0.22</v>
      </c>
      <c r="K316" s="8">
        <f>VLOOKUP($A316,'Temprorary Data'!$A:$G,2,FALSE)</f>
        <v>0.21210000000000001</v>
      </c>
      <c r="L316" s="8">
        <f>VLOOKUP($A316,'Temprorary Data'!$A:$G,3,FALSE)</f>
        <v>0.41</v>
      </c>
      <c r="M316" s="8">
        <f>VLOOKUP($A316,'Temprorary Data'!$A:$G,4,FALSE)</f>
        <v>0.28360000000000002</v>
      </c>
      <c r="N316" s="9">
        <f>VLOOKUP($A316,'Temprorary Data'!$A:$G,5,FALSE)</f>
        <v>5</v>
      </c>
      <c r="O316" s="9">
        <f>VLOOKUP($A316,'Temprorary Data'!$A:$G,6,FALSE)</f>
        <v>59</v>
      </c>
      <c r="P316" s="9">
        <f>VLOOKUP($A316,'Temprorary Data'!$A:$G,7,FALSE)</f>
        <v>64</v>
      </c>
      <c r="Q316" t="b">
        <f t="shared" si="36"/>
        <v>1</v>
      </c>
      <c r="R316" t="str">
        <f t="shared" si="37"/>
        <v>January</v>
      </c>
      <c r="S316" t="str">
        <f t="shared" si="38"/>
        <v>Friday</v>
      </c>
      <c r="T316" t="str">
        <f t="shared" si="39"/>
        <v>Weekday</v>
      </c>
      <c r="U316" t="str">
        <f t="shared" si="40"/>
        <v>Spring</v>
      </c>
      <c r="V316" t="str">
        <f t="shared" si="41"/>
        <v>Clear</v>
      </c>
      <c r="W316" t="str">
        <f t="shared" si="42"/>
        <v>Off Peak</v>
      </c>
      <c r="X316" t="str">
        <f t="shared" si="43"/>
        <v>Low</v>
      </c>
      <c r="Y316" t="str">
        <f t="shared" si="44"/>
        <v>Medium</v>
      </c>
    </row>
    <row r="317" spans="1:25" ht="15.75" thickBot="1">
      <c r="A317" s="1">
        <v>316</v>
      </c>
      <c r="B317" s="2">
        <v>40557</v>
      </c>
      <c r="C317" s="1">
        <v>1</v>
      </c>
      <c r="D317" s="1">
        <v>0</v>
      </c>
      <c r="E317" s="1">
        <v>1</v>
      </c>
      <c r="F317" s="1">
        <v>15</v>
      </c>
      <c r="G317" s="3" t="b">
        <v>0</v>
      </c>
      <c r="H317" s="1">
        <v>5</v>
      </c>
      <c r="I317" s="1">
        <v>1</v>
      </c>
      <c r="J317" s="7">
        <v>0.24</v>
      </c>
      <c r="K317" s="8">
        <f>VLOOKUP($A317,'Temprorary Data'!$A:$G,2,FALSE)</f>
        <v>0.2424</v>
      </c>
      <c r="L317" s="8">
        <f>VLOOKUP($A317,'Temprorary Data'!$A:$G,3,FALSE)</f>
        <v>0.38</v>
      </c>
      <c r="M317" s="8">
        <f>VLOOKUP($A317,'Temprorary Data'!$A:$G,4,FALSE)</f>
        <v>0.16420000000000001</v>
      </c>
      <c r="N317" s="9">
        <f>VLOOKUP($A317,'Temprorary Data'!$A:$G,5,FALSE)</f>
        <v>9</v>
      </c>
      <c r="O317" s="9">
        <f>VLOOKUP($A317,'Temprorary Data'!$A:$G,6,FALSE)</f>
        <v>59</v>
      </c>
      <c r="P317" s="9">
        <f>VLOOKUP($A317,'Temprorary Data'!$A:$G,7,FALSE)</f>
        <v>68</v>
      </c>
      <c r="Q317" t="b">
        <f t="shared" si="36"/>
        <v>1</v>
      </c>
      <c r="R317" t="str">
        <f t="shared" si="37"/>
        <v>January</v>
      </c>
      <c r="S317" t="str">
        <f t="shared" si="38"/>
        <v>Friday</v>
      </c>
      <c r="T317" t="str">
        <f t="shared" si="39"/>
        <v>Weekday</v>
      </c>
      <c r="U317" t="str">
        <f t="shared" si="40"/>
        <v>Spring</v>
      </c>
      <c r="V317" t="str">
        <f t="shared" si="41"/>
        <v>Clear</v>
      </c>
      <c r="W317" t="str">
        <f t="shared" si="42"/>
        <v>Off Peak</v>
      </c>
      <c r="X317" t="str">
        <f t="shared" si="43"/>
        <v>Low</v>
      </c>
      <c r="Y317" t="str">
        <f t="shared" si="44"/>
        <v>Low</v>
      </c>
    </row>
    <row r="318" spans="1:25" ht="15.75" thickBot="1">
      <c r="A318" s="1">
        <v>317</v>
      </c>
      <c r="B318" s="2">
        <v>40557</v>
      </c>
      <c r="C318" s="1">
        <v>1</v>
      </c>
      <c r="D318" s="1">
        <v>0</v>
      </c>
      <c r="E318" s="1">
        <v>1</v>
      </c>
      <c r="F318" s="1">
        <v>16</v>
      </c>
      <c r="G318" s="3" t="b">
        <v>0</v>
      </c>
      <c r="H318" s="1">
        <v>5</v>
      </c>
      <c r="I318" s="1">
        <v>1</v>
      </c>
      <c r="J318" s="7">
        <v>0.22</v>
      </c>
      <c r="K318" s="8">
        <f>VLOOKUP($A318,'Temprorary Data'!$A:$G,2,FALSE)</f>
        <v>0.2424</v>
      </c>
      <c r="L318" s="8">
        <f>VLOOKUP($A318,'Temprorary Data'!$A:$G,3,FALSE)</f>
        <v>0.41</v>
      </c>
      <c r="M318" s="8">
        <f>VLOOKUP($A318,'Temprorary Data'!$A:$G,4,FALSE)</f>
        <v>0.1045</v>
      </c>
      <c r="N318" s="9">
        <f>VLOOKUP($A318,'Temprorary Data'!$A:$G,5,FALSE)</f>
        <v>3</v>
      </c>
      <c r="O318" s="9">
        <f>VLOOKUP($A318,'Temprorary Data'!$A:$G,6,FALSE)</f>
        <v>87</v>
      </c>
      <c r="P318" s="9">
        <f>VLOOKUP($A318,'Temprorary Data'!$A:$G,7,FALSE)</f>
        <v>90</v>
      </c>
      <c r="Q318" t="b">
        <f t="shared" si="36"/>
        <v>1</v>
      </c>
      <c r="R318" t="str">
        <f t="shared" si="37"/>
        <v>January</v>
      </c>
      <c r="S318" t="str">
        <f t="shared" si="38"/>
        <v>Friday</v>
      </c>
      <c r="T318" t="str">
        <f t="shared" si="39"/>
        <v>Weekday</v>
      </c>
      <c r="U318" t="str">
        <f t="shared" si="40"/>
        <v>Spring</v>
      </c>
      <c r="V318" t="str">
        <f t="shared" si="41"/>
        <v>Clear</v>
      </c>
      <c r="W318" t="str">
        <f t="shared" si="42"/>
        <v>Off Peak</v>
      </c>
      <c r="X318" t="str">
        <f t="shared" si="43"/>
        <v>Low</v>
      </c>
      <c r="Y318" t="str">
        <f t="shared" si="44"/>
        <v>Medium</v>
      </c>
    </row>
    <row r="319" spans="1:25" ht="15.75" thickBot="1">
      <c r="A319" s="1">
        <v>318</v>
      </c>
      <c r="B319" s="2">
        <v>40557</v>
      </c>
      <c r="C319" s="1">
        <v>1</v>
      </c>
      <c r="D319" s="1">
        <v>0</v>
      </c>
      <c r="E319" s="1">
        <v>1</v>
      </c>
      <c r="F319" s="1">
        <v>17</v>
      </c>
      <c r="G319" s="3" t="b">
        <v>0</v>
      </c>
      <c r="H319" s="1">
        <v>5</v>
      </c>
      <c r="I319" s="1">
        <v>1</v>
      </c>
      <c r="J319" s="7">
        <v>0.22</v>
      </c>
      <c r="K319" s="8">
        <f>VLOOKUP($A319,'Temprorary Data'!$A:$G,2,FALSE)</f>
        <v>0.2273</v>
      </c>
      <c r="L319" s="8">
        <f>VLOOKUP($A319,'Temprorary Data'!$A:$G,3,FALSE)</f>
        <v>0.41</v>
      </c>
      <c r="M319" s="8">
        <f>VLOOKUP($A319,'Temprorary Data'!$A:$G,4,FALSE)</f>
        <v>0.16420000000000001</v>
      </c>
      <c r="N319" s="9">
        <f>VLOOKUP($A319,'Temprorary Data'!$A:$G,5,FALSE)</f>
        <v>4</v>
      </c>
      <c r="O319" s="9">
        <f>VLOOKUP($A319,'Temprorary Data'!$A:$G,6,FALSE)</f>
        <v>155</v>
      </c>
      <c r="P319" s="9">
        <f>VLOOKUP($A319,'Temprorary Data'!$A:$G,7,FALSE)</f>
        <v>159</v>
      </c>
      <c r="Q319" t="b">
        <f t="shared" si="36"/>
        <v>1</v>
      </c>
      <c r="R319" t="str">
        <f t="shared" si="37"/>
        <v>January</v>
      </c>
      <c r="S319" t="str">
        <f t="shared" si="38"/>
        <v>Friday</v>
      </c>
      <c r="T319" t="str">
        <f t="shared" si="39"/>
        <v>Weekday</v>
      </c>
      <c r="U319" t="str">
        <f t="shared" si="40"/>
        <v>Spring</v>
      </c>
      <c r="V319" t="str">
        <f t="shared" si="41"/>
        <v>Clear</v>
      </c>
      <c r="W319" t="str">
        <f t="shared" si="42"/>
        <v>Evening Peak</v>
      </c>
      <c r="X319" t="str">
        <f t="shared" si="43"/>
        <v>Low</v>
      </c>
      <c r="Y319" t="str">
        <f t="shared" si="44"/>
        <v>Medium</v>
      </c>
    </row>
    <row r="320" spans="1:25" ht="15.75" thickBot="1">
      <c r="A320" s="1">
        <v>319</v>
      </c>
      <c r="B320" s="2">
        <v>40557</v>
      </c>
      <c r="C320" s="1">
        <v>1</v>
      </c>
      <c r="D320" s="1">
        <v>0</v>
      </c>
      <c r="E320" s="1">
        <v>1</v>
      </c>
      <c r="F320" s="1">
        <v>18</v>
      </c>
      <c r="G320" s="3" t="b">
        <v>0</v>
      </c>
      <c r="H320" s="1">
        <v>5</v>
      </c>
      <c r="I320" s="1">
        <v>1</v>
      </c>
      <c r="J320" s="7">
        <v>0.2</v>
      </c>
      <c r="K320" s="8">
        <f>VLOOKUP($A320,'Temprorary Data'!$A:$G,2,FALSE)</f>
        <v>0.2576</v>
      </c>
      <c r="L320" s="8">
        <f>VLOOKUP($A320,'Temprorary Data'!$A:$G,3,FALSE)</f>
        <v>0.47</v>
      </c>
      <c r="M320" s="8">
        <f>VLOOKUP($A320,'Temprorary Data'!$A:$G,4,FALSE)</f>
        <v>0</v>
      </c>
      <c r="N320" s="9">
        <f>VLOOKUP($A320,'Temprorary Data'!$A:$G,5,FALSE)</f>
        <v>5</v>
      </c>
      <c r="O320" s="9">
        <f>VLOOKUP($A320,'Temprorary Data'!$A:$G,6,FALSE)</f>
        <v>134</v>
      </c>
      <c r="P320" s="9">
        <f>VLOOKUP($A320,'Temprorary Data'!$A:$G,7,FALSE)</f>
        <v>139</v>
      </c>
      <c r="Q320" t="b">
        <f t="shared" si="36"/>
        <v>1</v>
      </c>
      <c r="R320" t="str">
        <f t="shared" si="37"/>
        <v>January</v>
      </c>
      <c r="S320" t="str">
        <f t="shared" si="38"/>
        <v>Friday</v>
      </c>
      <c r="T320" t="str">
        <f t="shared" si="39"/>
        <v>Weekday</v>
      </c>
      <c r="U320" t="str">
        <f t="shared" si="40"/>
        <v>Spring</v>
      </c>
      <c r="V320" t="str">
        <f t="shared" si="41"/>
        <v>Clear</v>
      </c>
      <c r="W320" t="str">
        <f t="shared" si="42"/>
        <v>Evening Peak</v>
      </c>
      <c r="X320" t="str">
        <f t="shared" si="43"/>
        <v>Low</v>
      </c>
      <c r="Y320" t="str">
        <f t="shared" si="44"/>
        <v>Medium</v>
      </c>
    </row>
    <row r="321" spans="1:25" ht="15.75" thickBot="1">
      <c r="A321" s="1">
        <v>320</v>
      </c>
      <c r="B321" s="2">
        <v>40557</v>
      </c>
      <c r="C321" s="1">
        <v>1</v>
      </c>
      <c r="D321" s="1">
        <v>0</v>
      </c>
      <c r="E321" s="1">
        <v>1</v>
      </c>
      <c r="F321" s="1">
        <v>19</v>
      </c>
      <c r="G321" s="3" t="b">
        <v>0</v>
      </c>
      <c r="H321" s="1">
        <v>5</v>
      </c>
      <c r="I321" s="1">
        <v>1</v>
      </c>
      <c r="J321" s="7">
        <v>0.16</v>
      </c>
      <c r="K321" s="8">
        <f>VLOOKUP($A321,'Temprorary Data'!$A:$G,2,FALSE)</f>
        <v>0.19700000000000001</v>
      </c>
      <c r="L321" s="8">
        <f>VLOOKUP($A321,'Temprorary Data'!$A:$G,3,FALSE)</f>
        <v>0.59</v>
      </c>
      <c r="M321" s="8">
        <f>VLOOKUP($A321,'Temprorary Data'!$A:$G,4,FALSE)</f>
        <v>8.9599999999999999E-2</v>
      </c>
      <c r="N321" s="9">
        <f>VLOOKUP($A321,'Temprorary Data'!$A:$G,5,FALSE)</f>
        <v>3</v>
      </c>
      <c r="O321" s="9">
        <f>VLOOKUP($A321,'Temprorary Data'!$A:$G,6,FALSE)</f>
        <v>89</v>
      </c>
      <c r="P321" s="9">
        <f>VLOOKUP($A321,'Temprorary Data'!$A:$G,7,FALSE)</f>
        <v>92</v>
      </c>
      <c r="Q321" t="b">
        <f t="shared" si="36"/>
        <v>1</v>
      </c>
      <c r="R321" t="str">
        <f t="shared" si="37"/>
        <v>January</v>
      </c>
      <c r="S321" t="str">
        <f t="shared" si="38"/>
        <v>Friday</v>
      </c>
      <c r="T321" t="str">
        <f t="shared" si="39"/>
        <v>Weekday</v>
      </c>
      <c r="U321" t="str">
        <f t="shared" si="40"/>
        <v>Spring</v>
      </c>
      <c r="V321" t="str">
        <f t="shared" si="41"/>
        <v>Clear</v>
      </c>
      <c r="W321" t="str">
        <f t="shared" si="42"/>
        <v>Evening Peak</v>
      </c>
      <c r="X321" t="str">
        <f t="shared" si="43"/>
        <v>Low</v>
      </c>
      <c r="Y321" t="str">
        <f t="shared" si="44"/>
        <v>Medium</v>
      </c>
    </row>
    <row r="322" spans="1:25" ht="15.75" thickBot="1">
      <c r="A322" s="1">
        <v>321</v>
      </c>
      <c r="B322" s="2">
        <v>40557</v>
      </c>
      <c r="C322" s="1">
        <v>1</v>
      </c>
      <c r="D322" s="1">
        <v>0</v>
      </c>
      <c r="E322" s="1">
        <v>1</v>
      </c>
      <c r="F322" s="1">
        <v>20</v>
      </c>
      <c r="G322" s="3" t="b">
        <v>0</v>
      </c>
      <c r="H322" s="1">
        <v>5</v>
      </c>
      <c r="I322" s="1">
        <v>1</v>
      </c>
      <c r="J322" s="7">
        <v>0.18</v>
      </c>
      <c r="K322" s="8">
        <f>VLOOKUP($A322,'Temprorary Data'!$A:$G,2,FALSE)</f>
        <v>0.2424</v>
      </c>
      <c r="L322" s="8">
        <f>VLOOKUP($A322,'Temprorary Data'!$A:$G,3,FALSE)</f>
        <v>0.59</v>
      </c>
      <c r="M322" s="8">
        <f>VLOOKUP($A322,'Temprorary Data'!$A:$G,4,FALSE)</f>
        <v>0</v>
      </c>
      <c r="N322" s="9">
        <f>VLOOKUP($A322,'Temprorary Data'!$A:$G,5,FALSE)</f>
        <v>0</v>
      </c>
      <c r="O322" s="9">
        <f>VLOOKUP($A322,'Temprorary Data'!$A:$G,6,FALSE)</f>
        <v>68</v>
      </c>
      <c r="P322" s="9">
        <f>VLOOKUP($A322,'Temprorary Data'!$A:$G,7,FALSE)</f>
        <v>68</v>
      </c>
      <c r="Q322" t="b">
        <f t="shared" si="36"/>
        <v>1</v>
      </c>
      <c r="R322" t="str">
        <f t="shared" si="37"/>
        <v>January</v>
      </c>
      <c r="S322" t="str">
        <f t="shared" si="38"/>
        <v>Friday</v>
      </c>
      <c r="T322" t="str">
        <f t="shared" si="39"/>
        <v>Weekday</v>
      </c>
      <c r="U322" t="str">
        <f t="shared" si="40"/>
        <v>Spring</v>
      </c>
      <c r="V322" t="str">
        <f t="shared" si="41"/>
        <v>Clear</v>
      </c>
      <c r="W322" t="str">
        <f t="shared" si="42"/>
        <v>Evening Peak</v>
      </c>
      <c r="X322" t="str">
        <f t="shared" si="43"/>
        <v>Low</v>
      </c>
      <c r="Y322" t="str">
        <f t="shared" si="44"/>
        <v>Medium</v>
      </c>
    </row>
    <row r="323" spans="1:25" ht="15.75" thickBot="1">
      <c r="A323" s="1">
        <v>322</v>
      </c>
      <c r="B323" s="2">
        <v>40557</v>
      </c>
      <c r="C323" s="1">
        <v>1</v>
      </c>
      <c r="D323" s="1">
        <v>0</v>
      </c>
      <c r="E323" s="1">
        <v>1</v>
      </c>
      <c r="F323" s="1">
        <v>21</v>
      </c>
      <c r="G323" s="3" t="b">
        <v>0</v>
      </c>
      <c r="H323" s="1">
        <v>5</v>
      </c>
      <c r="I323" s="1">
        <v>1</v>
      </c>
      <c r="J323" s="7">
        <v>0.16</v>
      </c>
      <c r="K323" s="8">
        <f>VLOOKUP($A323,'Temprorary Data'!$A:$G,2,FALSE)</f>
        <v>0.2273</v>
      </c>
      <c r="L323" s="8">
        <f>VLOOKUP($A323,'Temprorary Data'!$A:$G,3,FALSE)</f>
        <v>0.69</v>
      </c>
      <c r="M323" s="8">
        <f>VLOOKUP($A323,'Temprorary Data'!$A:$G,4,FALSE)</f>
        <v>0</v>
      </c>
      <c r="N323" s="9">
        <f>VLOOKUP($A323,'Temprorary Data'!$A:$G,5,FALSE)</f>
        <v>4</v>
      </c>
      <c r="O323" s="9">
        <f>VLOOKUP($A323,'Temprorary Data'!$A:$G,6,FALSE)</f>
        <v>48</v>
      </c>
      <c r="P323" s="9">
        <f>VLOOKUP($A323,'Temprorary Data'!$A:$G,7,FALSE)</f>
        <v>52</v>
      </c>
      <c r="Q323" t="b">
        <f t="shared" ref="Q323:Q386" si="45">N323+O323=P323</f>
        <v>1</v>
      </c>
      <c r="R323" t="str">
        <f t="shared" ref="R323:R386" si="46">TEXT(B323,"mmmm")</f>
        <v>January</v>
      </c>
      <c r="S323" t="str">
        <f t="shared" ref="S323:S386" si="47">TEXT(B323,"dddd")</f>
        <v>Friday</v>
      </c>
      <c r="T323" t="str">
        <f t="shared" ref="T323:T386" si="48">IF(OR(H323=0,H323=6),"Weekend","Weekday")</f>
        <v>Weekday</v>
      </c>
      <c r="U323" t="str">
        <f t="shared" ref="U323:U386" si="49">IF(C323=1,"Spring",IF(C323=2,"Summer",IF(C323=3,"Fall","Winter")))</f>
        <v>Spring</v>
      </c>
      <c r="V323" t="str">
        <f t="shared" ref="V323:V386" si="50">IF(I323=1,"Clear",IF(I323=2,"Mist",IF(I323=3,"Light Rain","Heavy Rain")))</f>
        <v>Clear</v>
      </c>
      <c r="W323" t="str">
        <f t="shared" ref="W323:W386" si="51">IF(AND(F323&gt;=7,F323&lt;=9),"Morning Peak",IF(AND(F323&gt;=17,F323&lt;=20),"Evening Peak","Off Peak"))</f>
        <v>Off Peak</v>
      </c>
      <c r="X323" t="str">
        <f t="shared" ref="X323:X386" si="52">IF(J323&lt;0.3,"Low",IF(J323&lt;0.6,"Medium","High"))</f>
        <v>Low</v>
      </c>
      <c r="Y323" t="str">
        <f t="shared" ref="Y323:Y386" si="53">IF(L323&lt;0.4,"Low",IF(L323&lt;0.7,"Medium","High"))</f>
        <v>Medium</v>
      </c>
    </row>
    <row r="324" spans="1:25" ht="15.75" thickBot="1">
      <c r="A324" s="1">
        <v>323</v>
      </c>
      <c r="B324" s="2">
        <v>40557</v>
      </c>
      <c r="C324" s="1">
        <v>1</v>
      </c>
      <c r="D324" s="1">
        <v>0</v>
      </c>
      <c r="E324" s="1">
        <v>1</v>
      </c>
      <c r="F324" s="1">
        <v>22</v>
      </c>
      <c r="G324" s="3" t="b">
        <v>0</v>
      </c>
      <c r="H324" s="1">
        <v>5</v>
      </c>
      <c r="I324" s="1">
        <v>2</v>
      </c>
      <c r="J324" s="7">
        <v>0.16</v>
      </c>
      <c r="K324" s="8">
        <f>VLOOKUP($A324,'Temprorary Data'!$A:$G,2,FALSE)</f>
        <v>0.2273</v>
      </c>
      <c r="L324" s="8">
        <f>VLOOKUP($A324,'Temprorary Data'!$A:$G,3,FALSE)</f>
        <v>0.69</v>
      </c>
      <c r="M324" s="8">
        <f>VLOOKUP($A324,'Temprorary Data'!$A:$G,4,FALSE)</f>
        <v>0</v>
      </c>
      <c r="N324" s="9">
        <f>VLOOKUP($A324,'Temprorary Data'!$A:$G,5,FALSE)</f>
        <v>2</v>
      </c>
      <c r="O324" s="9">
        <f>VLOOKUP($A324,'Temprorary Data'!$A:$G,6,FALSE)</f>
        <v>34</v>
      </c>
      <c r="P324" s="9">
        <f>VLOOKUP($A324,'Temprorary Data'!$A:$G,7,FALSE)</f>
        <v>36</v>
      </c>
      <c r="Q324" t="b">
        <f t="shared" si="45"/>
        <v>1</v>
      </c>
      <c r="R324" t="str">
        <f t="shared" si="46"/>
        <v>January</v>
      </c>
      <c r="S324" t="str">
        <f t="shared" si="47"/>
        <v>Friday</v>
      </c>
      <c r="T324" t="str">
        <f t="shared" si="48"/>
        <v>Weekday</v>
      </c>
      <c r="U324" t="str">
        <f t="shared" si="49"/>
        <v>Spring</v>
      </c>
      <c r="V324" t="str">
        <f t="shared" si="50"/>
        <v>Mist</v>
      </c>
      <c r="W324" t="str">
        <f t="shared" si="51"/>
        <v>Off Peak</v>
      </c>
      <c r="X324" t="str">
        <f t="shared" si="52"/>
        <v>Low</v>
      </c>
      <c r="Y324" t="str">
        <f t="shared" si="53"/>
        <v>Medium</v>
      </c>
    </row>
    <row r="325" spans="1:25" ht="15.75" thickBot="1">
      <c r="A325" s="1">
        <v>324</v>
      </c>
      <c r="B325" s="2">
        <v>40557</v>
      </c>
      <c r="C325" s="1">
        <v>1</v>
      </c>
      <c r="D325" s="1">
        <v>0</v>
      </c>
      <c r="E325" s="1">
        <v>1</v>
      </c>
      <c r="F325" s="1">
        <v>23</v>
      </c>
      <c r="G325" s="3" t="b">
        <v>0</v>
      </c>
      <c r="H325" s="1">
        <v>5</v>
      </c>
      <c r="I325" s="1">
        <v>2</v>
      </c>
      <c r="J325" s="7">
        <v>0.18</v>
      </c>
      <c r="K325" s="8">
        <f>VLOOKUP($A325,'Temprorary Data'!$A:$G,2,FALSE)</f>
        <v>0.2424</v>
      </c>
      <c r="L325" s="8">
        <f>VLOOKUP($A325,'Temprorary Data'!$A:$G,3,FALSE)</f>
        <v>0.55000000000000004</v>
      </c>
      <c r="M325" s="8">
        <f>VLOOKUP($A325,'Temprorary Data'!$A:$G,4,FALSE)</f>
        <v>0</v>
      </c>
      <c r="N325" s="9">
        <f>VLOOKUP($A325,'Temprorary Data'!$A:$G,5,FALSE)</f>
        <v>1</v>
      </c>
      <c r="O325" s="9">
        <f>VLOOKUP($A325,'Temprorary Data'!$A:$G,6,FALSE)</f>
        <v>26</v>
      </c>
      <c r="P325" s="9">
        <f>VLOOKUP($A325,'Temprorary Data'!$A:$G,7,FALSE)</f>
        <v>27</v>
      </c>
      <c r="Q325" t="b">
        <f t="shared" si="45"/>
        <v>1</v>
      </c>
      <c r="R325" t="str">
        <f t="shared" si="46"/>
        <v>January</v>
      </c>
      <c r="S325" t="str">
        <f t="shared" si="47"/>
        <v>Friday</v>
      </c>
      <c r="T325" t="str">
        <f t="shared" si="48"/>
        <v>Weekday</v>
      </c>
      <c r="U325" t="str">
        <f t="shared" si="49"/>
        <v>Spring</v>
      </c>
      <c r="V325" t="str">
        <f t="shared" si="50"/>
        <v>Mist</v>
      </c>
      <c r="W325" t="str">
        <f t="shared" si="51"/>
        <v>Off Peak</v>
      </c>
      <c r="X325" t="str">
        <f t="shared" si="52"/>
        <v>Low</v>
      </c>
      <c r="Y325" t="str">
        <f t="shared" si="53"/>
        <v>Medium</v>
      </c>
    </row>
    <row r="326" spans="1:25" ht="15.75" thickBot="1">
      <c r="A326" s="1">
        <v>325</v>
      </c>
      <c r="B326" s="2">
        <v>40558</v>
      </c>
      <c r="C326" s="1">
        <v>1</v>
      </c>
      <c r="D326" s="1">
        <v>0</v>
      </c>
      <c r="E326" s="1">
        <v>1</v>
      </c>
      <c r="F326" s="1">
        <v>0</v>
      </c>
      <c r="G326" s="3" t="b">
        <v>0</v>
      </c>
      <c r="H326" s="1">
        <v>6</v>
      </c>
      <c r="I326" s="1">
        <v>1</v>
      </c>
      <c r="J326" s="7">
        <v>0.18</v>
      </c>
      <c r="K326" s="8">
        <f>VLOOKUP($A326,'Temprorary Data'!$A:$G,2,FALSE)</f>
        <v>0.2424</v>
      </c>
      <c r="L326" s="8">
        <f>VLOOKUP($A326,'Temprorary Data'!$A:$G,3,FALSE)</f>
        <v>0.55000000000000004</v>
      </c>
      <c r="M326" s="8">
        <f>VLOOKUP($A326,'Temprorary Data'!$A:$G,4,FALSE)</f>
        <v>0</v>
      </c>
      <c r="N326" s="9">
        <f>VLOOKUP($A326,'Temprorary Data'!$A:$G,5,FALSE)</f>
        <v>3</v>
      </c>
      <c r="O326" s="9">
        <f>VLOOKUP($A326,'Temprorary Data'!$A:$G,6,FALSE)</f>
        <v>25</v>
      </c>
      <c r="P326" s="9">
        <f>VLOOKUP($A326,'Temprorary Data'!$A:$G,7,FALSE)</f>
        <v>28</v>
      </c>
      <c r="Q326" t="b">
        <f t="shared" si="45"/>
        <v>1</v>
      </c>
      <c r="R326" t="str">
        <f t="shared" si="46"/>
        <v>January</v>
      </c>
      <c r="S326" t="str">
        <f t="shared" si="47"/>
        <v>Saturday</v>
      </c>
      <c r="T326" t="str">
        <f t="shared" si="48"/>
        <v>Weekend</v>
      </c>
      <c r="U326" t="str">
        <f t="shared" si="49"/>
        <v>Spring</v>
      </c>
      <c r="V326" t="str">
        <f t="shared" si="50"/>
        <v>Clear</v>
      </c>
      <c r="W326" t="str">
        <f t="shared" si="51"/>
        <v>Off Peak</v>
      </c>
      <c r="X326" t="str">
        <f t="shared" si="52"/>
        <v>Low</v>
      </c>
      <c r="Y326" t="str">
        <f t="shared" si="53"/>
        <v>Medium</v>
      </c>
    </row>
    <row r="327" spans="1:25" ht="15.75" thickBot="1">
      <c r="A327" s="1">
        <v>326</v>
      </c>
      <c r="B327" s="2">
        <v>40558</v>
      </c>
      <c r="C327" s="1">
        <v>1</v>
      </c>
      <c r="D327" s="1">
        <v>0</v>
      </c>
      <c r="E327" s="1">
        <v>1</v>
      </c>
      <c r="F327" s="1">
        <v>1</v>
      </c>
      <c r="G327" s="3" t="b">
        <v>0</v>
      </c>
      <c r="H327" s="1">
        <v>6</v>
      </c>
      <c r="I327" s="1">
        <v>2</v>
      </c>
      <c r="J327" s="7">
        <v>0.16</v>
      </c>
      <c r="K327" s="8">
        <f>VLOOKUP($A327,'Temprorary Data'!$A:$G,2,FALSE)</f>
        <v>0.19700000000000001</v>
      </c>
      <c r="L327" s="8">
        <f>VLOOKUP($A327,'Temprorary Data'!$A:$G,3,FALSE)</f>
        <v>0.59</v>
      </c>
      <c r="M327" s="8">
        <f>VLOOKUP($A327,'Temprorary Data'!$A:$G,4,FALSE)</f>
        <v>8.9599999999999999E-2</v>
      </c>
      <c r="N327" s="9">
        <f>VLOOKUP($A327,'Temprorary Data'!$A:$G,5,FALSE)</f>
        <v>2</v>
      </c>
      <c r="O327" s="9">
        <f>VLOOKUP($A327,'Temprorary Data'!$A:$G,6,FALSE)</f>
        <v>18</v>
      </c>
      <c r="P327" s="9">
        <f>VLOOKUP($A327,'Temprorary Data'!$A:$G,7,FALSE)</f>
        <v>20</v>
      </c>
      <c r="Q327" t="b">
        <f t="shared" si="45"/>
        <v>1</v>
      </c>
      <c r="R327" t="str">
        <f t="shared" si="46"/>
        <v>January</v>
      </c>
      <c r="S327" t="str">
        <f t="shared" si="47"/>
        <v>Saturday</v>
      </c>
      <c r="T327" t="str">
        <f t="shared" si="48"/>
        <v>Weekend</v>
      </c>
      <c r="U327" t="str">
        <f t="shared" si="49"/>
        <v>Spring</v>
      </c>
      <c r="V327" t="str">
        <f t="shared" si="50"/>
        <v>Mist</v>
      </c>
      <c r="W327" t="str">
        <f t="shared" si="51"/>
        <v>Off Peak</v>
      </c>
      <c r="X327" t="str">
        <f t="shared" si="52"/>
        <v>Low</v>
      </c>
      <c r="Y327" t="str">
        <f t="shared" si="53"/>
        <v>Medium</v>
      </c>
    </row>
    <row r="328" spans="1:25" ht="15.75" thickBot="1">
      <c r="A328" s="1">
        <v>327</v>
      </c>
      <c r="B328" s="2">
        <v>40558</v>
      </c>
      <c r="C328" s="1">
        <v>1</v>
      </c>
      <c r="D328" s="1">
        <v>0</v>
      </c>
      <c r="E328" s="1">
        <v>1</v>
      </c>
      <c r="F328" s="1">
        <v>2</v>
      </c>
      <c r="G328" s="3" t="b">
        <v>0</v>
      </c>
      <c r="H328" s="1">
        <v>6</v>
      </c>
      <c r="I328" s="1">
        <v>2</v>
      </c>
      <c r="J328" s="7">
        <v>0.16</v>
      </c>
      <c r="K328" s="8">
        <f>VLOOKUP($A328,'Temprorary Data'!$A:$G,2,FALSE)</f>
        <v>0.19700000000000001</v>
      </c>
      <c r="L328" s="8">
        <f>VLOOKUP($A328,'Temprorary Data'!$A:$G,3,FALSE)</f>
        <v>0.59</v>
      </c>
      <c r="M328" s="8">
        <f>VLOOKUP($A328,'Temprorary Data'!$A:$G,4,FALSE)</f>
        <v>8.9599999999999999E-2</v>
      </c>
      <c r="N328" s="9">
        <f>VLOOKUP($A328,'Temprorary Data'!$A:$G,5,FALSE)</f>
        <v>0</v>
      </c>
      <c r="O328" s="9">
        <f>VLOOKUP($A328,'Temprorary Data'!$A:$G,6,FALSE)</f>
        <v>12</v>
      </c>
      <c r="P328" s="9">
        <f>VLOOKUP($A328,'Temprorary Data'!$A:$G,7,FALSE)</f>
        <v>12</v>
      </c>
      <c r="Q328" t="b">
        <f t="shared" si="45"/>
        <v>1</v>
      </c>
      <c r="R328" t="str">
        <f t="shared" si="46"/>
        <v>January</v>
      </c>
      <c r="S328" t="str">
        <f t="shared" si="47"/>
        <v>Saturday</v>
      </c>
      <c r="T328" t="str">
        <f t="shared" si="48"/>
        <v>Weekend</v>
      </c>
      <c r="U328" t="str">
        <f t="shared" si="49"/>
        <v>Spring</v>
      </c>
      <c r="V328" t="str">
        <f t="shared" si="50"/>
        <v>Mist</v>
      </c>
      <c r="W328" t="str">
        <f t="shared" si="51"/>
        <v>Off Peak</v>
      </c>
      <c r="X328" t="str">
        <f t="shared" si="52"/>
        <v>Low</v>
      </c>
      <c r="Y328" t="str">
        <f t="shared" si="53"/>
        <v>Medium</v>
      </c>
    </row>
    <row r="329" spans="1:25" ht="15.75" thickBot="1">
      <c r="A329" s="1">
        <v>328</v>
      </c>
      <c r="B329" s="2">
        <v>40558</v>
      </c>
      <c r="C329" s="1">
        <v>1</v>
      </c>
      <c r="D329" s="1">
        <v>0</v>
      </c>
      <c r="E329" s="1">
        <v>1</v>
      </c>
      <c r="F329" s="1">
        <v>3</v>
      </c>
      <c r="G329" s="3" t="b">
        <v>0</v>
      </c>
      <c r="H329" s="1">
        <v>6</v>
      </c>
      <c r="I329" s="1">
        <v>2</v>
      </c>
      <c r="J329" s="7">
        <v>0.16</v>
      </c>
      <c r="K329" s="8">
        <f>VLOOKUP($A329,'Temprorary Data'!$A:$G,2,FALSE)</f>
        <v>0.2273</v>
      </c>
      <c r="L329" s="8">
        <f>VLOOKUP($A329,'Temprorary Data'!$A:$G,3,FALSE)</f>
        <v>0.59</v>
      </c>
      <c r="M329" s="8">
        <f>VLOOKUP($A329,'Temprorary Data'!$A:$G,4,FALSE)</f>
        <v>0</v>
      </c>
      <c r="N329" s="9">
        <f>VLOOKUP($A329,'Temprorary Data'!$A:$G,5,FALSE)</f>
        <v>1</v>
      </c>
      <c r="O329" s="9">
        <f>VLOOKUP($A329,'Temprorary Data'!$A:$G,6,FALSE)</f>
        <v>7</v>
      </c>
      <c r="P329" s="9">
        <f>VLOOKUP($A329,'Temprorary Data'!$A:$G,7,FALSE)</f>
        <v>8</v>
      </c>
      <c r="Q329" t="b">
        <f t="shared" si="45"/>
        <v>1</v>
      </c>
      <c r="R329" t="str">
        <f t="shared" si="46"/>
        <v>January</v>
      </c>
      <c r="S329" t="str">
        <f t="shared" si="47"/>
        <v>Saturday</v>
      </c>
      <c r="T329" t="str">
        <f t="shared" si="48"/>
        <v>Weekend</v>
      </c>
      <c r="U329" t="str">
        <f t="shared" si="49"/>
        <v>Spring</v>
      </c>
      <c r="V329" t="str">
        <f t="shared" si="50"/>
        <v>Mist</v>
      </c>
      <c r="W329" t="str">
        <f t="shared" si="51"/>
        <v>Off Peak</v>
      </c>
      <c r="X329" t="str">
        <f t="shared" si="52"/>
        <v>Low</v>
      </c>
      <c r="Y329" t="str">
        <f t="shared" si="53"/>
        <v>Medium</v>
      </c>
    </row>
    <row r="330" spans="1:25" ht="15.75" thickBot="1">
      <c r="A330" s="1">
        <v>329</v>
      </c>
      <c r="B330" s="2">
        <v>40558</v>
      </c>
      <c r="C330" s="1">
        <v>1</v>
      </c>
      <c r="D330" s="1">
        <v>0</v>
      </c>
      <c r="E330" s="1">
        <v>1</v>
      </c>
      <c r="F330" s="1">
        <v>4</v>
      </c>
      <c r="G330" s="3" t="b">
        <v>0</v>
      </c>
      <c r="H330" s="1">
        <v>6</v>
      </c>
      <c r="I330" s="1">
        <v>2</v>
      </c>
      <c r="J330" s="7">
        <v>0.16</v>
      </c>
      <c r="K330" s="8">
        <f>VLOOKUP($A330,'Temprorary Data'!$A:$G,2,FALSE)</f>
        <v>0.2273</v>
      </c>
      <c r="L330" s="8">
        <f>VLOOKUP($A330,'Temprorary Data'!$A:$G,3,FALSE)</f>
        <v>0.59</v>
      </c>
      <c r="M330" s="8">
        <f>VLOOKUP($A330,'Temprorary Data'!$A:$G,4,FALSE)</f>
        <v>0</v>
      </c>
      <c r="N330" s="9">
        <f>VLOOKUP($A330,'Temprorary Data'!$A:$G,5,FALSE)</f>
        <v>0</v>
      </c>
      <c r="O330" s="9">
        <f>VLOOKUP($A330,'Temprorary Data'!$A:$G,6,FALSE)</f>
        <v>5</v>
      </c>
      <c r="P330" s="9">
        <f>VLOOKUP($A330,'Temprorary Data'!$A:$G,7,FALSE)</f>
        <v>5</v>
      </c>
      <c r="Q330" t="b">
        <f t="shared" si="45"/>
        <v>1</v>
      </c>
      <c r="R330" t="str">
        <f t="shared" si="46"/>
        <v>January</v>
      </c>
      <c r="S330" t="str">
        <f t="shared" si="47"/>
        <v>Saturday</v>
      </c>
      <c r="T330" t="str">
        <f t="shared" si="48"/>
        <v>Weekend</v>
      </c>
      <c r="U330" t="str">
        <f t="shared" si="49"/>
        <v>Spring</v>
      </c>
      <c r="V330" t="str">
        <f t="shared" si="50"/>
        <v>Mist</v>
      </c>
      <c r="W330" t="str">
        <f t="shared" si="51"/>
        <v>Off Peak</v>
      </c>
      <c r="X330" t="str">
        <f t="shared" si="52"/>
        <v>Low</v>
      </c>
      <c r="Y330" t="str">
        <f t="shared" si="53"/>
        <v>Medium</v>
      </c>
    </row>
    <row r="331" spans="1:25" ht="15.75" thickBot="1">
      <c r="A331" s="1">
        <v>330</v>
      </c>
      <c r="B331" s="2">
        <v>40558</v>
      </c>
      <c r="C331" s="1">
        <v>1</v>
      </c>
      <c r="D331" s="1">
        <v>0</v>
      </c>
      <c r="E331" s="1">
        <v>1</v>
      </c>
      <c r="F331" s="1">
        <v>5</v>
      </c>
      <c r="G331" s="3" t="b">
        <v>0</v>
      </c>
      <c r="H331" s="1">
        <v>6</v>
      </c>
      <c r="I331" s="1">
        <v>1</v>
      </c>
      <c r="J331" s="7">
        <v>0.16</v>
      </c>
      <c r="K331" s="8">
        <f>VLOOKUP($A331,'Temprorary Data'!$A:$G,2,FALSE)</f>
        <v>0.2273</v>
      </c>
      <c r="L331" s="8">
        <f>VLOOKUP($A331,'Temprorary Data'!$A:$G,3,FALSE)</f>
        <v>0.59</v>
      </c>
      <c r="M331" s="8">
        <f>VLOOKUP($A331,'Temprorary Data'!$A:$G,4,FALSE)</f>
        <v>0</v>
      </c>
      <c r="N331" s="9">
        <f>VLOOKUP($A331,'Temprorary Data'!$A:$G,5,FALSE)</f>
        <v>0</v>
      </c>
      <c r="O331" s="9">
        <f>VLOOKUP($A331,'Temprorary Data'!$A:$G,6,FALSE)</f>
        <v>1</v>
      </c>
      <c r="P331" s="9">
        <f>VLOOKUP($A331,'Temprorary Data'!$A:$G,7,FALSE)</f>
        <v>1</v>
      </c>
      <c r="Q331" t="b">
        <f t="shared" si="45"/>
        <v>1</v>
      </c>
      <c r="R331" t="str">
        <f t="shared" si="46"/>
        <v>January</v>
      </c>
      <c r="S331" t="str">
        <f t="shared" si="47"/>
        <v>Saturday</v>
      </c>
      <c r="T331" t="str">
        <f t="shared" si="48"/>
        <v>Weekend</v>
      </c>
      <c r="U331" t="str">
        <f t="shared" si="49"/>
        <v>Spring</v>
      </c>
      <c r="V331" t="str">
        <f t="shared" si="50"/>
        <v>Clear</v>
      </c>
      <c r="W331" t="str">
        <f t="shared" si="51"/>
        <v>Off Peak</v>
      </c>
      <c r="X331" t="str">
        <f t="shared" si="52"/>
        <v>Low</v>
      </c>
      <c r="Y331" t="str">
        <f t="shared" si="53"/>
        <v>Medium</v>
      </c>
    </row>
    <row r="332" spans="1:25" ht="15.75" thickBot="1">
      <c r="A332" s="1">
        <v>331</v>
      </c>
      <c r="B332" s="2">
        <v>40558</v>
      </c>
      <c r="C332" s="1">
        <v>1</v>
      </c>
      <c r="D332" s="1">
        <v>0</v>
      </c>
      <c r="E332" s="1">
        <v>1</v>
      </c>
      <c r="F332" s="1">
        <v>6</v>
      </c>
      <c r="G332" s="3" t="b">
        <v>0</v>
      </c>
      <c r="H332" s="1">
        <v>6</v>
      </c>
      <c r="I332" s="1">
        <v>1</v>
      </c>
      <c r="J332" s="7">
        <v>0.14000000000000001</v>
      </c>
      <c r="K332" s="8">
        <f>VLOOKUP($A332,'Temprorary Data'!$A:$G,2,FALSE)</f>
        <v>0.16669999999999999</v>
      </c>
      <c r="L332" s="8">
        <f>VLOOKUP($A332,'Temprorary Data'!$A:$G,3,FALSE)</f>
        <v>0.63</v>
      </c>
      <c r="M332" s="8">
        <f>VLOOKUP($A332,'Temprorary Data'!$A:$G,4,FALSE)</f>
        <v>0.1045</v>
      </c>
      <c r="N332" s="9">
        <f>VLOOKUP($A332,'Temprorary Data'!$A:$G,5,FALSE)</f>
        <v>1</v>
      </c>
      <c r="O332" s="9">
        <f>VLOOKUP($A332,'Temprorary Data'!$A:$G,6,FALSE)</f>
        <v>2</v>
      </c>
      <c r="P332" s="9">
        <f>VLOOKUP($A332,'Temprorary Data'!$A:$G,7,FALSE)</f>
        <v>3</v>
      </c>
      <c r="Q332" t="b">
        <f t="shared" si="45"/>
        <v>1</v>
      </c>
      <c r="R332" t="str">
        <f t="shared" si="46"/>
        <v>January</v>
      </c>
      <c r="S332" t="str">
        <f t="shared" si="47"/>
        <v>Saturday</v>
      </c>
      <c r="T332" t="str">
        <f t="shared" si="48"/>
        <v>Weekend</v>
      </c>
      <c r="U332" t="str">
        <f t="shared" si="49"/>
        <v>Spring</v>
      </c>
      <c r="V332" t="str">
        <f t="shared" si="50"/>
        <v>Clear</v>
      </c>
      <c r="W332" t="str">
        <f t="shared" si="51"/>
        <v>Off Peak</v>
      </c>
      <c r="X332" t="str">
        <f t="shared" si="52"/>
        <v>Low</v>
      </c>
      <c r="Y332" t="str">
        <f t="shared" si="53"/>
        <v>Medium</v>
      </c>
    </row>
    <row r="333" spans="1:25" ht="15.75" thickBot="1">
      <c r="A333" s="1">
        <v>332</v>
      </c>
      <c r="B333" s="2">
        <v>40558</v>
      </c>
      <c r="C333" s="1">
        <v>1</v>
      </c>
      <c r="D333" s="1">
        <v>0</v>
      </c>
      <c r="E333" s="1">
        <v>1</v>
      </c>
      <c r="F333" s="1">
        <v>7</v>
      </c>
      <c r="G333" s="3" t="b">
        <v>0</v>
      </c>
      <c r="H333" s="1">
        <v>6</v>
      </c>
      <c r="I333" s="1">
        <v>1</v>
      </c>
      <c r="J333" s="7">
        <v>0.14000000000000001</v>
      </c>
      <c r="K333" s="8">
        <f>VLOOKUP($A333,'Temprorary Data'!$A:$G,2,FALSE)</f>
        <v>0.21210000000000001</v>
      </c>
      <c r="L333" s="8">
        <f>VLOOKUP($A333,'Temprorary Data'!$A:$G,3,FALSE)</f>
        <v>0.63</v>
      </c>
      <c r="M333" s="8">
        <f>VLOOKUP($A333,'Temprorary Data'!$A:$G,4,FALSE)</f>
        <v>0</v>
      </c>
      <c r="N333" s="9">
        <f>VLOOKUP($A333,'Temprorary Data'!$A:$G,5,FALSE)</f>
        <v>1</v>
      </c>
      <c r="O333" s="9">
        <f>VLOOKUP($A333,'Temprorary Data'!$A:$G,6,FALSE)</f>
        <v>9</v>
      </c>
      <c r="P333" s="9">
        <f>VLOOKUP($A333,'Temprorary Data'!$A:$G,7,FALSE)</f>
        <v>10</v>
      </c>
      <c r="Q333" t="b">
        <f t="shared" si="45"/>
        <v>1</v>
      </c>
      <c r="R333" t="str">
        <f t="shared" si="46"/>
        <v>January</v>
      </c>
      <c r="S333" t="str">
        <f t="shared" si="47"/>
        <v>Saturday</v>
      </c>
      <c r="T333" t="str">
        <f t="shared" si="48"/>
        <v>Weekend</v>
      </c>
      <c r="U333" t="str">
        <f t="shared" si="49"/>
        <v>Spring</v>
      </c>
      <c r="V333" t="str">
        <f t="shared" si="50"/>
        <v>Clear</v>
      </c>
      <c r="W333" t="str">
        <f t="shared" si="51"/>
        <v>Morning Peak</v>
      </c>
      <c r="X333" t="str">
        <f t="shared" si="52"/>
        <v>Low</v>
      </c>
      <c r="Y333" t="str">
        <f t="shared" si="53"/>
        <v>Medium</v>
      </c>
    </row>
    <row r="334" spans="1:25" ht="15.75" thickBot="1">
      <c r="A334" s="1">
        <v>333</v>
      </c>
      <c r="B334" s="2">
        <v>40558</v>
      </c>
      <c r="C334" s="1">
        <v>1</v>
      </c>
      <c r="D334" s="1">
        <v>0</v>
      </c>
      <c r="E334" s="1">
        <v>1</v>
      </c>
      <c r="F334" s="1">
        <v>8</v>
      </c>
      <c r="G334" s="3" t="b">
        <v>0</v>
      </c>
      <c r="H334" s="1">
        <v>6</v>
      </c>
      <c r="I334" s="1">
        <v>1</v>
      </c>
      <c r="J334" s="7">
        <v>0.14000000000000001</v>
      </c>
      <c r="K334" s="8">
        <f>VLOOKUP($A334,'Temprorary Data'!$A:$G,2,FALSE)</f>
        <v>0.1515</v>
      </c>
      <c r="L334" s="8">
        <f>VLOOKUP($A334,'Temprorary Data'!$A:$G,3,FALSE)</f>
        <v>0.63</v>
      </c>
      <c r="M334" s="8">
        <f>VLOOKUP($A334,'Temprorary Data'!$A:$G,4,FALSE)</f>
        <v>0.1343</v>
      </c>
      <c r="N334" s="9">
        <f>VLOOKUP($A334,'Temprorary Data'!$A:$G,5,FALSE)</f>
        <v>1</v>
      </c>
      <c r="O334" s="9">
        <f>VLOOKUP($A334,'Temprorary Data'!$A:$G,6,FALSE)</f>
        <v>22</v>
      </c>
      <c r="P334" s="9">
        <f>VLOOKUP($A334,'Temprorary Data'!$A:$G,7,FALSE)</f>
        <v>23</v>
      </c>
      <c r="Q334" t="b">
        <f t="shared" si="45"/>
        <v>1</v>
      </c>
      <c r="R334" t="str">
        <f t="shared" si="46"/>
        <v>January</v>
      </c>
      <c r="S334" t="str">
        <f t="shared" si="47"/>
        <v>Saturday</v>
      </c>
      <c r="T334" t="str">
        <f t="shared" si="48"/>
        <v>Weekend</v>
      </c>
      <c r="U334" t="str">
        <f t="shared" si="49"/>
        <v>Spring</v>
      </c>
      <c r="V334" t="str">
        <f t="shared" si="50"/>
        <v>Clear</v>
      </c>
      <c r="W334" t="str">
        <f t="shared" si="51"/>
        <v>Morning Peak</v>
      </c>
      <c r="X334" t="str">
        <f t="shared" si="52"/>
        <v>Low</v>
      </c>
      <c r="Y334" t="str">
        <f t="shared" si="53"/>
        <v>Medium</v>
      </c>
    </row>
    <row r="335" spans="1:25" ht="15.75" thickBot="1">
      <c r="A335" s="1">
        <v>334</v>
      </c>
      <c r="B335" s="2">
        <v>40558</v>
      </c>
      <c r="C335" s="1">
        <v>1</v>
      </c>
      <c r="D335" s="1">
        <v>0</v>
      </c>
      <c r="E335" s="1">
        <v>1</v>
      </c>
      <c r="F335" s="1">
        <v>9</v>
      </c>
      <c r="G335" s="3" t="b">
        <v>0</v>
      </c>
      <c r="H335" s="1">
        <v>6</v>
      </c>
      <c r="I335" s="1">
        <v>1</v>
      </c>
      <c r="J335" s="7">
        <v>0.16</v>
      </c>
      <c r="K335" s="8">
        <f>VLOOKUP($A335,'Temprorary Data'!$A:$G,2,FALSE)</f>
        <v>0.18179999999999999</v>
      </c>
      <c r="L335" s="8">
        <f>VLOOKUP($A335,'Temprorary Data'!$A:$G,3,FALSE)</f>
        <v>0.64</v>
      </c>
      <c r="M335" s="8">
        <f>VLOOKUP($A335,'Temprorary Data'!$A:$G,4,FALSE)</f>
        <v>0.1343</v>
      </c>
      <c r="N335" s="9">
        <f>VLOOKUP($A335,'Temprorary Data'!$A:$G,5,FALSE)</f>
        <v>2</v>
      </c>
      <c r="O335" s="9">
        <f>VLOOKUP($A335,'Temprorary Data'!$A:$G,6,FALSE)</f>
        <v>31</v>
      </c>
      <c r="P335" s="9">
        <f>VLOOKUP($A335,'Temprorary Data'!$A:$G,7,FALSE)</f>
        <v>33</v>
      </c>
      <c r="Q335" t="b">
        <f t="shared" si="45"/>
        <v>1</v>
      </c>
      <c r="R335" t="str">
        <f t="shared" si="46"/>
        <v>January</v>
      </c>
      <c r="S335" t="str">
        <f t="shared" si="47"/>
        <v>Saturday</v>
      </c>
      <c r="T335" t="str">
        <f t="shared" si="48"/>
        <v>Weekend</v>
      </c>
      <c r="U335" t="str">
        <f t="shared" si="49"/>
        <v>Spring</v>
      </c>
      <c r="V335" t="str">
        <f t="shared" si="50"/>
        <v>Clear</v>
      </c>
      <c r="W335" t="str">
        <f t="shared" si="51"/>
        <v>Morning Peak</v>
      </c>
      <c r="X335" t="str">
        <f t="shared" si="52"/>
        <v>Low</v>
      </c>
      <c r="Y335" t="str">
        <f t="shared" si="53"/>
        <v>Medium</v>
      </c>
    </row>
    <row r="336" spans="1:25" ht="15.75" thickBot="1">
      <c r="A336" s="1">
        <v>335</v>
      </c>
      <c r="B336" s="2">
        <v>40558</v>
      </c>
      <c r="C336" s="1">
        <v>1</v>
      </c>
      <c r="D336" s="1">
        <v>0</v>
      </c>
      <c r="E336" s="1">
        <v>1</v>
      </c>
      <c r="F336" s="1">
        <v>10</v>
      </c>
      <c r="G336" s="3" t="b">
        <v>0</v>
      </c>
      <c r="H336" s="1">
        <v>6</v>
      </c>
      <c r="I336" s="1">
        <v>1</v>
      </c>
      <c r="J336" s="7">
        <v>0.18</v>
      </c>
      <c r="K336" s="8">
        <f>VLOOKUP($A336,'Temprorary Data'!$A:$G,2,FALSE)</f>
        <v>0.19700000000000001</v>
      </c>
      <c r="L336" s="8">
        <f>VLOOKUP($A336,'Temprorary Data'!$A:$G,3,FALSE)</f>
        <v>0.59</v>
      </c>
      <c r="M336" s="8">
        <f>VLOOKUP($A336,'Temprorary Data'!$A:$G,4,FALSE)</f>
        <v>0.16420000000000001</v>
      </c>
      <c r="N336" s="9">
        <f>VLOOKUP($A336,'Temprorary Data'!$A:$G,5,FALSE)</f>
        <v>2</v>
      </c>
      <c r="O336" s="9">
        <f>VLOOKUP($A336,'Temprorary Data'!$A:$G,6,FALSE)</f>
        <v>57</v>
      </c>
      <c r="P336" s="9">
        <f>VLOOKUP($A336,'Temprorary Data'!$A:$G,7,FALSE)</f>
        <v>59</v>
      </c>
      <c r="Q336" t="b">
        <f t="shared" si="45"/>
        <v>1</v>
      </c>
      <c r="R336" t="str">
        <f t="shared" si="46"/>
        <v>January</v>
      </c>
      <c r="S336" t="str">
        <f t="shared" si="47"/>
        <v>Saturday</v>
      </c>
      <c r="T336" t="str">
        <f t="shared" si="48"/>
        <v>Weekend</v>
      </c>
      <c r="U336" t="str">
        <f t="shared" si="49"/>
        <v>Spring</v>
      </c>
      <c r="V336" t="str">
        <f t="shared" si="50"/>
        <v>Clear</v>
      </c>
      <c r="W336" t="str">
        <f t="shared" si="51"/>
        <v>Off Peak</v>
      </c>
      <c r="X336" t="str">
        <f t="shared" si="52"/>
        <v>Low</v>
      </c>
      <c r="Y336" t="str">
        <f t="shared" si="53"/>
        <v>Medium</v>
      </c>
    </row>
    <row r="337" spans="1:25" ht="15.75" thickBot="1">
      <c r="A337" s="1">
        <v>336</v>
      </c>
      <c r="B337" s="2">
        <v>40558</v>
      </c>
      <c r="C337" s="1">
        <v>1</v>
      </c>
      <c r="D337" s="1">
        <v>0</v>
      </c>
      <c r="E337" s="1">
        <v>1</v>
      </c>
      <c r="F337" s="1">
        <v>11</v>
      </c>
      <c r="G337" s="3" t="b">
        <v>0</v>
      </c>
      <c r="H337" s="1">
        <v>6</v>
      </c>
      <c r="I337" s="1">
        <v>1</v>
      </c>
      <c r="J337" s="7">
        <v>0.2</v>
      </c>
      <c r="K337" s="8">
        <f>VLOOKUP($A337,'Temprorary Data'!$A:$G,2,FALSE)</f>
        <v>0.19700000000000001</v>
      </c>
      <c r="L337" s="8">
        <f>VLOOKUP($A337,'Temprorary Data'!$A:$G,3,FALSE)</f>
        <v>0.55000000000000004</v>
      </c>
      <c r="M337" s="8">
        <f>VLOOKUP($A337,'Temprorary Data'!$A:$G,4,FALSE)</f>
        <v>0.22389999999999999</v>
      </c>
      <c r="N337" s="9">
        <f>VLOOKUP($A337,'Temprorary Data'!$A:$G,5,FALSE)</f>
        <v>18</v>
      </c>
      <c r="O337" s="9">
        <f>VLOOKUP($A337,'Temprorary Data'!$A:$G,6,FALSE)</f>
        <v>54</v>
      </c>
      <c r="P337" s="9">
        <f>VLOOKUP($A337,'Temprorary Data'!$A:$G,7,FALSE)</f>
        <v>72</v>
      </c>
      <c r="Q337" t="b">
        <f t="shared" si="45"/>
        <v>1</v>
      </c>
      <c r="R337" t="str">
        <f t="shared" si="46"/>
        <v>January</v>
      </c>
      <c r="S337" t="str">
        <f t="shared" si="47"/>
        <v>Saturday</v>
      </c>
      <c r="T337" t="str">
        <f t="shared" si="48"/>
        <v>Weekend</v>
      </c>
      <c r="U337" t="str">
        <f t="shared" si="49"/>
        <v>Spring</v>
      </c>
      <c r="V337" t="str">
        <f t="shared" si="50"/>
        <v>Clear</v>
      </c>
      <c r="W337" t="str">
        <f t="shared" si="51"/>
        <v>Off Peak</v>
      </c>
      <c r="X337" t="str">
        <f t="shared" si="52"/>
        <v>Low</v>
      </c>
      <c r="Y337" t="str">
        <f t="shared" si="53"/>
        <v>Medium</v>
      </c>
    </row>
    <row r="338" spans="1:25" ht="15.75" thickBot="1">
      <c r="A338" s="1">
        <v>337</v>
      </c>
      <c r="B338" s="2">
        <v>40558</v>
      </c>
      <c r="C338" s="1">
        <v>1</v>
      </c>
      <c r="D338" s="1">
        <v>0</v>
      </c>
      <c r="E338" s="1">
        <v>1</v>
      </c>
      <c r="F338" s="1">
        <v>12</v>
      </c>
      <c r="G338" s="3" t="b">
        <v>0</v>
      </c>
      <c r="H338" s="1">
        <v>6</v>
      </c>
      <c r="I338" s="1">
        <v>1</v>
      </c>
      <c r="J338" s="7">
        <v>0.24</v>
      </c>
      <c r="K338" s="8">
        <f>VLOOKUP($A338,'Temprorary Data'!$A:$G,2,FALSE)</f>
        <v>0.2273</v>
      </c>
      <c r="L338" s="8">
        <f>VLOOKUP($A338,'Temprorary Data'!$A:$G,3,FALSE)</f>
        <v>0.48</v>
      </c>
      <c r="M338" s="8">
        <f>VLOOKUP($A338,'Temprorary Data'!$A:$G,4,FALSE)</f>
        <v>0.22389999999999999</v>
      </c>
      <c r="N338" s="9">
        <f>VLOOKUP($A338,'Temprorary Data'!$A:$G,5,FALSE)</f>
        <v>15</v>
      </c>
      <c r="O338" s="9">
        <f>VLOOKUP($A338,'Temprorary Data'!$A:$G,6,FALSE)</f>
        <v>74</v>
      </c>
      <c r="P338" s="9">
        <f>VLOOKUP($A338,'Temprorary Data'!$A:$G,7,FALSE)</f>
        <v>89</v>
      </c>
      <c r="Q338" t="b">
        <f t="shared" si="45"/>
        <v>1</v>
      </c>
      <c r="R338" t="str">
        <f t="shared" si="46"/>
        <v>January</v>
      </c>
      <c r="S338" t="str">
        <f t="shared" si="47"/>
        <v>Saturday</v>
      </c>
      <c r="T338" t="str">
        <f t="shared" si="48"/>
        <v>Weekend</v>
      </c>
      <c r="U338" t="str">
        <f t="shared" si="49"/>
        <v>Spring</v>
      </c>
      <c r="V338" t="str">
        <f t="shared" si="50"/>
        <v>Clear</v>
      </c>
      <c r="W338" t="str">
        <f t="shared" si="51"/>
        <v>Off Peak</v>
      </c>
      <c r="X338" t="str">
        <f t="shared" si="52"/>
        <v>Low</v>
      </c>
      <c r="Y338" t="str">
        <f t="shared" si="53"/>
        <v>Medium</v>
      </c>
    </row>
    <row r="339" spans="1:25" ht="15.75" thickBot="1">
      <c r="A339" s="1">
        <v>338</v>
      </c>
      <c r="B339" s="2">
        <v>40558</v>
      </c>
      <c r="C339" s="1">
        <v>1</v>
      </c>
      <c r="D339" s="1">
        <v>0</v>
      </c>
      <c r="E339" s="1">
        <v>1</v>
      </c>
      <c r="F339" s="1">
        <v>13</v>
      </c>
      <c r="G339" s="3" t="b">
        <v>0</v>
      </c>
      <c r="H339" s="1">
        <v>6</v>
      </c>
      <c r="I339" s="1">
        <v>1</v>
      </c>
      <c r="J339" s="7">
        <v>0.28000000000000003</v>
      </c>
      <c r="K339" s="8">
        <f>VLOOKUP($A339,'Temprorary Data'!$A:$G,2,FALSE)</f>
        <v>0.2576</v>
      </c>
      <c r="L339" s="8">
        <f>VLOOKUP($A339,'Temprorary Data'!$A:$G,3,FALSE)</f>
        <v>0.38</v>
      </c>
      <c r="M339" s="8">
        <f>VLOOKUP($A339,'Temprorary Data'!$A:$G,4,FALSE)</f>
        <v>0.29849999999999999</v>
      </c>
      <c r="N339" s="9">
        <f>VLOOKUP($A339,'Temprorary Data'!$A:$G,5,FALSE)</f>
        <v>21</v>
      </c>
      <c r="O339" s="9">
        <f>VLOOKUP($A339,'Temprorary Data'!$A:$G,6,FALSE)</f>
        <v>80</v>
      </c>
      <c r="P339" s="9">
        <f>VLOOKUP($A339,'Temprorary Data'!$A:$G,7,FALSE)</f>
        <v>101</v>
      </c>
      <c r="Q339" t="b">
        <f t="shared" si="45"/>
        <v>1</v>
      </c>
      <c r="R339" t="str">
        <f t="shared" si="46"/>
        <v>January</v>
      </c>
      <c r="S339" t="str">
        <f t="shared" si="47"/>
        <v>Saturday</v>
      </c>
      <c r="T339" t="str">
        <f t="shared" si="48"/>
        <v>Weekend</v>
      </c>
      <c r="U339" t="str">
        <f t="shared" si="49"/>
        <v>Spring</v>
      </c>
      <c r="V339" t="str">
        <f t="shared" si="50"/>
        <v>Clear</v>
      </c>
      <c r="W339" t="str">
        <f t="shared" si="51"/>
        <v>Off Peak</v>
      </c>
      <c r="X339" t="str">
        <f t="shared" si="52"/>
        <v>Low</v>
      </c>
      <c r="Y339" t="str">
        <f t="shared" si="53"/>
        <v>Low</v>
      </c>
    </row>
    <row r="340" spans="1:25" ht="15.75" thickBot="1">
      <c r="A340" s="1">
        <v>339</v>
      </c>
      <c r="B340" s="2">
        <v>40558</v>
      </c>
      <c r="C340" s="1">
        <v>1</v>
      </c>
      <c r="D340" s="1">
        <v>0</v>
      </c>
      <c r="E340" s="1">
        <v>1</v>
      </c>
      <c r="F340" s="1">
        <v>14</v>
      </c>
      <c r="G340" s="3" t="b">
        <v>0</v>
      </c>
      <c r="H340" s="1">
        <v>6</v>
      </c>
      <c r="I340" s="1">
        <v>1</v>
      </c>
      <c r="J340" s="7">
        <v>0.3</v>
      </c>
      <c r="K340" s="8">
        <f>VLOOKUP($A340,'Temprorary Data'!$A:$G,2,FALSE)</f>
        <v>0.28789999999999999</v>
      </c>
      <c r="L340" s="8">
        <f>VLOOKUP($A340,'Temprorary Data'!$A:$G,3,FALSE)</f>
        <v>0.39</v>
      </c>
      <c r="M340" s="8">
        <f>VLOOKUP($A340,'Temprorary Data'!$A:$G,4,FALSE)</f>
        <v>0.28360000000000002</v>
      </c>
      <c r="N340" s="9">
        <f>VLOOKUP($A340,'Temprorary Data'!$A:$G,5,FALSE)</f>
        <v>26</v>
      </c>
      <c r="O340" s="9">
        <f>VLOOKUP($A340,'Temprorary Data'!$A:$G,6,FALSE)</f>
        <v>92</v>
      </c>
      <c r="P340" s="9">
        <f>VLOOKUP($A340,'Temprorary Data'!$A:$G,7,FALSE)</f>
        <v>118</v>
      </c>
      <c r="Q340" t="b">
        <f t="shared" si="45"/>
        <v>1</v>
      </c>
      <c r="R340" t="str">
        <f t="shared" si="46"/>
        <v>January</v>
      </c>
      <c r="S340" t="str">
        <f t="shared" si="47"/>
        <v>Saturday</v>
      </c>
      <c r="T340" t="str">
        <f t="shared" si="48"/>
        <v>Weekend</v>
      </c>
      <c r="U340" t="str">
        <f t="shared" si="49"/>
        <v>Spring</v>
      </c>
      <c r="V340" t="str">
        <f t="shared" si="50"/>
        <v>Clear</v>
      </c>
      <c r="W340" t="str">
        <f t="shared" si="51"/>
        <v>Off Peak</v>
      </c>
      <c r="X340" t="str">
        <f t="shared" si="52"/>
        <v>Medium</v>
      </c>
      <c r="Y340" t="str">
        <f t="shared" si="53"/>
        <v>Low</v>
      </c>
    </row>
    <row r="341" spans="1:25" ht="15.75" thickBot="1">
      <c r="A341" s="1">
        <v>340</v>
      </c>
      <c r="B341" s="2">
        <v>40558</v>
      </c>
      <c r="C341" s="1">
        <v>1</v>
      </c>
      <c r="D341" s="1">
        <v>0</v>
      </c>
      <c r="E341" s="1">
        <v>1</v>
      </c>
      <c r="F341" s="1">
        <v>15</v>
      </c>
      <c r="G341" s="3" t="b">
        <v>0</v>
      </c>
      <c r="H341" s="1">
        <v>6</v>
      </c>
      <c r="I341" s="1">
        <v>2</v>
      </c>
      <c r="J341" s="7">
        <v>0.32</v>
      </c>
      <c r="K341" s="8">
        <f>VLOOKUP($A341,'Temprorary Data'!$A:$G,2,FALSE)</f>
        <v>0.31819999999999998</v>
      </c>
      <c r="L341" s="8">
        <f>VLOOKUP($A341,'Temprorary Data'!$A:$G,3,FALSE)</f>
        <v>0.36</v>
      </c>
      <c r="M341" s="8">
        <f>VLOOKUP($A341,'Temprorary Data'!$A:$G,4,FALSE)</f>
        <v>0.19400000000000001</v>
      </c>
      <c r="N341" s="9">
        <f>VLOOKUP($A341,'Temprorary Data'!$A:$G,5,FALSE)</f>
        <v>21</v>
      </c>
      <c r="O341" s="9">
        <f>VLOOKUP($A341,'Temprorary Data'!$A:$G,6,FALSE)</f>
        <v>108</v>
      </c>
      <c r="P341" s="9">
        <f>VLOOKUP($A341,'Temprorary Data'!$A:$G,7,FALSE)</f>
        <v>129</v>
      </c>
      <c r="Q341" t="b">
        <f t="shared" si="45"/>
        <v>1</v>
      </c>
      <c r="R341" t="str">
        <f t="shared" si="46"/>
        <v>January</v>
      </c>
      <c r="S341" t="str">
        <f t="shared" si="47"/>
        <v>Saturday</v>
      </c>
      <c r="T341" t="str">
        <f t="shared" si="48"/>
        <v>Weekend</v>
      </c>
      <c r="U341" t="str">
        <f t="shared" si="49"/>
        <v>Spring</v>
      </c>
      <c r="V341" t="str">
        <f t="shared" si="50"/>
        <v>Mist</v>
      </c>
      <c r="W341" t="str">
        <f t="shared" si="51"/>
        <v>Off Peak</v>
      </c>
      <c r="X341" t="str">
        <f t="shared" si="52"/>
        <v>Medium</v>
      </c>
      <c r="Y341" t="str">
        <f t="shared" si="53"/>
        <v>Low</v>
      </c>
    </row>
    <row r="342" spans="1:25" ht="15.75" thickBot="1">
      <c r="A342" s="1">
        <v>341</v>
      </c>
      <c r="B342" s="2">
        <v>40558</v>
      </c>
      <c r="C342" s="1">
        <v>1</v>
      </c>
      <c r="D342" s="1">
        <v>0</v>
      </c>
      <c r="E342" s="1">
        <v>1</v>
      </c>
      <c r="F342" s="1">
        <v>16</v>
      </c>
      <c r="G342" s="3" t="b">
        <v>0</v>
      </c>
      <c r="H342" s="1">
        <v>6</v>
      </c>
      <c r="I342" s="1">
        <v>2</v>
      </c>
      <c r="J342" s="7">
        <v>0.34</v>
      </c>
      <c r="K342" s="8">
        <f>VLOOKUP($A342,'Temprorary Data'!$A:$G,2,FALSE)</f>
        <v>0.33329999999999999</v>
      </c>
      <c r="L342" s="8">
        <f>VLOOKUP($A342,'Temprorary Data'!$A:$G,3,FALSE)</f>
        <v>0.34</v>
      </c>
      <c r="M342" s="8">
        <f>VLOOKUP($A342,'Temprorary Data'!$A:$G,4,FALSE)</f>
        <v>0.19400000000000001</v>
      </c>
      <c r="N342" s="9">
        <f>VLOOKUP($A342,'Temprorary Data'!$A:$G,5,FALSE)</f>
        <v>33</v>
      </c>
      <c r="O342" s="9">
        <f>VLOOKUP($A342,'Temprorary Data'!$A:$G,6,FALSE)</f>
        <v>95</v>
      </c>
      <c r="P342" s="9">
        <f>VLOOKUP($A342,'Temprorary Data'!$A:$G,7,FALSE)</f>
        <v>128</v>
      </c>
      <c r="Q342" t="b">
        <f t="shared" si="45"/>
        <v>1</v>
      </c>
      <c r="R342" t="str">
        <f t="shared" si="46"/>
        <v>January</v>
      </c>
      <c r="S342" t="str">
        <f t="shared" si="47"/>
        <v>Saturday</v>
      </c>
      <c r="T342" t="str">
        <f t="shared" si="48"/>
        <v>Weekend</v>
      </c>
      <c r="U342" t="str">
        <f t="shared" si="49"/>
        <v>Spring</v>
      </c>
      <c r="V342" t="str">
        <f t="shared" si="50"/>
        <v>Mist</v>
      </c>
      <c r="W342" t="str">
        <f t="shared" si="51"/>
        <v>Off Peak</v>
      </c>
      <c r="X342" t="str">
        <f t="shared" si="52"/>
        <v>Medium</v>
      </c>
      <c r="Y342" t="str">
        <f t="shared" si="53"/>
        <v>Low</v>
      </c>
    </row>
    <row r="343" spans="1:25" ht="15.75" thickBot="1">
      <c r="A343" s="1">
        <v>342</v>
      </c>
      <c r="B343" s="2">
        <v>40558</v>
      </c>
      <c r="C343" s="1">
        <v>1</v>
      </c>
      <c r="D343" s="1">
        <v>0</v>
      </c>
      <c r="E343" s="1">
        <v>1</v>
      </c>
      <c r="F343" s="1">
        <v>17</v>
      </c>
      <c r="G343" s="3" t="b">
        <v>0</v>
      </c>
      <c r="H343" s="1">
        <v>6</v>
      </c>
      <c r="I343" s="1">
        <v>2</v>
      </c>
      <c r="J343" s="7">
        <v>0.32</v>
      </c>
      <c r="K343" s="8">
        <f>VLOOKUP($A343,'Temprorary Data'!$A:$G,2,FALSE)</f>
        <v>0.30299999999999999</v>
      </c>
      <c r="L343" s="8">
        <f>VLOOKUP($A343,'Temprorary Data'!$A:$G,3,FALSE)</f>
        <v>0.36</v>
      </c>
      <c r="M343" s="8">
        <f>VLOOKUP($A343,'Temprorary Data'!$A:$G,4,FALSE)</f>
        <v>0.28360000000000002</v>
      </c>
      <c r="N343" s="9">
        <f>VLOOKUP($A343,'Temprorary Data'!$A:$G,5,FALSE)</f>
        <v>29</v>
      </c>
      <c r="O343" s="9">
        <f>VLOOKUP($A343,'Temprorary Data'!$A:$G,6,FALSE)</f>
        <v>54</v>
      </c>
      <c r="P343" s="9">
        <f>VLOOKUP($A343,'Temprorary Data'!$A:$G,7,FALSE)</f>
        <v>83</v>
      </c>
      <c r="Q343" t="b">
        <f t="shared" si="45"/>
        <v>1</v>
      </c>
      <c r="R343" t="str">
        <f t="shared" si="46"/>
        <v>January</v>
      </c>
      <c r="S343" t="str">
        <f t="shared" si="47"/>
        <v>Saturday</v>
      </c>
      <c r="T343" t="str">
        <f t="shared" si="48"/>
        <v>Weekend</v>
      </c>
      <c r="U343" t="str">
        <f t="shared" si="49"/>
        <v>Spring</v>
      </c>
      <c r="V343" t="str">
        <f t="shared" si="50"/>
        <v>Mist</v>
      </c>
      <c r="W343" t="str">
        <f t="shared" si="51"/>
        <v>Evening Peak</v>
      </c>
      <c r="X343" t="str">
        <f t="shared" si="52"/>
        <v>Medium</v>
      </c>
      <c r="Y343" t="str">
        <f t="shared" si="53"/>
        <v>Low</v>
      </c>
    </row>
    <row r="344" spans="1:25" ht="15.75" thickBot="1">
      <c r="A344" s="1">
        <v>343</v>
      </c>
      <c r="B344" s="2">
        <v>40558</v>
      </c>
      <c r="C344" s="1">
        <v>1</v>
      </c>
      <c r="D344" s="1">
        <v>0</v>
      </c>
      <c r="E344" s="1">
        <v>1</v>
      </c>
      <c r="F344" s="1">
        <v>18</v>
      </c>
      <c r="G344" s="3" t="b">
        <v>0</v>
      </c>
      <c r="H344" s="1">
        <v>6</v>
      </c>
      <c r="I344" s="1">
        <v>2</v>
      </c>
      <c r="J344" s="7">
        <v>0.3</v>
      </c>
      <c r="K344" s="8">
        <f>VLOOKUP($A344,'Temprorary Data'!$A:$G,2,FALSE)</f>
        <v>0.28789999999999999</v>
      </c>
      <c r="L344" s="8">
        <f>VLOOKUP($A344,'Temprorary Data'!$A:$G,3,FALSE)</f>
        <v>0.45</v>
      </c>
      <c r="M344" s="8">
        <f>VLOOKUP($A344,'Temprorary Data'!$A:$G,4,FALSE)</f>
        <v>0.25369999999999998</v>
      </c>
      <c r="N344" s="9">
        <f>VLOOKUP($A344,'Temprorary Data'!$A:$G,5,FALSE)</f>
        <v>15</v>
      </c>
      <c r="O344" s="9">
        <f>VLOOKUP($A344,'Temprorary Data'!$A:$G,6,FALSE)</f>
        <v>69</v>
      </c>
      <c r="P344" s="9">
        <f>VLOOKUP($A344,'Temprorary Data'!$A:$G,7,FALSE)</f>
        <v>84</v>
      </c>
      <c r="Q344" t="b">
        <f t="shared" si="45"/>
        <v>1</v>
      </c>
      <c r="R344" t="str">
        <f t="shared" si="46"/>
        <v>January</v>
      </c>
      <c r="S344" t="str">
        <f t="shared" si="47"/>
        <v>Saturday</v>
      </c>
      <c r="T344" t="str">
        <f t="shared" si="48"/>
        <v>Weekend</v>
      </c>
      <c r="U344" t="str">
        <f t="shared" si="49"/>
        <v>Spring</v>
      </c>
      <c r="V344" t="str">
        <f t="shared" si="50"/>
        <v>Mist</v>
      </c>
      <c r="W344" t="str">
        <f t="shared" si="51"/>
        <v>Evening Peak</v>
      </c>
      <c r="X344" t="str">
        <f t="shared" si="52"/>
        <v>Medium</v>
      </c>
      <c r="Y344" t="str">
        <f t="shared" si="53"/>
        <v>Medium</v>
      </c>
    </row>
    <row r="345" spans="1:25" ht="15.75" thickBot="1">
      <c r="A345" s="1">
        <v>344</v>
      </c>
      <c r="B345" s="2">
        <v>40558</v>
      </c>
      <c r="C345" s="1">
        <v>1</v>
      </c>
      <c r="D345" s="1">
        <v>0</v>
      </c>
      <c r="E345" s="1">
        <v>1</v>
      </c>
      <c r="F345" s="1">
        <v>19</v>
      </c>
      <c r="G345" s="3" t="b">
        <v>0</v>
      </c>
      <c r="H345" s="1">
        <v>6</v>
      </c>
      <c r="I345" s="1">
        <v>2</v>
      </c>
      <c r="J345" s="7">
        <v>0.32</v>
      </c>
      <c r="K345" s="8">
        <f>VLOOKUP($A345,'Temprorary Data'!$A:$G,2,FALSE)</f>
        <v>0.30299999999999999</v>
      </c>
      <c r="L345" s="8">
        <f>VLOOKUP($A345,'Temprorary Data'!$A:$G,3,FALSE)</f>
        <v>0.39</v>
      </c>
      <c r="M345" s="8">
        <f>VLOOKUP($A345,'Temprorary Data'!$A:$G,4,FALSE)</f>
        <v>0.25369999999999998</v>
      </c>
      <c r="N345" s="9">
        <f>VLOOKUP($A345,'Temprorary Data'!$A:$G,5,FALSE)</f>
        <v>14</v>
      </c>
      <c r="O345" s="9">
        <f>VLOOKUP($A345,'Temprorary Data'!$A:$G,6,FALSE)</f>
        <v>60</v>
      </c>
      <c r="P345" s="9">
        <f>VLOOKUP($A345,'Temprorary Data'!$A:$G,7,FALSE)</f>
        <v>74</v>
      </c>
      <c r="Q345" t="b">
        <f t="shared" si="45"/>
        <v>1</v>
      </c>
      <c r="R345" t="str">
        <f t="shared" si="46"/>
        <v>January</v>
      </c>
      <c r="S345" t="str">
        <f t="shared" si="47"/>
        <v>Saturday</v>
      </c>
      <c r="T345" t="str">
        <f t="shared" si="48"/>
        <v>Weekend</v>
      </c>
      <c r="U345" t="str">
        <f t="shared" si="49"/>
        <v>Spring</v>
      </c>
      <c r="V345" t="str">
        <f t="shared" si="50"/>
        <v>Mist</v>
      </c>
      <c r="W345" t="str">
        <f t="shared" si="51"/>
        <v>Evening Peak</v>
      </c>
      <c r="X345" t="str">
        <f t="shared" si="52"/>
        <v>Medium</v>
      </c>
      <c r="Y345" t="str">
        <f t="shared" si="53"/>
        <v>Low</v>
      </c>
    </row>
    <row r="346" spans="1:25" ht="15.75" thickBot="1">
      <c r="A346" s="1">
        <v>345</v>
      </c>
      <c r="B346" s="2">
        <v>40558</v>
      </c>
      <c r="C346" s="1">
        <v>1</v>
      </c>
      <c r="D346" s="1">
        <v>0</v>
      </c>
      <c r="E346" s="1">
        <v>1</v>
      </c>
      <c r="F346" s="1">
        <v>20</v>
      </c>
      <c r="G346" s="3" t="b">
        <v>0</v>
      </c>
      <c r="H346" s="1">
        <v>6</v>
      </c>
      <c r="I346" s="1">
        <v>2</v>
      </c>
      <c r="J346" s="7">
        <v>0.32</v>
      </c>
      <c r="K346" s="8">
        <f>VLOOKUP($A346,'Temprorary Data'!$A:$G,2,FALSE)</f>
        <v>0.30299999999999999</v>
      </c>
      <c r="L346" s="8">
        <f>VLOOKUP($A346,'Temprorary Data'!$A:$G,3,FALSE)</f>
        <v>0.39</v>
      </c>
      <c r="M346" s="8">
        <f>VLOOKUP($A346,'Temprorary Data'!$A:$G,4,FALSE)</f>
        <v>0.25369999999999998</v>
      </c>
      <c r="N346" s="9">
        <f>VLOOKUP($A346,'Temprorary Data'!$A:$G,5,FALSE)</f>
        <v>6</v>
      </c>
      <c r="O346" s="9">
        <f>VLOOKUP($A346,'Temprorary Data'!$A:$G,6,FALSE)</f>
        <v>35</v>
      </c>
      <c r="P346" s="9">
        <f>VLOOKUP($A346,'Temprorary Data'!$A:$G,7,FALSE)</f>
        <v>41</v>
      </c>
      <c r="Q346" t="b">
        <f t="shared" si="45"/>
        <v>1</v>
      </c>
      <c r="R346" t="str">
        <f t="shared" si="46"/>
        <v>January</v>
      </c>
      <c r="S346" t="str">
        <f t="shared" si="47"/>
        <v>Saturday</v>
      </c>
      <c r="T346" t="str">
        <f t="shared" si="48"/>
        <v>Weekend</v>
      </c>
      <c r="U346" t="str">
        <f t="shared" si="49"/>
        <v>Spring</v>
      </c>
      <c r="V346" t="str">
        <f t="shared" si="50"/>
        <v>Mist</v>
      </c>
      <c r="W346" t="str">
        <f t="shared" si="51"/>
        <v>Evening Peak</v>
      </c>
      <c r="X346" t="str">
        <f t="shared" si="52"/>
        <v>Medium</v>
      </c>
      <c r="Y346" t="str">
        <f t="shared" si="53"/>
        <v>Low</v>
      </c>
    </row>
    <row r="347" spans="1:25" ht="15.75" thickBot="1">
      <c r="A347" s="1">
        <v>346</v>
      </c>
      <c r="B347" s="2">
        <v>40558</v>
      </c>
      <c r="C347" s="1">
        <v>1</v>
      </c>
      <c r="D347" s="1">
        <v>0</v>
      </c>
      <c r="E347" s="1">
        <v>1</v>
      </c>
      <c r="F347" s="1">
        <v>21</v>
      </c>
      <c r="G347" s="3" t="b">
        <v>0</v>
      </c>
      <c r="H347" s="1">
        <v>6</v>
      </c>
      <c r="I347" s="1">
        <v>2</v>
      </c>
      <c r="J347" s="7">
        <v>0.32</v>
      </c>
      <c r="K347" s="8">
        <f>VLOOKUP($A347,'Temprorary Data'!$A:$G,2,FALSE)</f>
        <v>0.30299999999999999</v>
      </c>
      <c r="L347" s="8">
        <f>VLOOKUP($A347,'Temprorary Data'!$A:$G,3,FALSE)</f>
        <v>0.39</v>
      </c>
      <c r="M347" s="8">
        <f>VLOOKUP($A347,'Temprorary Data'!$A:$G,4,FALSE)</f>
        <v>0.22389999999999999</v>
      </c>
      <c r="N347" s="9">
        <f>VLOOKUP($A347,'Temprorary Data'!$A:$G,5,FALSE)</f>
        <v>6</v>
      </c>
      <c r="O347" s="9">
        <f>VLOOKUP($A347,'Temprorary Data'!$A:$G,6,FALSE)</f>
        <v>51</v>
      </c>
      <c r="P347" s="9">
        <f>VLOOKUP($A347,'Temprorary Data'!$A:$G,7,FALSE)</f>
        <v>57</v>
      </c>
      <c r="Q347" t="b">
        <f t="shared" si="45"/>
        <v>1</v>
      </c>
      <c r="R347" t="str">
        <f t="shared" si="46"/>
        <v>January</v>
      </c>
      <c r="S347" t="str">
        <f t="shared" si="47"/>
        <v>Saturday</v>
      </c>
      <c r="T347" t="str">
        <f t="shared" si="48"/>
        <v>Weekend</v>
      </c>
      <c r="U347" t="str">
        <f t="shared" si="49"/>
        <v>Spring</v>
      </c>
      <c r="V347" t="str">
        <f t="shared" si="50"/>
        <v>Mist</v>
      </c>
      <c r="W347" t="str">
        <f t="shared" si="51"/>
        <v>Off Peak</v>
      </c>
      <c r="X347" t="str">
        <f t="shared" si="52"/>
        <v>Medium</v>
      </c>
      <c r="Y347" t="str">
        <f t="shared" si="53"/>
        <v>Low</v>
      </c>
    </row>
    <row r="348" spans="1:25" ht="15.75" thickBot="1">
      <c r="A348" s="1">
        <v>347</v>
      </c>
      <c r="B348" s="2">
        <v>40558</v>
      </c>
      <c r="C348" s="1">
        <v>1</v>
      </c>
      <c r="D348" s="1">
        <v>0</v>
      </c>
      <c r="E348" s="1">
        <v>1</v>
      </c>
      <c r="F348" s="1">
        <v>22</v>
      </c>
      <c r="G348" s="3" t="b">
        <v>0</v>
      </c>
      <c r="H348" s="1">
        <v>6</v>
      </c>
      <c r="I348" s="1">
        <v>2</v>
      </c>
      <c r="J348" s="7">
        <v>0.3</v>
      </c>
      <c r="K348" s="8">
        <f>VLOOKUP($A348,'Temprorary Data'!$A:$G,2,FALSE)</f>
        <v>0.31819999999999998</v>
      </c>
      <c r="L348" s="8">
        <f>VLOOKUP($A348,'Temprorary Data'!$A:$G,3,FALSE)</f>
        <v>0.42</v>
      </c>
      <c r="M348" s="8">
        <f>VLOOKUP($A348,'Temprorary Data'!$A:$G,4,FALSE)</f>
        <v>0.1045</v>
      </c>
      <c r="N348" s="9">
        <f>VLOOKUP($A348,'Temprorary Data'!$A:$G,5,FALSE)</f>
        <v>0</v>
      </c>
      <c r="O348" s="9">
        <f>VLOOKUP($A348,'Temprorary Data'!$A:$G,6,FALSE)</f>
        <v>26</v>
      </c>
      <c r="P348" s="9">
        <f>VLOOKUP($A348,'Temprorary Data'!$A:$G,7,FALSE)</f>
        <v>26</v>
      </c>
      <c r="Q348" t="b">
        <f t="shared" si="45"/>
        <v>1</v>
      </c>
      <c r="R348" t="str">
        <f t="shared" si="46"/>
        <v>January</v>
      </c>
      <c r="S348" t="str">
        <f t="shared" si="47"/>
        <v>Saturday</v>
      </c>
      <c r="T348" t="str">
        <f t="shared" si="48"/>
        <v>Weekend</v>
      </c>
      <c r="U348" t="str">
        <f t="shared" si="49"/>
        <v>Spring</v>
      </c>
      <c r="V348" t="str">
        <f t="shared" si="50"/>
        <v>Mist</v>
      </c>
      <c r="W348" t="str">
        <f t="shared" si="51"/>
        <v>Off Peak</v>
      </c>
      <c r="X348" t="str">
        <f t="shared" si="52"/>
        <v>Medium</v>
      </c>
      <c r="Y348" t="str">
        <f t="shared" si="53"/>
        <v>Medium</v>
      </c>
    </row>
    <row r="349" spans="1:25" ht="15.75" thickBot="1">
      <c r="A349" s="1">
        <v>348</v>
      </c>
      <c r="B349" s="2">
        <v>40558</v>
      </c>
      <c r="C349" s="1">
        <v>1</v>
      </c>
      <c r="D349" s="1">
        <v>0</v>
      </c>
      <c r="E349" s="1">
        <v>1</v>
      </c>
      <c r="F349" s="1">
        <v>23</v>
      </c>
      <c r="G349" s="3" t="b">
        <v>0</v>
      </c>
      <c r="H349" s="1">
        <v>6</v>
      </c>
      <c r="I349" s="1">
        <v>1</v>
      </c>
      <c r="J349" s="7">
        <v>0.3</v>
      </c>
      <c r="K349" s="8">
        <f>VLOOKUP($A349,'Temprorary Data'!$A:$G,2,FALSE)</f>
        <v>0.28789999999999999</v>
      </c>
      <c r="L349" s="8">
        <f>VLOOKUP($A349,'Temprorary Data'!$A:$G,3,FALSE)</f>
        <v>0.45</v>
      </c>
      <c r="M349" s="8">
        <f>VLOOKUP($A349,'Temprorary Data'!$A:$G,4,FALSE)</f>
        <v>0.28360000000000002</v>
      </c>
      <c r="N349" s="9">
        <f>VLOOKUP($A349,'Temprorary Data'!$A:$G,5,FALSE)</f>
        <v>5</v>
      </c>
      <c r="O349" s="9">
        <f>VLOOKUP($A349,'Temprorary Data'!$A:$G,6,FALSE)</f>
        <v>39</v>
      </c>
      <c r="P349" s="9">
        <f>VLOOKUP($A349,'Temprorary Data'!$A:$G,7,FALSE)</f>
        <v>44</v>
      </c>
      <c r="Q349" t="b">
        <f t="shared" si="45"/>
        <v>1</v>
      </c>
      <c r="R349" t="str">
        <f t="shared" si="46"/>
        <v>January</v>
      </c>
      <c r="S349" t="str">
        <f t="shared" si="47"/>
        <v>Saturday</v>
      </c>
      <c r="T349" t="str">
        <f t="shared" si="48"/>
        <v>Weekend</v>
      </c>
      <c r="U349" t="str">
        <f t="shared" si="49"/>
        <v>Spring</v>
      </c>
      <c r="V349" t="str">
        <f t="shared" si="50"/>
        <v>Clear</v>
      </c>
      <c r="W349" t="str">
        <f t="shared" si="51"/>
        <v>Off Peak</v>
      </c>
      <c r="X349" t="str">
        <f t="shared" si="52"/>
        <v>Medium</v>
      </c>
      <c r="Y349" t="str">
        <f t="shared" si="53"/>
        <v>Medium</v>
      </c>
    </row>
    <row r="350" spans="1:25" ht="15.75" thickBot="1">
      <c r="A350" s="1">
        <v>349</v>
      </c>
      <c r="B350" s="2">
        <v>40559</v>
      </c>
      <c r="C350" s="1">
        <v>1</v>
      </c>
      <c r="D350" s="1">
        <v>0</v>
      </c>
      <c r="E350" s="1">
        <v>1</v>
      </c>
      <c r="F350" s="1">
        <v>0</v>
      </c>
      <c r="G350" s="3" t="b">
        <v>0</v>
      </c>
      <c r="H350" s="1">
        <v>0</v>
      </c>
      <c r="I350" s="1">
        <v>1</v>
      </c>
      <c r="J350" s="7">
        <v>0.26</v>
      </c>
      <c r="K350" s="8">
        <f>VLOOKUP($A350,'Temprorary Data'!$A:$G,2,FALSE)</f>
        <v>0.30299999999999999</v>
      </c>
      <c r="L350" s="8">
        <f>VLOOKUP($A350,'Temprorary Data'!$A:$G,3,FALSE)</f>
        <v>0.56000000000000005</v>
      </c>
      <c r="M350" s="8">
        <f>VLOOKUP($A350,'Temprorary Data'!$A:$G,4,FALSE)</f>
        <v>0</v>
      </c>
      <c r="N350" s="9">
        <f>VLOOKUP($A350,'Temprorary Data'!$A:$G,5,FALSE)</f>
        <v>6</v>
      </c>
      <c r="O350" s="9">
        <f>VLOOKUP($A350,'Temprorary Data'!$A:$G,6,FALSE)</f>
        <v>33</v>
      </c>
      <c r="P350" s="9">
        <f>VLOOKUP($A350,'Temprorary Data'!$A:$G,7,FALSE)</f>
        <v>39</v>
      </c>
      <c r="Q350" t="b">
        <f t="shared" si="45"/>
        <v>1</v>
      </c>
      <c r="R350" t="str">
        <f t="shared" si="46"/>
        <v>January</v>
      </c>
      <c r="S350" t="str">
        <f t="shared" si="47"/>
        <v>Sunday</v>
      </c>
      <c r="T350" t="str">
        <f t="shared" si="48"/>
        <v>Weekend</v>
      </c>
      <c r="U350" t="str">
        <f t="shared" si="49"/>
        <v>Spring</v>
      </c>
      <c r="V350" t="str">
        <f t="shared" si="50"/>
        <v>Clear</v>
      </c>
      <c r="W350" t="str">
        <f t="shared" si="51"/>
        <v>Off Peak</v>
      </c>
      <c r="X350" t="str">
        <f t="shared" si="52"/>
        <v>Low</v>
      </c>
      <c r="Y350" t="str">
        <f t="shared" si="53"/>
        <v>Medium</v>
      </c>
    </row>
    <row r="351" spans="1:25" ht="15.75" thickBot="1">
      <c r="A351" s="1">
        <v>350</v>
      </c>
      <c r="B351" s="2">
        <v>40559</v>
      </c>
      <c r="C351" s="1">
        <v>1</v>
      </c>
      <c r="D351" s="1">
        <v>0</v>
      </c>
      <c r="E351" s="1">
        <v>1</v>
      </c>
      <c r="F351" s="1">
        <v>1</v>
      </c>
      <c r="G351" s="3" t="b">
        <v>0</v>
      </c>
      <c r="H351" s="1">
        <v>0</v>
      </c>
      <c r="I351" s="1">
        <v>1</v>
      </c>
      <c r="J351" s="7">
        <v>0.26</v>
      </c>
      <c r="K351" s="8">
        <f>VLOOKUP($A351,'Temprorary Data'!$A:$G,2,FALSE)</f>
        <v>0.2727</v>
      </c>
      <c r="L351" s="8">
        <f>VLOOKUP($A351,'Temprorary Data'!$A:$G,3,FALSE)</f>
        <v>0.56000000000000005</v>
      </c>
      <c r="M351" s="8">
        <f>VLOOKUP($A351,'Temprorary Data'!$A:$G,4,FALSE)</f>
        <v>0.1343</v>
      </c>
      <c r="N351" s="9">
        <f>VLOOKUP($A351,'Temprorary Data'!$A:$G,5,FALSE)</f>
        <v>4</v>
      </c>
      <c r="O351" s="9">
        <f>VLOOKUP($A351,'Temprorary Data'!$A:$G,6,FALSE)</f>
        <v>19</v>
      </c>
      <c r="P351" s="9">
        <f>VLOOKUP($A351,'Temprorary Data'!$A:$G,7,FALSE)</f>
        <v>23</v>
      </c>
      <c r="Q351" t="b">
        <f t="shared" si="45"/>
        <v>1</v>
      </c>
      <c r="R351" t="str">
        <f t="shared" si="46"/>
        <v>January</v>
      </c>
      <c r="S351" t="str">
        <f t="shared" si="47"/>
        <v>Sunday</v>
      </c>
      <c r="T351" t="str">
        <f t="shared" si="48"/>
        <v>Weekend</v>
      </c>
      <c r="U351" t="str">
        <f t="shared" si="49"/>
        <v>Spring</v>
      </c>
      <c r="V351" t="str">
        <f t="shared" si="50"/>
        <v>Clear</v>
      </c>
      <c r="W351" t="str">
        <f t="shared" si="51"/>
        <v>Off Peak</v>
      </c>
      <c r="X351" t="str">
        <f t="shared" si="52"/>
        <v>Low</v>
      </c>
      <c r="Y351" t="str">
        <f t="shared" si="53"/>
        <v>Medium</v>
      </c>
    </row>
    <row r="352" spans="1:25" ht="15.75" thickBot="1">
      <c r="A352" s="1">
        <v>351</v>
      </c>
      <c r="B352" s="2">
        <v>40559</v>
      </c>
      <c r="C352" s="1">
        <v>1</v>
      </c>
      <c r="D352" s="1">
        <v>0</v>
      </c>
      <c r="E352" s="1">
        <v>1</v>
      </c>
      <c r="F352" s="1">
        <v>2</v>
      </c>
      <c r="G352" s="3" t="b">
        <v>0</v>
      </c>
      <c r="H352" s="1">
        <v>0</v>
      </c>
      <c r="I352" s="1">
        <v>1</v>
      </c>
      <c r="J352" s="7">
        <v>0.26</v>
      </c>
      <c r="K352" s="8">
        <f>VLOOKUP($A352,'Temprorary Data'!$A:$G,2,FALSE)</f>
        <v>0.28789999999999999</v>
      </c>
      <c r="L352" s="8">
        <f>VLOOKUP($A352,'Temprorary Data'!$A:$G,3,FALSE)</f>
        <v>0.56000000000000005</v>
      </c>
      <c r="M352" s="8">
        <f>VLOOKUP($A352,'Temprorary Data'!$A:$G,4,FALSE)</f>
        <v>8.9599999999999999E-2</v>
      </c>
      <c r="N352" s="9">
        <f>VLOOKUP($A352,'Temprorary Data'!$A:$G,5,FALSE)</f>
        <v>3</v>
      </c>
      <c r="O352" s="9">
        <f>VLOOKUP($A352,'Temprorary Data'!$A:$G,6,FALSE)</f>
        <v>13</v>
      </c>
      <c r="P352" s="9">
        <f>VLOOKUP($A352,'Temprorary Data'!$A:$G,7,FALSE)</f>
        <v>16</v>
      </c>
      <c r="Q352" t="b">
        <f t="shared" si="45"/>
        <v>1</v>
      </c>
      <c r="R352" t="str">
        <f t="shared" si="46"/>
        <v>January</v>
      </c>
      <c r="S352" t="str">
        <f t="shared" si="47"/>
        <v>Sunday</v>
      </c>
      <c r="T352" t="str">
        <f t="shared" si="48"/>
        <v>Weekend</v>
      </c>
      <c r="U352" t="str">
        <f t="shared" si="49"/>
        <v>Spring</v>
      </c>
      <c r="V352" t="str">
        <f t="shared" si="50"/>
        <v>Clear</v>
      </c>
      <c r="W352" t="str">
        <f t="shared" si="51"/>
        <v>Off Peak</v>
      </c>
      <c r="X352" t="str">
        <f t="shared" si="52"/>
        <v>Low</v>
      </c>
      <c r="Y352" t="str">
        <f t="shared" si="53"/>
        <v>Medium</v>
      </c>
    </row>
    <row r="353" spans="1:25" ht="15.75" thickBot="1">
      <c r="A353" s="1">
        <v>352</v>
      </c>
      <c r="B353" s="2">
        <v>40559</v>
      </c>
      <c r="C353" s="1">
        <v>1</v>
      </c>
      <c r="D353" s="1">
        <v>0</v>
      </c>
      <c r="E353" s="1">
        <v>1</v>
      </c>
      <c r="F353" s="1">
        <v>3</v>
      </c>
      <c r="G353" s="3" t="b">
        <v>0</v>
      </c>
      <c r="H353" s="1">
        <v>0</v>
      </c>
      <c r="I353" s="1">
        <v>1</v>
      </c>
      <c r="J353" s="7">
        <v>0.22</v>
      </c>
      <c r="K353" s="8">
        <f>VLOOKUP($A353,'Temprorary Data'!$A:$G,2,FALSE)</f>
        <v>0.2727</v>
      </c>
      <c r="L353" s="8">
        <f>VLOOKUP($A353,'Temprorary Data'!$A:$G,3,FALSE)</f>
        <v>0.69</v>
      </c>
      <c r="M353" s="8">
        <f>VLOOKUP($A353,'Temprorary Data'!$A:$G,4,FALSE)</f>
        <v>0</v>
      </c>
      <c r="N353" s="9">
        <f>VLOOKUP($A353,'Temprorary Data'!$A:$G,5,FALSE)</f>
        <v>9</v>
      </c>
      <c r="O353" s="9">
        <f>VLOOKUP($A353,'Temprorary Data'!$A:$G,6,FALSE)</f>
        <v>6</v>
      </c>
      <c r="P353" s="9">
        <f>VLOOKUP($A353,'Temprorary Data'!$A:$G,7,FALSE)</f>
        <v>15</v>
      </c>
      <c r="Q353" t="b">
        <f t="shared" si="45"/>
        <v>1</v>
      </c>
      <c r="R353" t="str">
        <f t="shared" si="46"/>
        <v>January</v>
      </c>
      <c r="S353" t="str">
        <f t="shared" si="47"/>
        <v>Sunday</v>
      </c>
      <c r="T353" t="str">
        <f t="shared" si="48"/>
        <v>Weekend</v>
      </c>
      <c r="U353" t="str">
        <f t="shared" si="49"/>
        <v>Spring</v>
      </c>
      <c r="V353" t="str">
        <f t="shared" si="50"/>
        <v>Clear</v>
      </c>
      <c r="W353" t="str">
        <f t="shared" si="51"/>
        <v>Off Peak</v>
      </c>
      <c r="X353" t="str">
        <f t="shared" si="52"/>
        <v>Low</v>
      </c>
      <c r="Y353" t="str">
        <f t="shared" si="53"/>
        <v>Medium</v>
      </c>
    </row>
    <row r="354" spans="1:25" ht="15.75" thickBot="1">
      <c r="A354" s="1">
        <v>353</v>
      </c>
      <c r="B354" s="2">
        <v>40559</v>
      </c>
      <c r="C354" s="1">
        <v>1</v>
      </c>
      <c r="D354" s="1">
        <v>0</v>
      </c>
      <c r="E354" s="1">
        <v>1</v>
      </c>
      <c r="F354" s="1">
        <v>4</v>
      </c>
      <c r="G354" s="3" t="b">
        <v>0</v>
      </c>
      <c r="H354" s="1">
        <v>0</v>
      </c>
      <c r="I354" s="1">
        <v>1</v>
      </c>
      <c r="J354" s="7">
        <v>0.26</v>
      </c>
      <c r="K354" s="8">
        <f>VLOOKUP($A354,'Temprorary Data'!$A:$G,2,FALSE)</f>
        <v>0.2576</v>
      </c>
      <c r="L354" s="8">
        <f>VLOOKUP($A354,'Temprorary Data'!$A:$G,3,FALSE)</f>
        <v>0.56000000000000005</v>
      </c>
      <c r="M354" s="8">
        <f>VLOOKUP($A354,'Temprorary Data'!$A:$G,4,FALSE)</f>
        <v>0.16420000000000001</v>
      </c>
      <c r="N354" s="9">
        <f>VLOOKUP($A354,'Temprorary Data'!$A:$G,5,FALSE)</f>
        <v>0</v>
      </c>
      <c r="O354" s="9">
        <f>VLOOKUP($A354,'Temprorary Data'!$A:$G,6,FALSE)</f>
        <v>1</v>
      </c>
      <c r="P354" s="9">
        <f>VLOOKUP($A354,'Temprorary Data'!$A:$G,7,FALSE)</f>
        <v>1</v>
      </c>
      <c r="Q354" t="b">
        <f t="shared" si="45"/>
        <v>1</v>
      </c>
      <c r="R354" t="str">
        <f t="shared" si="46"/>
        <v>January</v>
      </c>
      <c r="S354" t="str">
        <f t="shared" si="47"/>
        <v>Sunday</v>
      </c>
      <c r="T354" t="str">
        <f t="shared" si="48"/>
        <v>Weekend</v>
      </c>
      <c r="U354" t="str">
        <f t="shared" si="49"/>
        <v>Spring</v>
      </c>
      <c r="V354" t="str">
        <f t="shared" si="50"/>
        <v>Clear</v>
      </c>
      <c r="W354" t="str">
        <f t="shared" si="51"/>
        <v>Off Peak</v>
      </c>
      <c r="X354" t="str">
        <f t="shared" si="52"/>
        <v>Low</v>
      </c>
      <c r="Y354" t="str">
        <f t="shared" si="53"/>
        <v>Medium</v>
      </c>
    </row>
    <row r="355" spans="1:25" ht="15.75" thickBot="1">
      <c r="A355" s="1">
        <v>354</v>
      </c>
      <c r="B355" s="2">
        <v>40559</v>
      </c>
      <c r="C355" s="1">
        <v>1</v>
      </c>
      <c r="D355" s="1">
        <v>0</v>
      </c>
      <c r="E355" s="1">
        <v>1</v>
      </c>
      <c r="F355" s="1">
        <v>5</v>
      </c>
      <c r="G355" s="3" t="b">
        <v>0</v>
      </c>
      <c r="H355" s="1">
        <v>0</v>
      </c>
      <c r="I355" s="1">
        <v>2</v>
      </c>
      <c r="J355" s="7">
        <v>0.26</v>
      </c>
      <c r="K355" s="8">
        <f>VLOOKUP($A355,'Temprorary Data'!$A:$G,2,FALSE)</f>
        <v>0.2576</v>
      </c>
      <c r="L355" s="8">
        <f>VLOOKUP($A355,'Temprorary Data'!$A:$G,3,FALSE)</f>
        <v>0.56000000000000005</v>
      </c>
      <c r="M355" s="8">
        <f>VLOOKUP($A355,'Temprorary Data'!$A:$G,4,FALSE)</f>
        <v>0.16420000000000001</v>
      </c>
      <c r="N355" s="9">
        <f>VLOOKUP($A355,'Temprorary Data'!$A:$G,5,FALSE)</f>
        <v>1</v>
      </c>
      <c r="O355" s="9">
        <f>VLOOKUP($A355,'Temprorary Data'!$A:$G,6,FALSE)</f>
        <v>1</v>
      </c>
      <c r="P355" s="9">
        <f>VLOOKUP($A355,'Temprorary Data'!$A:$G,7,FALSE)</f>
        <v>2</v>
      </c>
      <c r="Q355" t="b">
        <f t="shared" si="45"/>
        <v>1</v>
      </c>
      <c r="R355" t="str">
        <f t="shared" si="46"/>
        <v>January</v>
      </c>
      <c r="S355" t="str">
        <f t="shared" si="47"/>
        <v>Sunday</v>
      </c>
      <c r="T355" t="str">
        <f t="shared" si="48"/>
        <v>Weekend</v>
      </c>
      <c r="U355" t="str">
        <f t="shared" si="49"/>
        <v>Spring</v>
      </c>
      <c r="V355" t="str">
        <f t="shared" si="50"/>
        <v>Mist</v>
      </c>
      <c r="W355" t="str">
        <f t="shared" si="51"/>
        <v>Off Peak</v>
      </c>
      <c r="X355" t="str">
        <f t="shared" si="52"/>
        <v>Low</v>
      </c>
      <c r="Y355" t="str">
        <f t="shared" si="53"/>
        <v>Medium</v>
      </c>
    </row>
    <row r="356" spans="1:25" ht="15.75" thickBot="1">
      <c r="A356" s="1">
        <v>355</v>
      </c>
      <c r="B356" s="2">
        <v>40559</v>
      </c>
      <c r="C356" s="1">
        <v>1</v>
      </c>
      <c r="D356" s="1">
        <v>0</v>
      </c>
      <c r="E356" s="1">
        <v>1</v>
      </c>
      <c r="F356" s="1">
        <v>6</v>
      </c>
      <c r="G356" s="3" t="b">
        <v>0</v>
      </c>
      <c r="H356" s="1">
        <v>0</v>
      </c>
      <c r="I356" s="1">
        <v>2</v>
      </c>
      <c r="J356" s="7">
        <v>0.26</v>
      </c>
      <c r="K356" s="8">
        <f>VLOOKUP($A356,'Temprorary Data'!$A:$G,2,FALSE)</f>
        <v>0.2576</v>
      </c>
      <c r="L356" s="8">
        <f>VLOOKUP($A356,'Temprorary Data'!$A:$G,3,FALSE)</f>
        <v>0.56000000000000005</v>
      </c>
      <c r="M356" s="8">
        <f>VLOOKUP($A356,'Temprorary Data'!$A:$G,4,FALSE)</f>
        <v>0.16420000000000001</v>
      </c>
      <c r="N356" s="9">
        <f>VLOOKUP($A356,'Temprorary Data'!$A:$G,5,FALSE)</f>
        <v>0</v>
      </c>
      <c r="O356" s="9">
        <f>VLOOKUP($A356,'Temprorary Data'!$A:$G,6,FALSE)</f>
        <v>1</v>
      </c>
      <c r="P356" s="9">
        <f>VLOOKUP($A356,'Temprorary Data'!$A:$G,7,FALSE)</f>
        <v>1</v>
      </c>
      <c r="Q356" t="b">
        <f t="shared" si="45"/>
        <v>1</v>
      </c>
      <c r="R356" t="str">
        <f t="shared" si="46"/>
        <v>January</v>
      </c>
      <c r="S356" t="str">
        <f t="shared" si="47"/>
        <v>Sunday</v>
      </c>
      <c r="T356" t="str">
        <f t="shared" si="48"/>
        <v>Weekend</v>
      </c>
      <c r="U356" t="str">
        <f t="shared" si="49"/>
        <v>Spring</v>
      </c>
      <c r="V356" t="str">
        <f t="shared" si="50"/>
        <v>Mist</v>
      </c>
      <c r="W356" t="str">
        <f t="shared" si="51"/>
        <v>Off Peak</v>
      </c>
      <c r="X356" t="str">
        <f t="shared" si="52"/>
        <v>Low</v>
      </c>
      <c r="Y356" t="str">
        <f t="shared" si="53"/>
        <v>Medium</v>
      </c>
    </row>
    <row r="357" spans="1:25" ht="15.75" thickBot="1">
      <c r="A357" s="1">
        <v>356</v>
      </c>
      <c r="B357" s="2">
        <v>40559</v>
      </c>
      <c r="C357" s="1">
        <v>1</v>
      </c>
      <c r="D357" s="1">
        <v>0</v>
      </c>
      <c r="E357" s="1">
        <v>1</v>
      </c>
      <c r="F357" s="1">
        <v>7</v>
      </c>
      <c r="G357" s="3" t="b">
        <v>0</v>
      </c>
      <c r="H357" s="1">
        <v>0</v>
      </c>
      <c r="I357" s="1">
        <v>2</v>
      </c>
      <c r="J357" s="7">
        <v>0.24</v>
      </c>
      <c r="K357" s="8">
        <f>VLOOKUP($A357,'Temprorary Data'!$A:$G,2,FALSE)</f>
        <v>0.21210000000000001</v>
      </c>
      <c r="L357" s="8">
        <f>VLOOKUP($A357,'Temprorary Data'!$A:$G,3,FALSE)</f>
        <v>0.56000000000000005</v>
      </c>
      <c r="M357" s="8">
        <f>VLOOKUP($A357,'Temprorary Data'!$A:$G,4,FALSE)</f>
        <v>0.29849999999999999</v>
      </c>
      <c r="N357" s="9">
        <f>VLOOKUP($A357,'Temprorary Data'!$A:$G,5,FALSE)</f>
        <v>0</v>
      </c>
      <c r="O357" s="9">
        <f>VLOOKUP($A357,'Temprorary Data'!$A:$G,6,FALSE)</f>
        <v>3</v>
      </c>
      <c r="P357" s="9">
        <f>VLOOKUP($A357,'Temprorary Data'!$A:$G,7,FALSE)</f>
        <v>3</v>
      </c>
      <c r="Q357" t="b">
        <f t="shared" si="45"/>
        <v>1</v>
      </c>
      <c r="R357" t="str">
        <f t="shared" si="46"/>
        <v>January</v>
      </c>
      <c r="S357" t="str">
        <f t="shared" si="47"/>
        <v>Sunday</v>
      </c>
      <c r="T357" t="str">
        <f t="shared" si="48"/>
        <v>Weekend</v>
      </c>
      <c r="U357" t="str">
        <f t="shared" si="49"/>
        <v>Spring</v>
      </c>
      <c r="V357" t="str">
        <f t="shared" si="50"/>
        <v>Mist</v>
      </c>
      <c r="W357" t="str">
        <f t="shared" si="51"/>
        <v>Morning Peak</v>
      </c>
      <c r="X357" t="str">
        <f t="shared" si="52"/>
        <v>Low</v>
      </c>
      <c r="Y357" t="str">
        <f t="shared" si="53"/>
        <v>Medium</v>
      </c>
    </row>
    <row r="358" spans="1:25" ht="15.75" thickBot="1">
      <c r="A358" s="1">
        <v>357</v>
      </c>
      <c r="B358" s="2">
        <v>40559</v>
      </c>
      <c r="C358" s="1">
        <v>1</v>
      </c>
      <c r="D358" s="1">
        <v>0</v>
      </c>
      <c r="E358" s="1">
        <v>1</v>
      </c>
      <c r="F358" s="1">
        <v>8</v>
      </c>
      <c r="G358" s="3" t="b">
        <v>0</v>
      </c>
      <c r="H358" s="1">
        <v>0</v>
      </c>
      <c r="I358" s="1">
        <v>1</v>
      </c>
      <c r="J358" s="7">
        <v>0.22</v>
      </c>
      <c r="K358" s="8">
        <f>VLOOKUP($A358,'Temprorary Data'!$A:$G,2,FALSE)</f>
        <v>0.21210000000000001</v>
      </c>
      <c r="L358" s="8">
        <f>VLOOKUP($A358,'Temprorary Data'!$A:$G,3,FALSE)</f>
        <v>0.55000000000000004</v>
      </c>
      <c r="M358" s="8">
        <f>VLOOKUP($A358,'Temprorary Data'!$A:$G,4,FALSE)</f>
        <v>0.28360000000000002</v>
      </c>
      <c r="N358" s="9">
        <f>VLOOKUP($A358,'Temprorary Data'!$A:$G,5,FALSE)</f>
        <v>0</v>
      </c>
      <c r="O358" s="9">
        <f>VLOOKUP($A358,'Temprorary Data'!$A:$G,6,FALSE)</f>
        <v>18</v>
      </c>
      <c r="P358" s="9">
        <f>VLOOKUP($A358,'Temprorary Data'!$A:$G,7,FALSE)</f>
        <v>18</v>
      </c>
      <c r="Q358" t="b">
        <f t="shared" si="45"/>
        <v>1</v>
      </c>
      <c r="R358" t="str">
        <f t="shared" si="46"/>
        <v>January</v>
      </c>
      <c r="S358" t="str">
        <f t="shared" si="47"/>
        <v>Sunday</v>
      </c>
      <c r="T358" t="str">
        <f t="shared" si="48"/>
        <v>Weekend</v>
      </c>
      <c r="U358" t="str">
        <f t="shared" si="49"/>
        <v>Spring</v>
      </c>
      <c r="V358" t="str">
        <f t="shared" si="50"/>
        <v>Clear</v>
      </c>
      <c r="W358" t="str">
        <f t="shared" si="51"/>
        <v>Morning Peak</v>
      </c>
      <c r="X358" t="str">
        <f t="shared" si="52"/>
        <v>Low</v>
      </c>
      <c r="Y358" t="str">
        <f t="shared" si="53"/>
        <v>Medium</v>
      </c>
    </row>
    <row r="359" spans="1:25" ht="15.75" thickBot="1">
      <c r="A359" s="1">
        <v>358</v>
      </c>
      <c r="B359" s="2">
        <v>40559</v>
      </c>
      <c r="C359" s="1">
        <v>1</v>
      </c>
      <c r="D359" s="1">
        <v>0</v>
      </c>
      <c r="E359" s="1">
        <v>1</v>
      </c>
      <c r="F359" s="1">
        <v>9</v>
      </c>
      <c r="G359" s="3" t="b">
        <v>0</v>
      </c>
      <c r="H359" s="1">
        <v>0</v>
      </c>
      <c r="I359" s="1">
        <v>1</v>
      </c>
      <c r="J359" s="7">
        <v>0.22</v>
      </c>
      <c r="K359" s="8">
        <f>VLOOKUP($A359,'Temprorary Data'!$A:$G,2,FALSE)</f>
        <v>0.21210000000000001</v>
      </c>
      <c r="L359" s="8">
        <f>VLOOKUP($A359,'Temprorary Data'!$A:$G,3,FALSE)</f>
        <v>0.51</v>
      </c>
      <c r="M359" s="8">
        <f>VLOOKUP($A359,'Temprorary Data'!$A:$G,4,FALSE)</f>
        <v>0.25369999999999998</v>
      </c>
      <c r="N359" s="9">
        <f>VLOOKUP($A359,'Temprorary Data'!$A:$G,5,FALSE)</f>
        <v>3</v>
      </c>
      <c r="O359" s="9">
        <f>VLOOKUP($A359,'Temprorary Data'!$A:$G,6,FALSE)</f>
        <v>29</v>
      </c>
      <c r="P359" s="9">
        <f>VLOOKUP($A359,'Temprorary Data'!$A:$G,7,FALSE)</f>
        <v>32</v>
      </c>
      <c r="Q359" t="b">
        <f t="shared" si="45"/>
        <v>1</v>
      </c>
      <c r="R359" t="str">
        <f t="shared" si="46"/>
        <v>January</v>
      </c>
      <c r="S359" t="str">
        <f t="shared" si="47"/>
        <v>Sunday</v>
      </c>
      <c r="T359" t="str">
        <f t="shared" si="48"/>
        <v>Weekend</v>
      </c>
      <c r="U359" t="str">
        <f t="shared" si="49"/>
        <v>Spring</v>
      </c>
      <c r="V359" t="str">
        <f t="shared" si="50"/>
        <v>Clear</v>
      </c>
      <c r="W359" t="str">
        <f t="shared" si="51"/>
        <v>Morning Peak</v>
      </c>
      <c r="X359" t="str">
        <f t="shared" si="52"/>
        <v>Low</v>
      </c>
      <c r="Y359" t="str">
        <f t="shared" si="53"/>
        <v>Medium</v>
      </c>
    </row>
    <row r="360" spans="1:25" ht="15.75" thickBot="1">
      <c r="A360" s="1">
        <v>359</v>
      </c>
      <c r="B360" s="2">
        <v>40559</v>
      </c>
      <c r="C360" s="1">
        <v>1</v>
      </c>
      <c r="D360" s="1">
        <v>0</v>
      </c>
      <c r="E360" s="1">
        <v>1</v>
      </c>
      <c r="F360" s="1">
        <v>10</v>
      </c>
      <c r="G360" s="3" t="b">
        <v>0</v>
      </c>
      <c r="H360" s="1">
        <v>0</v>
      </c>
      <c r="I360" s="1">
        <v>1</v>
      </c>
      <c r="J360" s="7">
        <v>0.22</v>
      </c>
      <c r="K360" s="8">
        <f>VLOOKUP($A360,'Temprorary Data'!$A:$G,2,FALSE)</f>
        <v>0.21210000000000001</v>
      </c>
      <c r="L360" s="8">
        <f>VLOOKUP($A360,'Temprorary Data'!$A:$G,3,FALSE)</f>
        <v>0.51</v>
      </c>
      <c r="M360" s="8">
        <f>VLOOKUP($A360,'Temprorary Data'!$A:$G,4,FALSE)</f>
        <v>0.28360000000000002</v>
      </c>
      <c r="N360" s="9">
        <f>VLOOKUP($A360,'Temprorary Data'!$A:$G,5,FALSE)</f>
        <v>8</v>
      </c>
      <c r="O360" s="9">
        <f>VLOOKUP($A360,'Temprorary Data'!$A:$G,6,FALSE)</f>
        <v>71</v>
      </c>
      <c r="P360" s="9">
        <f>VLOOKUP($A360,'Temprorary Data'!$A:$G,7,FALSE)</f>
        <v>79</v>
      </c>
      <c r="Q360" t="b">
        <f t="shared" si="45"/>
        <v>1</v>
      </c>
      <c r="R360" t="str">
        <f t="shared" si="46"/>
        <v>January</v>
      </c>
      <c r="S360" t="str">
        <f t="shared" si="47"/>
        <v>Sunday</v>
      </c>
      <c r="T360" t="str">
        <f t="shared" si="48"/>
        <v>Weekend</v>
      </c>
      <c r="U360" t="str">
        <f t="shared" si="49"/>
        <v>Spring</v>
      </c>
      <c r="V360" t="str">
        <f t="shared" si="50"/>
        <v>Clear</v>
      </c>
      <c r="W360" t="str">
        <f t="shared" si="51"/>
        <v>Off Peak</v>
      </c>
      <c r="X360" t="str">
        <f t="shared" si="52"/>
        <v>Low</v>
      </c>
      <c r="Y360" t="str">
        <f t="shared" si="53"/>
        <v>Medium</v>
      </c>
    </row>
    <row r="361" spans="1:25" ht="15.75" thickBot="1">
      <c r="A361" s="1">
        <v>360</v>
      </c>
      <c r="B361" s="2">
        <v>40559</v>
      </c>
      <c r="C361" s="1">
        <v>1</v>
      </c>
      <c r="D361" s="1">
        <v>0</v>
      </c>
      <c r="E361" s="1">
        <v>1</v>
      </c>
      <c r="F361" s="1">
        <v>11</v>
      </c>
      <c r="G361" s="3" t="b">
        <v>0</v>
      </c>
      <c r="H361" s="1">
        <v>0</v>
      </c>
      <c r="I361" s="1">
        <v>1</v>
      </c>
      <c r="J361" s="7">
        <v>0.24</v>
      </c>
      <c r="K361" s="8">
        <f>VLOOKUP($A361,'Temprorary Data'!$A:$G,2,FALSE)</f>
        <v>0.2273</v>
      </c>
      <c r="L361" s="8">
        <f>VLOOKUP($A361,'Temprorary Data'!$A:$G,3,FALSE)</f>
        <v>0.44</v>
      </c>
      <c r="M361" s="8">
        <f>VLOOKUP($A361,'Temprorary Data'!$A:$G,4,FALSE)</f>
        <v>0.25369999999999998</v>
      </c>
      <c r="N361" s="9">
        <f>VLOOKUP($A361,'Temprorary Data'!$A:$G,5,FALSE)</f>
        <v>23</v>
      </c>
      <c r="O361" s="9">
        <f>VLOOKUP($A361,'Temprorary Data'!$A:$G,6,FALSE)</f>
        <v>70</v>
      </c>
      <c r="P361" s="9">
        <f>VLOOKUP($A361,'Temprorary Data'!$A:$G,7,FALSE)</f>
        <v>93</v>
      </c>
      <c r="Q361" t="b">
        <f t="shared" si="45"/>
        <v>1</v>
      </c>
      <c r="R361" t="str">
        <f t="shared" si="46"/>
        <v>January</v>
      </c>
      <c r="S361" t="str">
        <f t="shared" si="47"/>
        <v>Sunday</v>
      </c>
      <c r="T361" t="str">
        <f t="shared" si="48"/>
        <v>Weekend</v>
      </c>
      <c r="U361" t="str">
        <f t="shared" si="49"/>
        <v>Spring</v>
      </c>
      <c r="V361" t="str">
        <f t="shared" si="50"/>
        <v>Clear</v>
      </c>
      <c r="W361" t="str">
        <f t="shared" si="51"/>
        <v>Off Peak</v>
      </c>
      <c r="X361" t="str">
        <f t="shared" si="52"/>
        <v>Low</v>
      </c>
      <c r="Y361" t="str">
        <f t="shared" si="53"/>
        <v>Medium</v>
      </c>
    </row>
    <row r="362" spans="1:25" ht="15.75" thickBot="1">
      <c r="A362" s="1">
        <v>361</v>
      </c>
      <c r="B362" s="2">
        <v>40559</v>
      </c>
      <c r="C362" s="1">
        <v>1</v>
      </c>
      <c r="D362" s="1">
        <v>0</v>
      </c>
      <c r="E362" s="1">
        <v>1</v>
      </c>
      <c r="F362" s="1">
        <v>12</v>
      </c>
      <c r="G362" s="3" t="b">
        <v>0</v>
      </c>
      <c r="H362" s="1">
        <v>0</v>
      </c>
      <c r="I362" s="1">
        <v>1</v>
      </c>
      <c r="J362" s="7">
        <v>0.24</v>
      </c>
      <c r="K362" s="8">
        <f>VLOOKUP($A362,'Temprorary Data'!$A:$G,2,FALSE)</f>
        <v>0.21210000000000001</v>
      </c>
      <c r="L362" s="8">
        <f>VLOOKUP($A362,'Temprorary Data'!$A:$G,3,FALSE)</f>
        <v>0.41</v>
      </c>
      <c r="M362" s="8">
        <f>VLOOKUP($A362,'Temprorary Data'!$A:$G,4,FALSE)</f>
        <v>0.28360000000000002</v>
      </c>
      <c r="N362" s="9">
        <f>VLOOKUP($A362,'Temprorary Data'!$A:$G,5,FALSE)</f>
        <v>29</v>
      </c>
      <c r="O362" s="9">
        <f>VLOOKUP($A362,'Temprorary Data'!$A:$G,6,FALSE)</f>
        <v>75</v>
      </c>
      <c r="P362" s="9">
        <f>VLOOKUP($A362,'Temprorary Data'!$A:$G,7,FALSE)</f>
        <v>104</v>
      </c>
      <c r="Q362" t="b">
        <f t="shared" si="45"/>
        <v>1</v>
      </c>
      <c r="R362" t="str">
        <f t="shared" si="46"/>
        <v>January</v>
      </c>
      <c r="S362" t="str">
        <f t="shared" si="47"/>
        <v>Sunday</v>
      </c>
      <c r="T362" t="str">
        <f t="shared" si="48"/>
        <v>Weekend</v>
      </c>
      <c r="U362" t="str">
        <f t="shared" si="49"/>
        <v>Spring</v>
      </c>
      <c r="V362" t="str">
        <f t="shared" si="50"/>
        <v>Clear</v>
      </c>
      <c r="W362" t="str">
        <f t="shared" si="51"/>
        <v>Off Peak</v>
      </c>
      <c r="X362" t="str">
        <f t="shared" si="52"/>
        <v>Low</v>
      </c>
      <c r="Y362" t="str">
        <f t="shared" si="53"/>
        <v>Medium</v>
      </c>
    </row>
    <row r="363" spans="1:25" ht="15.75" thickBot="1">
      <c r="A363" s="1">
        <v>362</v>
      </c>
      <c r="B363" s="2">
        <v>40559</v>
      </c>
      <c r="C363" s="1">
        <v>1</v>
      </c>
      <c r="D363" s="1">
        <v>0</v>
      </c>
      <c r="E363" s="1">
        <v>1</v>
      </c>
      <c r="F363" s="1">
        <v>13</v>
      </c>
      <c r="G363" s="3" t="b">
        <v>0</v>
      </c>
      <c r="H363" s="1">
        <v>0</v>
      </c>
      <c r="I363" s="1">
        <v>1</v>
      </c>
      <c r="J363" s="7">
        <v>0.26</v>
      </c>
      <c r="K363" s="8">
        <f>VLOOKUP($A363,'Temprorary Data'!$A:$G,2,FALSE)</f>
        <v>0.2273</v>
      </c>
      <c r="L363" s="8">
        <f>VLOOKUP($A363,'Temprorary Data'!$A:$G,3,FALSE)</f>
        <v>0.35</v>
      </c>
      <c r="M363" s="8">
        <f>VLOOKUP($A363,'Temprorary Data'!$A:$G,4,FALSE)</f>
        <v>0.29849999999999999</v>
      </c>
      <c r="N363" s="9">
        <f>VLOOKUP($A363,'Temprorary Data'!$A:$G,5,FALSE)</f>
        <v>23</v>
      </c>
      <c r="O363" s="9">
        <f>VLOOKUP($A363,'Temprorary Data'!$A:$G,6,FALSE)</f>
        <v>95</v>
      </c>
      <c r="P363" s="9">
        <f>VLOOKUP($A363,'Temprorary Data'!$A:$G,7,FALSE)</f>
        <v>118</v>
      </c>
      <c r="Q363" t="b">
        <f t="shared" si="45"/>
        <v>1</v>
      </c>
      <c r="R363" t="str">
        <f t="shared" si="46"/>
        <v>January</v>
      </c>
      <c r="S363" t="str">
        <f t="shared" si="47"/>
        <v>Sunday</v>
      </c>
      <c r="T363" t="str">
        <f t="shared" si="48"/>
        <v>Weekend</v>
      </c>
      <c r="U363" t="str">
        <f t="shared" si="49"/>
        <v>Spring</v>
      </c>
      <c r="V363" t="str">
        <f t="shared" si="50"/>
        <v>Clear</v>
      </c>
      <c r="W363" t="str">
        <f t="shared" si="51"/>
        <v>Off Peak</v>
      </c>
      <c r="X363" t="str">
        <f t="shared" si="52"/>
        <v>Low</v>
      </c>
      <c r="Y363" t="str">
        <f t="shared" si="53"/>
        <v>Low</v>
      </c>
    </row>
    <row r="364" spans="1:25" ht="15.75" thickBot="1">
      <c r="A364" s="1">
        <v>363</v>
      </c>
      <c r="B364" s="2">
        <v>40559</v>
      </c>
      <c r="C364" s="1">
        <v>1</v>
      </c>
      <c r="D364" s="1">
        <v>0</v>
      </c>
      <c r="E364" s="1">
        <v>1</v>
      </c>
      <c r="F364" s="1">
        <v>14</v>
      </c>
      <c r="G364" s="3" t="b">
        <v>0</v>
      </c>
      <c r="H364" s="1">
        <v>0</v>
      </c>
      <c r="I364" s="1">
        <v>1</v>
      </c>
      <c r="J364" s="7">
        <v>0.28000000000000003</v>
      </c>
      <c r="K364" s="8">
        <f>VLOOKUP($A364,'Temprorary Data'!$A:$G,2,FALSE)</f>
        <v>0.2727</v>
      </c>
      <c r="L364" s="8">
        <f>VLOOKUP($A364,'Temprorary Data'!$A:$G,3,FALSE)</f>
        <v>0.36</v>
      </c>
      <c r="M364" s="8">
        <f>VLOOKUP($A364,'Temprorary Data'!$A:$G,4,FALSE)</f>
        <v>0.25369999999999998</v>
      </c>
      <c r="N364" s="9">
        <f>VLOOKUP($A364,'Temprorary Data'!$A:$G,5,FALSE)</f>
        <v>22</v>
      </c>
      <c r="O364" s="9">
        <f>VLOOKUP($A364,'Temprorary Data'!$A:$G,6,FALSE)</f>
        <v>69</v>
      </c>
      <c r="P364" s="9">
        <f>VLOOKUP($A364,'Temprorary Data'!$A:$G,7,FALSE)</f>
        <v>91</v>
      </c>
      <c r="Q364" t="b">
        <f t="shared" si="45"/>
        <v>1</v>
      </c>
      <c r="R364" t="str">
        <f t="shared" si="46"/>
        <v>January</v>
      </c>
      <c r="S364" t="str">
        <f t="shared" si="47"/>
        <v>Sunday</v>
      </c>
      <c r="T364" t="str">
        <f t="shared" si="48"/>
        <v>Weekend</v>
      </c>
      <c r="U364" t="str">
        <f t="shared" si="49"/>
        <v>Spring</v>
      </c>
      <c r="V364" t="str">
        <f t="shared" si="50"/>
        <v>Clear</v>
      </c>
      <c r="W364" t="str">
        <f t="shared" si="51"/>
        <v>Off Peak</v>
      </c>
      <c r="X364" t="str">
        <f t="shared" si="52"/>
        <v>Low</v>
      </c>
      <c r="Y364" t="str">
        <f t="shared" si="53"/>
        <v>Low</v>
      </c>
    </row>
    <row r="365" spans="1:25" ht="15.75" thickBot="1">
      <c r="A365" s="1">
        <v>364</v>
      </c>
      <c r="B365" s="2">
        <v>40559</v>
      </c>
      <c r="C365" s="1">
        <v>1</v>
      </c>
      <c r="D365" s="1">
        <v>0</v>
      </c>
      <c r="E365" s="1">
        <v>1</v>
      </c>
      <c r="F365" s="1">
        <v>15</v>
      </c>
      <c r="G365" s="3" t="b">
        <v>0</v>
      </c>
      <c r="H365" s="1">
        <v>0</v>
      </c>
      <c r="I365" s="1">
        <v>1</v>
      </c>
      <c r="J365" s="7">
        <v>0.26</v>
      </c>
      <c r="K365" s="8">
        <f>VLOOKUP($A365,'Temprorary Data'!$A:$G,2,FALSE)</f>
        <v>0.2424</v>
      </c>
      <c r="L365" s="8">
        <f>VLOOKUP($A365,'Temprorary Data'!$A:$G,3,FALSE)</f>
        <v>0.38</v>
      </c>
      <c r="M365" s="8">
        <f>VLOOKUP($A365,'Temprorary Data'!$A:$G,4,FALSE)</f>
        <v>0.25369999999999998</v>
      </c>
      <c r="N365" s="9">
        <f>VLOOKUP($A365,'Temprorary Data'!$A:$G,5,FALSE)</f>
        <v>35</v>
      </c>
      <c r="O365" s="9">
        <f>VLOOKUP($A365,'Temprorary Data'!$A:$G,6,FALSE)</f>
        <v>78</v>
      </c>
      <c r="P365" s="9">
        <f>VLOOKUP($A365,'Temprorary Data'!$A:$G,7,FALSE)</f>
        <v>113</v>
      </c>
      <c r="Q365" t="b">
        <f t="shared" si="45"/>
        <v>1</v>
      </c>
      <c r="R365" t="str">
        <f t="shared" si="46"/>
        <v>January</v>
      </c>
      <c r="S365" t="str">
        <f t="shared" si="47"/>
        <v>Sunday</v>
      </c>
      <c r="T365" t="str">
        <f t="shared" si="48"/>
        <v>Weekend</v>
      </c>
      <c r="U365" t="str">
        <f t="shared" si="49"/>
        <v>Spring</v>
      </c>
      <c r="V365" t="str">
        <f t="shared" si="50"/>
        <v>Clear</v>
      </c>
      <c r="W365" t="str">
        <f t="shared" si="51"/>
        <v>Off Peak</v>
      </c>
      <c r="X365" t="str">
        <f t="shared" si="52"/>
        <v>Low</v>
      </c>
      <c r="Y365" t="str">
        <f t="shared" si="53"/>
        <v>Low</v>
      </c>
    </row>
    <row r="366" spans="1:25" ht="15.75" thickBot="1">
      <c r="A366" s="1">
        <v>365</v>
      </c>
      <c r="B366" s="2">
        <v>40559</v>
      </c>
      <c r="C366" s="1">
        <v>1</v>
      </c>
      <c r="D366" s="1">
        <v>0</v>
      </c>
      <c r="E366" s="1">
        <v>1</v>
      </c>
      <c r="F366" s="1">
        <v>16</v>
      </c>
      <c r="G366" s="3" t="b">
        <v>0</v>
      </c>
      <c r="H366" s="1">
        <v>0</v>
      </c>
      <c r="I366" s="1">
        <v>1</v>
      </c>
      <c r="J366" s="7">
        <v>0.24</v>
      </c>
      <c r="K366" s="8">
        <f>VLOOKUP($A366,'Temprorary Data'!$A:$G,2,FALSE)</f>
        <v>0.2273</v>
      </c>
      <c r="L366" s="8">
        <f>VLOOKUP($A366,'Temprorary Data'!$A:$G,3,FALSE)</f>
        <v>0.38</v>
      </c>
      <c r="M366" s="8">
        <f>VLOOKUP($A366,'Temprorary Data'!$A:$G,4,FALSE)</f>
        <v>0.22389999999999999</v>
      </c>
      <c r="N366" s="9">
        <f>VLOOKUP($A366,'Temprorary Data'!$A:$G,5,FALSE)</f>
        <v>22</v>
      </c>
      <c r="O366" s="9">
        <f>VLOOKUP($A366,'Temprorary Data'!$A:$G,6,FALSE)</f>
        <v>77</v>
      </c>
      <c r="P366" s="9">
        <f>VLOOKUP($A366,'Temprorary Data'!$A:$G,7,FALSE)</f>
        <v>99</v>
      </c>
      <c r="Q366" t="b">
        <f t="shared" si="45"/>
        <v>1</v>
      </c>
      <c r="R366" t="str">
        <f t="shared" si="46"/>
        <v>January</v>
      </c>
      <c r="S366" t="str">
        <f t="shared" si="47"/>
        <v>Sunday</v>
      </c>
      <c r="T366" t="str">
        <f t="shared" si="48"/>
        <v>Weekend</v>
      </c>
      <c r="U366" t="str">
        <f t="shared" si="49"/>
        <v>Spring</v>
      </c>
      <c r="V366" t="str">
        <f t="shared" si="50"/>
        <v>Clear</v>
      </c>
      <c r="W366" t="str">
        <f t="shared" si="51"/>
        <v>Off Peak</v>
      </c>
      <c r="X366" t="str">
        <f t="shared" si="52"/>
        <v>Low</v>
      </c>
      <c r="Y366" t="str">
        <f t="shared" si="53"/>
        <v>Low</v>
      </c>
    </row>
    <row r="367" spans="1:25" ht="15.75" thickBot="1">
      <c r="A367" s="1">
        <v>366</v>
      </c>
      <c r="B367" s="2">
        <v>40559</v>
      </c>
      <c r="C367" s="1">
        <v>1</v>
      </c>
      <c r="D367" s="1">
        <v>0</v>
      </c>
      <c r="E367" s="1">
        <v>1</v>
      </c>
      <c r="F367" s="1">
        <v>17</v>
      </c>
      <c r="G367" s="3" t="b">
        <v>0</v>
      </c>
      <c r="H367" s="1">
        <v>0</v>
      </c>
      <c r="I367" s="1">
        <v>1</v>
      </c>
      <c r="J367" s="7">
        <v>0.22</v>
      </c>
      <c r="K367" s="8">
        <f>VLOOKUP($A367,'Temprorary Data'!$A:$G,2,FALSE)</f>
        <v>0.21210000000000001</v>
      </c>
      <c r="L367" s="8">
        <f>VLOOKUP($A367,'Temprorary Data'!$A:$G,3,FALSE)</f>
        <v>0.37</v>
      </c>
      <c r="M367" s="8">
        <f>VLOOKUP($A367,'Temprorary Data'!$A:$G,4,FALSE)</f>
        <v>0.25369999999999998</v>
      </c>
      <c r="N367" s="9">
        <f>VLOOKUP($A367,'Temprorary Data'!$A:$G,5,FALSE)</f>
        <v>23</v>
      </c>
      <c r="O367" s="9">
        <f>VLOOKUP($A367,'Temprorary Data'!$A:$G,6,FALSE)</f>
        <v>82</v>
      </c>
      <c r="P367" s="9">
        <f>VLOOKUP($A367,'Temprorary Data'!$A:$G,7,FALSE)</f>
        <v>105</v>
      </c>
      <c r="Q367" t="b">
        <f t="shared" si="45"/>
        <v>1</v>
      </c>
      <c r="R367" t="str">
        <f t="shared" si="46"/>
        <v>January</v>
      </c>
      <c r="S367" t="str">
        <f t="shared" si="47"/>
        <v>Sunday</v>
      </c>
      <c r="T367" t="str">
        <f t="shared" si="48"/>
        <v>Weekend</v>
      </c>
      <c r="U367" t="str">
        <f t="shared" si="49"/>
        <v>Spring</v>
      </c>
      <c r="V367" t="str">
        <f t="shared" si="50"/>
        <v>Clear</v>
      </c>
      <c r="W367" t="str">
        <f t="shared" si="51"/>
        <v>Evening Peak</v>
      </c>
      <c r="X367" t="str">
        <f t="shared" si="52"/>
        <v>Low</v>
      </c>
      <c r="Y367" t="str">
        <f t="shared" si="53"/>
        <v>Low</v>
      </c>
    </row>
    <row r="368" spans="1:25" ht="15.75" thickBot="1">
      <c r="A368" s="1">
        <v>367</v>
      </c>
      <c r="B368" s="2">
        <v>40559</v>
      </c>
      <c r="C368" s="1">
        <v>1</v>
      </c>
      <c r="D368" s="1">
        <v>0</v>
      </c>
      <c r="E368" s="1">
        <v>1</v>
      </c>
      <c r="F368" s="1">
        <v>18</v>
      </c>
      <c r="G368" s="3" t="b">
        <v>0</v>
      </c>
      <c r="H368" s="1">
        <v>0</v>
      </c>
      <c r="I368" s="1">
        <v>1</v>
      </c>
      <c r="J368" s="7">
        <v>0.2</v>
      </c>
      <c r="K368" s="8">
        <f>VLOOKUP($A368,'Temprorary Data'!$A:$G,2,FALSE)</f>
        <v>0.21210000000000001</v>
      </c>
      <c r="L368" s="8">
        <f>VLOOKUP($A368,'Temprorary Data'!$A:$G,3,FALSE)</f>
        <v>0.4</v>
      </c>
      <c r="M368" s="8">
        <f>VLOOKUP($A368,'Temprorary Data'!$A:$G,4,FALSE)</f>
        <v>0.16420000000000001</v>
      </c>
      <c r="N368" s="9">
        <f>VLOOKUP($A368,'Temprorary Data'!$A:$G,5,FALSE)</f>
        <v>11</v>
      </c>
      <c r="O368" s="9">
        <f>VLOOKUP($A368,'Temprorary Data'!$A:$G,6,FALSE)</f>
        <v>56</v>
      </c>
      <c r="P368" s="9">
        <f>VLOOKUP($A368,'Temprorary Data'!$A:$G,7,FALSE)</f>
        <v>67</v>
      </c>
      <c r="Q368" t="b">
        <f t="shared" si="45"/>
        <v>1</v>
      </c>
      <c r="R368" t="str">
        <f t="shared" si="46"/>
        <v>January</v>
      </c>
      <c r="S368" t="str">
        <f t="shared" si="47"/>
        <v>Sunday</v>
      </c>
      <c r="T368" t="str">
        <f t="shared" si="48"/>
        <v>Weekend</v>
      </c>
      <c r="U368" t="str">
        <f t="shared" si="49"/>
        <v>Spring</v>
      </c>
      <c r="V368" t="str">
        <f t="shared" si="50"/>
        <v>Clear</v>
      </c>
      <c r="W368" t="str">
        <f t="shared" si="51"/>
        <v>Evening Peak</v>
      </c>
      <c r="X368" t="str">
        <f t="shared" si="52"/>
        <v>Low</v>
      </c>
      <c r="Y368" t="str">
        <f t="shared" si="53"/>
        <v>Medium</v>
      </c>
    </row>
    <row r="369" spans="1:25" ht="15.75" thickBot="1">
      <c r="A369" s="1">
        <v>368</v>
      </c>
      <c r="B369" s="2">
        <v>40559</v>
      </c>
      <c r="C369" s="1">
        <v>1</v>
      </c>
      <c r="D369" s="1">
        <v>0</v>
      </c>
      <c r="E369" s="1">
        <v>1</v>
      </c>
      <c r="F369" s="1">
        <v>19</v>
      </c>
      <c r="G369" s="3" t="b">
        <v>0</v>
      </c>
      <c r="H369" s="1">
        <v>0</v>
      </c>
      <c r="I369" s="1">
        <v>1</v>
      </c>
      <c r="J369" s="7">
        <v>0.18</v>
      </c>
      <c r="K369" s="8">
        <f>VLOOKUP($A369,'Temprorary Data'!$A:$G,2,FALSE)</f>
        <v>0.19700000000000001</v>
      </c>
      <c r="L369" s="8">
        <f>VLOOKUP($A369,'Temprorary Data'!$A:$G,3,FALSE)</f>
        <v>0.47</v>
      </c>
      <c r="M369" s="8">
        <f>VLOOKUP($A369,'Temprorary Data'!$A:$G,4,FALSE)</f>
        <v>0.1343</v>
      </c>
      <c r="N369" s="9">
        <f>VLOOKUP($A369,'Temprorary Data'!$A:$G,5,FALSE)</f>
        <v>14</v>
      </c>
      <c r="O369" s="9">
        <f>VLOOKUP($A369,'Temprorary Data'!$A:$G,6,FALSE)</f>
        <v>47</v>
      </c>
      <c r="P369" s="9">
        <f>VLOOKUP($A369,'Temprorary Data'!$A:$G,7,FALSE)</f>
        <v>61</v>
      </c>
      <c r="Q369" t="b">
        <f t="shared" si="45"/>
        <v>1</v>
      </c>
      <c r="R369" t="str">
        <f t="shared" si="46"/>
        <v>January</v>
      </c>
      <c r="S369" t="str">
        <f t="shared" si="47"/>
        <v>Sunday</v>
      </c>
      <c r="T369" t="str">
        <f t="shared" si="48"/>
        <v>Weekend</v>
      </c>
      <c r="U369" t="str">
        <f t="shared" si="49"/>
        <v>Spring</v>
      </c>
      <c r="V369" t="str">
        <f t="shared" si="50"/>
        <v>Clear</v>
      </c>
      <c r="W369" t="str">
        <f t="shared" si="51"/>
        <v>Evening Peak</v>
      </c>
      <c r="X369" t="str">
        <f t="shared" si="52"/>
        <v>Low</v>
      </c>
      <c r="Y369" t="str">
        <f t="shared" si="53"/>
        <v>Medium</v>
      </c>
    </row>
    <row r="370" spans="1:25" ht="15.75" thickBot="1">
      <c r="A370" s="1">
        <v>369</v>
      </c>
      <c r="B370" s="2">
        <v>40559</v>
      </c>
      <c r="C370" s="1">
        <v>1</v>
      </c>
      <c r="D370" s="1">
        <v>0</v>
      </c>
      <c r="E370" s="1">
        <v>1</v>
      </c>
      <c r="F370" s="1">
        <v>20</v>
      </c>
      <c r="G370" s="3" t="b">
        <v>0</v>
      </c>
      <c r="H370" s="1">
        <v>0</v>
      </c>
      <c r="I370" s="1">
        <v>1</v>
      </c>
      <c r="J370" s="7">
        <v>0.18</v>
      </c>
      <c r="K370" s="8">
        <f>VLOOKUP($A370,'Temprorary Data'!$A:$G,2,FALSE)</f>
        <v>0.19700000000000001</v>
      </c>
      <c r="L370" s="8">
        <f>VLOOKUP($A370,'Temprorary Data'!$A:$G,3,FALSE)</f>
        <v>0.47</v>
      </c>
      <c r="M370" s="8">
        <f>VLOOKUP($A370,'Temprorary Data'!$A:$G,4,FALSE)</f>
        <v>0.16420000000000001</v>
      </c>
      <c r="N370" s="9">
        <f>VLOOKUP($A370,'Temprorary Data'!$A:$G,5,FALSE)</f>
        <v>7</v>
      </c>
      <c r="O370" s="9">
        <f>VLOOKUP($A370,'Temprorary Data'!$A:$G,6,FALSE)</f>
        <v>50</v>
      </c>
      <c r="P370" s="9">
        <f>VLOOKUP($A370,'Temprorary Data'!$A:$G,7,FALSE)</f>
        <v>57</v>
      </c>
      <c r="Q370" t="b">
        <f t="shared" si="45"/>
        <v>1</v>
      </c>
      <c r="R370" t="str">
        <f t="shared" si="46"/>
        <v>January</v>
      </c>
      <c r="S370" t="str">
        <f t="shared" si="47"/>
        <v>Sunday</v>
      </c>
      <c r="T370" t="str">
        <f t="shared" si="48"/>
        <v>Weekend</v>
      </c>
      <c r="U370" t="str">
        <f t="shared" si="49"/>
        <v>Spring</v>
      </c>
      <c r="V370" t="str">
        <f t="shared" si="50"/>
        <v>Clear</v>
      </c>
      <c r="W370" t="str">
        <f t="shared" si="51"/>
        <v>Evening Peak</v>
      </c>
      <c r="X370" t="str">
        <f t="shared" si="52"/>
        <v>Low</v>
      </c>
      <c r="Y370" t="str">
        <f t="shared" si="53"/>
        <v>Medium</v>
      </c>
    </row>
    <row r="371" spans="1:25" ht="15.75" thickBot="1">
      <c r="A371" s="1">
        <v>370</v>
      </c>
      <c r="B371" s="2">
        <v>40559</v>
      </c>
      <c r="C371" s="1">
        <v>1</v>
      </c>
      <c r="D371" s="1">
        <v>0</v>
      </c>
      <c r="E371" s="1">
        <v>1</v>
      </c>
      <c r="F371" s="1">
        <v>21</v>
      </c>
      <c r="G371" s="3" t="b">
        <v>0</v>
      </c>
      <c r="H371" s="1">
        <v>0</v>
      </c>
      <c r="I371" s="1">
        <v>1</v>
      </c>
      <c r="J371" s="7">
        <v>0.18</v>
      </c>
      <c r="K371" s="8">
        <f>VLOOKUP($A371,'Temprorary Data'!$A:$G,2,FALSE)</f>
        <v>0.19700000000000001</v>
      </c>
      <c r="L371" s="8">
        <f>VLOOKUP($A371,'Temprorary Data'!$A:$G,3,FALSE)</f>
        <v>0.51</v>
      </c>
      <c r="M371" s="8">
        <f>VLOOKUP($A371,'Temprorary Data'!$A:$G,4,FALSE)</f>
        <v>0.16420000000000001</v>
      </c>
      <c r="N371" s="9">
        <f>VLOOKUP($A371,'Temprorary Data'!$A:$G,5,FALSE)</f>
        <v>6</v>
      </c>
      <c r="O371" s="9">
        <f>VLOOKUP($A371,'Temprorary Data'!$A:$G,6,FALSE)</f>
        <v>22</v>
      </c>
      <c r="P371" s="9">
        <f>VLOOKUP($A371,'Temprorary Data'!$A:$G,7,FALSE)</f>
        <v>28</v>
      </c>
      <c r="Q371" t="b">
        <f t="shared" si="45"/>
        <v>1</v>
      </c>
      <c r="R371" t="str">
        <f t="shared" si="46"/>
        <v>January</v>
      </c>
      <c r="S371" t="str">
        <f t="shared" si="47"/>
        <v>Sunday</v>
      </c>
      <c r="T371" t="str">
        <f t="shared" si="48"/>
        <v>Weekend</v>
      </c>
      <c r="U371" t="str">
        <f t="shared" si="49"/>
        <v>Spring</v>
      </c>
      <c r="V371" t="str">
        <f t="shared" si="50"/>
        <v>Clear</v>
      </c>
      <c r="W371" t="str">
        <f t="shared" si="51"/>
        <v>Off Peak</v>
      </c>
      <c r="X371" t="str">
        <f t="shared" si="52"/>
        <v>Low</v>
      </c>
      <c r="Y371" t="str">
        <f t="shared" si="53"/>
        <v>Medium</v>
      </c>
    </row>
    <row r="372" spans="1:25" ht="15.75" thickBot="1">
      <c r="A372" s="1">
        <v>371</v>
      </c>
      <c r="B372" s="2">
        <v>40559</v>
      </c>
      <c r="C372" s="1">
        <v>1</v>
      </c>
      <c r="D372" s="1">
        <v>0</v>
      </c>
      <c r="E372" s="1">
        <v>1</v>
      </c>
      <c r="F372" s="1">
        <v>22</v>
      </c>
      <c r="G372" s="3" t="b">
        <v>0</v>
      </c>
      <c r="H372" s="1">
        <v>0</v>
      </c>
      <c r="I372" s="1">
        <v>2</v>
      </c>
      <c r="J372" s="7">
        <v>0.2</v>
      </c>
      <c r="K372" s="8">
        <f>VLOOKUP($A372,'Temprorary Data'!$A:$G,2,FALSE)</f>
        <v>0.21210000000000001</v>
      </c>
      <c r="L372" s="8">
        <f>VLOOKUP($A372,'Temprorary Data'!$A:$G,3,FALSE)</f>
        <v>0.49</v>
      </c>
      <c r="M372" s="8">
        <f>VLOOKUP($A372,'Temprorary Data'!$A:$G,4,FALSE)</f>
        <v>0.1343</v>
      </c>
      <c r="N372" s="9">
        <f>VLOOKUP($A372,'Temprorary Data'!$A:$G,5,FALSE)</f>
        <v>2</v>
      </c>
      <c r="O372" s="9">
        <f>VLOOKUP($A372,'Temprorary Data'!$A:$G,6,FALSE)</f>
        <v>19</v>
      </c>
      <c r="P372" s="9">
        <f>VLOOKUP($A372,'Temprorary Data'!$A:$G,7,FALSE)</f>
        <v>21</v>
      </c>
      <c r="Q372" t="b">
        <f t="shared" si="45"/>
        <v>1</v>
      </c>
      <c r="R372" t="str">
        <f t="shared" si="46"/>
        <v>January</v>
      </c>
      <c r="S372" t="str">
        <f t="shared" si="47"/>
        <v>Sunday</v>
      </c>
      <c r="T372" t="str">
        <f t="shared" si="48"/>
        <v>Weekend</v>
      </c>
      <c r="U372" t="str">
        <f t="shared" si="49"/>
        <v>Spring</v>
      </c>
      <c r="V372" t="str">
        <f t="shared" si="50"/>
        <v>Mist</v>
      </c>
      <c r="W372" t="str">
        <f t="shared" si="51"/>
        <v>Off Peak</v>
      </c>
      <c r="X372" t="str">
        <f t="shared" si="52"/>
        <v>Low</v>
      </c>
      <c r="Y372" t="str">
        <f t="shared" si="53"/>
        <v>Medium</v>
      </c>
    </row>
    <row r="373" spans="1:25" ht="15.75" thickBot="1">
      <c r="A373" s="1">
        <v>372</v>
      </c>
      <c r="B373" s="2">
        <v>40559</v>
      </c>
      <c r="C373" s="1">
        <v>1</v>
      </c>
      <c r="D373" s="1">
        <v>0</v>
      </c>
      <c r="E373" s="1">
        <v>1</v>
      </c>
      <c r="F373" s="1">
        <v>23</v>
      </c>
      <c r="G373" s="3" t="b">
        <v>0</v>
      </c>
      <c r="H373" s="1">
        <v>0</v>
      </c>
      <c r="I373" s="1">
        <v>2</v>
      </c>
      <c r="J373" s="7">
        <v>0.2</v>
      </c>
      <c r="K373" s="8">
        <f>VLOOKUP($A373,'Temprorary Data'!$A:$G,2,FALSE)</f>
        <v>0.2273</v>
      </c>
      <c r="L373" s="8">
        <f>VLOOKUP($A373,'Temprorary Data'!$A:$G,3,FALSE)</f>
        <v>0.4</v>
      </c>
      <c r="M373" s="8">
        <f>VLOOKUP($A373,'Temprorary Data'!$A:$G,4,FALSE)</f>
        <v>0.1045</v>
      </c>
      <c r="N373" s="9">
        <f>VLOOKUP($A373,'Temprorary Data'!$A:$G,5,FALSE)</f>
        <v>0</v>
      </c>
      <c r="O373" s="9">
        <f>VLOOKUP($A373,'Temprorary Data'!$A:$G,6,FALSE)</f>
        <v>18</v>
      </c>
      <c r="P373" s="9">
        <f>VLOOKUP($A373,'Temprorary Data'!$A:$G,7,FALSE)</f>
        <v>18</v>
      </c>
      <c r="Q373" t="b">
        <f t="shared" si="45"/>
        <v>1</v>
      </c>
      <c r="R373" t="str">
        <f t="shared" si="46"/>
        <v>January</v>
      </c>
      <c r="S373" t="str">
        <f t="shared" si="47"/>
        <v>Sunday</v>
      </c>
      <c r="T373" t="str">
        <f t="shared" si="48"/>
        <v>Weekend</v>
      </c>
      <c r="U373" t="str">
        <f t="shared" si="49"/>
        <v>Spring</v>
      </c>
      <c r="V373" t="str">
        <f t="shared" si="50"/>
        <v>Mist</v>
      </c>
      <c r="W373" t="str">
        <f t="shared" si="51"/>
        <v>Off Peak</v>
      </c>
      <c r="X373" t="str">
        <f t="shared" si="52"/>
        <v>Low</v>
      </c>
      <c r="Y373" t="str">
        <f t="shared" si="53"/>
        <v>Medium</v>
      </c>
    </row>
    <row r="374" spans="1:25" ht="15.75" thickBot="1">
      <c r="A374" s="1">
        <v>373</v>
      </c>
      <c r="B374" s="2">
        <v>40560</v>
      </c>
      <c r="C374" s="1">
        <v>1</v>
      </c>
      <c r="D374" s="1">
        <v>0</v>
      </c>
      <c r="E374" s="1">
        <v>1</v>
      </c>
      <c r="F374" s="1">
        <v>0</v>
      </c>
      <c r="G374" s="3" t="b">
        <v>1</v>
      </c>
      <c r="H374" s="1">
        <v>1</v>
      </c>
      <c r="I374" s="1">
        <v>2</v>
      </c>
      <c r="J374" s="7">
        <v>0.2</v>
      </c>
      <c r="K374" s="8">
        <f>VLOOKUP($A374,'Temprorary Data'!$A:$G,2,FALSE)</f>
        <v>0.19700000000000001</v>
      </c>
      <c r="L374" s="8">
        <f>VLOOKUP($A374,'Temprorary Data'!$A:$G,3,FALSE)</f>
        <v>0.47</v>
      </c>
      <c r="M374" s="8">
        <f>VLOOKUP($A374,'Temprorary Data'!$A:$G,4,FALSE)</f>
        <v>0.22389999999999999</v>
      </c>
      <c r="N374" s="9">
        <f>VLOOKUP($A374,'Temprorary Data'!$A:$G,5,FALSE)</f>
        <v>1</v>
      </c>
      <c r="O374" s="9">
        <f>VLOOKUP($A374,'Temprorary Data'!$A:$G,6,FALSE)</f>
        <v>16</v>
      </c>
      <c r="P374" s="9">
        <f>VLOOKUP($A374,'Temprorary Data'!$A:$G,7,FALSE)</f>
        <v>17</v>
      </c>
      <c r="Q374" t="b">
        <f t="shared" si="45"/>
        <v>1</v>
      </c>
      <c r="R374" t="str">
        <f t="shared" si="46"/>
        <v>January</v>
      </c>
      <c r="S374" t="str">
        <f t="shared" si="47"/>
        <v>Monday</v>
      </c>
      <c r="T374" t="str">
        <f t="shared" si="48"/>
        <v>Weekday</v>
      </c>
      <c r="U374" t="str">
        <f t="shared" si="49"/>
        <v>Spring</v>
      </c>
      <c r="V374" t="str">
        <f t="shared" si="50"/>
        <v>Mist</v>
      </c>
      <c r="W374" t="str">
        <f t="shared" si="51"/>
        <v>Off Peak</v>
      </c>
      <c r="X374" t="str">
        <f t="shared" si="52"/>
        <v>Low</v>
      </c>
      <c r="Y374" t="str">
        <f t="shared" si="53"/>
        <v>Medium</v>
      </c>
    </row>
    <row r="375" spans="1:25" ht="15.75" thickBot="1">
      <c r="A375" s="1">
        <v>374</v>
      </c>
      <c r="B375" s="2">
        <v>40560</v>
      </c>
      <c r="C375" s="1">
        <v>1</v>
      </c>
      <c r="D375" s="1">
        <v>0</v>
      </c>
      <c r="E375" s="1">
        <v>1</v>
      </c>
      <c r="F375" s="1">
        <v>1</v>
      </c>
      <c r="G375" s="3" t="b">
        <v>1</v>
      </c>
      <c r="H375" s="1">
        <v>1</v>
      </c>
      <c r="I375" s="1">
        <v>2</v>
      </c>
      <c r="J375" s="7">
        <v>0.2</v>
      </c>
      <c r="K375" s="8">
        <f>VLOOKUP($A375,'Temprorary Data'!$A:$G,2,FALSE)</f>
        <v>0.19700000000000001</v>
      </c>
      <c r="L375" s="8">
        <f>VLOOKUP($A375,'Temprorary Data'!$A:$G,3,FALSE)</f>
        <v>0.44</v>
      </c>
      <c r="M375" s="8">
        <f>VLOOKUP($A375,'Temprorary Data'!$A:$G,4,FALSE)</f>
        <v>0.19400000000000001</v>
      </c>
      <c r="N375" s="9">
        <f>VLOOKUP($A375,'Temprorary Data'!$A:$G,5,FALSE)</f>
        <v>1</v>
      </c>
      <c r="O375" s="9">
        <f>VLOOKUP($A375,'Temprorary Data'!$A:$G,6,FALSE)</f>
        <v>15</v>
      </c>
      <c r="P375" s="9">
        <f>VLOOKUP($A375,'Temprorary Data'!$A:$G,7,FALSE)</f>
        <v>16</v>
      </c>
      <c r="Q375" t="b">
        <f t="shared" si="45"/>
        <v>1</v>
      </c>
      <c r="R375" t="str">
        <f t="shared" si="46"/>
        <v>January</v>
      </c>
      <c r="S375" t="str">
        <f t="shared" si="47"/>
        <v>Monday</v>
      </c>
      <c r="T375" t="str">
        <f t="shared" si="48"/>
        <v>Weekday</v>
      </c>
      <c r="U375" t="str">
        <f t="shared" si="49"/>
        <v>Spring</v>
      </c>
      <c r="V375" t="str">
        <f t="shared" si="50"/>
        <v>Mist</v>
      </c>
      <c r="W375" t="str">
        <f t="shared" si="51"/>
        <v>Off Peak</v>
      </c>
      <c r="X375" t="str">
        <f t="shared" si="52"/>
        <v>Low</v>
      </c>
      <c r="Y375" t="str">
        <f t="shared" si="53"/>
        <v>Medium</v>
      </c>
    </row>
    <row r="376" spans="1:25" ht="15.75" thickBot="1">
      <c r="A376" s="1">
        <v>375</v>
      </c>
      <c r="B376" s="2">
        <v>40560</v>
      </c>
      <c r="C376" s="1">
        <v>1</v>
      </c>
      <c r="D376" s="1">
        <v>0</v>
      </c>
      <c r="E376" s="1">
        <v>1</v>
      </c>
      <c r="F376" s="1">
        <v>2</v>
      </c>
      <c r="G376" s="3" t="b">
        <v>1</v>
      </c>
      <c r="H376" s="1">
        <v>1</v>
      </c>
      <c r="I376" s="1">
        <v>2</v>
      </c>
      <c r="J376" s="7">
        <v>0.18</v>
      </c>
      <c r="K376" s="8">
        <f>VLOOKUP($A376,'Temprorary Data'!$A:$G,2,FALSE)</f>
        <v>0.16669999999999999</v>
      </c>
      <c r="L376" s="8">
        <f>VLOOKUP($A376,'Temprorary Data'!$A:$G,3,FALSE)</f>
        <v>0.43</v>
      </c>
      <c r="M376" s="8">
        <f>VLOOKUP($A376,'Temprorary Data'!$A:$G,4,FALSE)</f>
        <v>0.25369999999999998</v>
      </c>
      <c r="N376" s="9">
        <f>VLOOKUP($A376,'Temprorary Data'!$A:$G,5,FALSE)</f>
        <v>0</v>
      </c>
      <c r="O376" s="9">
        <f>VLOOKUP($A376,'Temprorary Data'!$A:$G,6,FALSE)</f>
        <v>8</v>
      </c>
      <c r="P376" s="9">
        <f>VLOOKUP($A376,'Temprorary Data'!$A:$G,7,FALSE)</f>
        <v>8</v>
      </c>
      <c r="Q376" t="b">
        <f t="shared" si="45"/>
        <v>1</v>
      </c>
      <c r="R376" t="str">
        <f t="shared" si="46"/>
        <v>January</v>
      </c>
      <c r="S376" t="str">
        <f t="shared" si="47"/>
        <v>Monday</v>
      </c>
      <c r="T376" t="str">
        <f t="shared" si="48"/>
        <v>Weekday</v>
      </c>
      <c r="U376" t="str">
        <f t="shared" si="49"/>
        <v>Spring</v>
      </c>
      <c r="V376" t="str">
        <f t="shared" si="50"/>
        <v>Mist</v>
      </c>
      <c r="W376" t="str">
        <f t="shared" si="51"/>
        <v>Off Peak</v>
      </c>
      <c r="X376" t="str">
        <f t="shared" si="52"/>
        <v>Low</v>
      </c>
      <c r="Y376" t="str">
        <f t="shared" si="53"/>
        <v>Medium</v>
      </c>
    </row>
    <row r="377" spans="1:25" ht="15.75" thickBot="1">
      <c r="A377" s="1">
        <v>376</v>
      </c>
      <c r="B377" s="2">
        <v>40560</v>
      </c>
      <c r="C377" s="1">
        <v>1</v>
      </c>
      <c r="D377" s="1">
        <v>0</v>
      </c>
      <c r="E377" s="1">
        <v>1</v>
      </c>
      <c r="F377" s="1">
        <v>3</v>
      </c>
      <c r="G377" s="3" t="b">
        <v>1</v>
      </c>
      <c r="H377" s="1">
        <v>1</v>
      </c>
      <c r="I377" s="1">
        <v>2</v>
      </c>
      <c r="J377" s="7">
        <v>0.18</v>
      </c>
      <c r="K377" s="8">
        <f>VLOOKUP($A377,'Temprorary Data'!$A:$G,2,FALSE)</f>
        <v>0.18179999999999999</v>
      </c>
      <c r="L377" s="8">
        <f>VLOOKUP($A377,'Temprorary Data'!$A:$G,3,FALSE)</f>
        <v>0.43</v>
      </c>
      <c r="M377" s="8">
        <f>VLOOKUP($A377,'Temprorary Data'!$A:$G,4,FALSE)</f>
        <v>0.19400000000000001</v>
      </c>
      <c r="N377" s="9">
        <f>VLOOKUP($A377,'Temprorary Data'!$A:$G,5,FALSE)</f>
        <v>0</v>
      </c>
      <c r="O377" s="9">
        <f>VLOOKUP($A377,'Temprorary Data'!$A:$G,6,FALSE)</f>
        <v>2</v>
      </c>
      <c r="P377" s="9">
        <f>VLOOKUP($A377,'Temprorary Data'!$A:$G,7,FALSE)</f>
        <v>2</v>
      </c>
      <c r="Q377" t="b">
        <f t="shared" si="45"/>
        <v>1</v>
      </c>
      <c r="R377" t="str">
        <f t="shared" si="46"/>
        <v>January</v>
      </c>
      <c r="S377" t="str">
        <f t="shared" si="47"/>
        <v>Monday</v>
      </c>
      <c r="T377" t="str">
        <f t="shared" si="48"/>
        <v>Weekday</v>
      </c>
      <c r="U377" t="str">
        <f t="shared" si="49"/>
        <v>Spring</v>
      </c>
      <c r="V377" t="str">
        <f t="shared" si="50"/>
        <v>Mist</v>
      </c>
      <c r="W377" t="str">
        <f t="shared" si="51"/>
        <v>Off Peak</v>
      </c>
      <c r="X377" t="str">
        <f t="shared" si="52"/>
        <v>Low</v>
      </c>
      <c r="Y377" t="str">
        <f t="shared" si="53"/>
        <v>Medium</v>
      </c>
    </row>
    <row r="378" spans="1:25" ht="15.75" thickBot="1">
      <c r="A378" s="1">
        <v>377</v>
      </c>
      <c r="B378" s="2">
        <v>40560</v>
      </c>
      <c r="C378" s="1">
        <v>1</v>
      </c>
      <c r="D378" s="1">
        <v>0</v>
      </c>
      <c r="E378" s="1">
        <v>1</v>
      </c>
      <c r="F378" s="1">
        <v>4</v>
      </c>
      <c r="G378" s="3" t="b">
        <v>1</v>
      </c>
      <c r="H378" s="1">
        <v>1</v>
      </c>
      <c r="I378" s="1">
        <v>2</v>
      </c>
      <c r="J378" s="7">
        <v>0.18</v>
      </c>
      <c r="K378" s="8">
        <f>VLOOKUP($A378,'Temprorary Data'!$A:$G,2,FALSE)</f>
        <v>0.19700000000000001</v>
      </c>
      <c r="L378" s="8">
        <f>VLOOKUP($A378,'Temprorary Data'!$A:$G,3,FALSE)</f>
        <v>0.43</v>
      </c>
      <c r="M378" s="8">
        <f>VLOOKUP($A378,'Temprorary Data'!$A:$G,4,FALSE)</f>
        <v>0.1343</v>
      </c>
      <c r="N378" s="9">
        <f>VLOOKUP($A378,'Temprorary Data'!$A:$G,5,FALSE)</f>
        <v>1</v>
      </c>
      <c r="O378" s="9">
        <f>VLOOKUP($A378,'Temprorary Data'!$A:$G,6,FALSE)</f>
        <v>2</v>
      </c>
      <c r="P378" s="9">
        <f>VLOOKUP($A378,'Temprorary Data'!$A:$G,7,FALSE)</f>
        <v>3</v>
      </c>
      <c r="Q378" t="b">
        <f t="shared" si="45"/>
        <v>1</v>
      </c>
      <c r="R378" t="str">
        <f t="shared" si="46"/>
        <v>January</v>
      </c>
      <c r="S378" t="str">
        <f t="shared" si="47"/>
        <v>Monday</v>
      </c>
      <c r="T378" t="str">
        <f t="shared" si="48"/>
        <v>Weekday</v>
      </c>
      <c r="U378" t="str">
        <f t="shared" si="49"/>
        <v>Spring</v>
      </c>
      <c r="V378" t="str">
        <f t="shared" si="50"/>
        <v>Mist</v>
      </c>
      <c r="W378" t="str">
        <f t="shared" si="51"/>
        <v>Off Peak</v>
      </c>
      <c r="X378" t="str">
        <f t="shared" si="52"/>
        <v>Low</v>
      </c>
      <c r="Y378" t="str">
        <f t="shared" si="53"/>
        <v>Medium</v>
      </c>
    </row>
    <row r="379" spans="1:25" ht="15.75" thickBot="1">
      <c r="A379" s="1">
        <v>378</v>
      </c>
      <c r="B379" s="2">
        <v>40560</v>
      </c>
      <c r="C379" s="1">
        <v>1</v>
      </c>
      <c r="D379" s="1">
        <v>0</v>
      </c>
      <c r="E379" s="1">
        <v>1</v>
      </c>
      <c r="F379" s="1">
        <v>5</v>
      </c>
      <c r="G379" s="3" t="b">
        <v>1</v>
      </c>
      <c r="H379" s="1">
        <v>1</v>
      </c>
      <c r="I379" s="1">
        <v>2</v>
      </c>
      <c r="J379" s="7">
        <v>0.18</v>
      </c>
      <c r="K379" s="8">
        <f>VLOOKUP($A379,'Temprorary Data'!$A:$G,2,FALSE)</f>
        <v>0.19700000000000001</v>
      </c>
      <c r="L379" s="8">
        <f>VLOOKUP($A379,'Temprorary Data'!$A:$G,3,FALSE)</f>
        <v>0.43</v>
      </c>
      <c r="M379" s="8">
        <f>VLOOKUP($A379,'Temprorary Data'!$A:$G,4,FALSE)</f>
        <v>0.16420000000000001</v>
      </c>
      <c r="N379" s="9">
        <f>VLOOKUP($A379,'Temprorary Data'!$A:$G,5,FALSE)</f>
        <v>0</v>
      </c>
      <c r="O379" s="9">
        <f>VLOOKUP($A379,'Temprorary Data'!$A:$G,6,FALSE)</f>
        <v>1</v>
      </c>
      <c r="P379" s="9">
        <f>VLOOKUP($A379,'Temprorary Data'!$A:$G,7,FALSE)</f>
        <v>1</v>
      </c>
      <c r="Q379" t="b">
        <f t="shared" si="45"/>
        <v>1</v>
      </c>
      <c r="R379" t="str">
        <f t="shared" si="46"/>
        <v>January</v>
      </c>
      <c r="S379" t="str">
        <f t="shared" si="47"/>
        <v>Monday</v>
      </c>
      <c r="T379" t="str">
        <f t="shared" si="48"/>
        <v>Weekday</v>
      </c>
      <c r="U379" t="str">
        <f t="shared" si="49"/>
        <v>Spring</v>
      </c>
      <c r="V379" t="str">
        <f t="shared" si="50"/>
        <v>Mist</v>
      </c>
      <c r="W379" t="str">
        <f t="shared" si="51"/>
        <v>Off Peak</v>
      </c>
      <c r="X379" t="str">
        <f t="shared" si="52"/>
        <v>Low</v>
      </c>
      <c r="Y379" t="str">
        <f t="shared" si="53"/>
        <v>Medium</v>
      </c>
    </row>
    <row r="380" spans="1:25" ht="15.75" thickBot="1">
      <c r="A380" s="1">
        <v>379</v>
      </c>
      <c r="B380" s="2">
        <v>40560</v>
      </c>
      <c r="C380" s="1">
        <v>1</v>
      </c>
      <c r="D380" s="1">
        <v>0</v>
      </c>
      <c r="E380" s="1">
        <v>1</v>
      </c>
      <c r="F380" s="1">
        <v>6</v>
      </c>
      <c r="G380" s="3" t="b">
        <v>1</v>
      </c>
      <c r="H380" s="1">
        <v>1</v>
      </c>
      <c r="I380" s="1">
        <v>2</v>
      </c>
      <c r="J380" s="7">
        <v>0.18</v>
      </c>
      <c r="K380" s="8">
        <f>VLOOKUP($A380,'Temprorary Data'!$A:$G,2,FALSE)</f>
        <v>0.18179999999999999</v>
      </c>
      <c r="L380" s="8">
        <f>VLOOKUP($A380,'Temprorary Data'!$A:$G,3,FALSE)</f>
        <v>0.43</v>
      </c>
      <c r="M380" s="8">
        <f>VLOOKUP($A380,'Temprorary Data'!$A:$G,4,FALSE)</f>
        <v>0.19400000000000001</v>
      </c>
      <c r="N380" s="9">
        <f>VLOOKUP($A380,'Temprorary Data'!$A:$G,5,FALSE)</f>
        <v>0</v>
      </c>
      <c r="O380" s="9">
        <f>VLOOKUP($A380,'Temprorary Data'!$A:$G,6,FALSE)</f>
        <v>5</v>
      </c>
      <c r="P380" s="9">
        <f>VLOOKUP($A380,'Temprorary Data'!$A:$G,7,FALSE)</f>
        <v>5</v>
      </c>
      <c r="Q380" t="b">
        <f t="shared" si="45"/>
        <v>1</v>
      </c>
      <c r="R380" t="str">
        <f t="shared" si="46"/>
        <v>January</v>
      </c>
      <c r="S380" t="str">
        <f t="shared" si="47"/>
        <v>Monday</v>
      </c>
      <c r="T380" t="str">
        <f t="shared" si="48"/>
        <v>Weekday</v>
      </c>
      <c r="U380" t="str">
        <f t="shared" si="49"/>
        <v>Spring</v>
      </c>
      <c r="V380" t="str">
        <f t="shared" si="50"/>
        <v>Mist</v>
      </c>
      <c r="W380" t="str">
        <f t="shared" si="51"/>
        <v>Off Peak</v>
      </c>
      <c r="X380" t="str">
        <f t="shared" si="52"/>
        <v>Low</v>
      </c>
      <c r="Y380" t="str">
        <f t="shared" si="53"/>
        <v>Medium</v>
      </c>
    </row>
    <row r="381" spans="1:25" ht="15.75" thickBot="1">
      <c r="A381" s="1">
        <v>380</v>
      </c>
      <c r="B381" s="2">
        <v>40560</v>
      </c>
      <c r="C381" s="1">
        <v>1</v>
      </c>
      <c r="D381" s="1">
        <v>0</v>
      </c>
      <c r="E381" s="1">
        <v>1</v>
      </c>
      <c r="F381" s="1">
        <v>7</v>
      </c>
      <c r="G381" s="3" t="b">
        <v>1</v>
      </c>
      <c r="H381" s="1">
        <v>1</v>
      </c>
      <c r="I381" s="1">
        <v>2</v>
      </c>
      <c r="J381" s="7">
        <v>0.16</v>
      </c>
      <c r="K381" s="8">
        <f>VLOOKUP($A381,'Temprorary Data'!$A:$G,2,FALSE)</f>
        <v>0.18179999999999999</v>
      </c>
      <c r="L381" s="8">
        <f>VLOOKUP($A381,'Temprorary Data'!$A:$G,3,FALSE)</f>
        <v>0.5</v>
      </c>
      <c r="M381" s="8">
        <f>VLOOKUP($A381,'Temprorary Data'!$A:$G,4,FALSE)</f>
        <v>0.1343</v>
      </c>
      <c r="N381" s="9">
        <f>VLOOKUP($A381,'Temprorary Data'!$A:$G,5,FALSE)</f>
        <v>4</v>
      </c>
      <c r="O381" s="9">
        <f>VLOOKUP($A381,'Temprorary Data'!$A:$G,6,FALSE)</f>
        <v>9</v>
      </c>
      <c r="P381" s="9">
        <f>VLOOKUP($A381,'Temprorary Data'!$A:$G,7,FALSE)</f>
        <v>13</v>
      </c>
      <c r="Q381" t="b">
        <f t="shared" si="45"/>
        <v>1</v>
      </c>
      <c r="R381" t="str">
        <f t="shared" si="46"/>
        <v>January</v>
      </c>
      <c r="S381" t="str">
        <f t="shared" si="47"/>
        <v>Monday</v>
      </c>
      <c r="T381" t="str">
        <f t="shared" si="48"/>
        <v>Weekday</v>
      </c>
      <c r="U381" t="str">
        <f t="shared" si="49"/>
        <v>Spring</v>
      </c>
      <c r="V381" t="str">
        <f t="shared" si="50"/>
        <v>Mist</v>
      </c>
      <c r="W381" t="str">
        <f t="shared" si="51"/>
        <v>Morning Peak</v>
      </c>
      <c r="X381" t="str">
        <f t="shared" si="52"/>
        <v>Low</v>
      </c>
      <c r="Y381" t="str">
        <f t="shared" si="53"/>
        <v>Medium</v>
      </c>
    </row>
    <row r="382" spans="1:25" ht="15.75" thickBot="1">
      <c r="A382" s="1">
        <v>381</v>
      </c>
      <c r="B382" s="2">
        <v>40560</v>
      </c>
      <c r="C382" s="1">
        <v>1</v>
      </c>
      <c r="D382" s="1">
        <v>0</v>
      </c>
      <c r="E382" s="1">
        <v>1</v>
      </c>
      <c r="F382" s="1">
        <v>8</v>
      </c>
      <c r="G382" s="3" t="b">
        <v>1</v>
      </c>
      <c r="H382" s="1">
        <v>1</v>
      </c>
      <c r="I382" s="1">
        <v>2</v>
      </c>
      <c r="J382" s="7">
        <v>0.16</v>
      </c>
      <c r="K382" s="8">
        <f>VLOOKUP($A382,'Temprorary Data'!$A:$G,2,FALSE)</f>
        <v>0.1515</v>
      </c>
      <c r="L382" s="8">
        <f>VLOOKUP($A382,'Temprorary Data'!$A:$G,3,FALSE)</f>
        <v>0.47</v>
      </c>
      <c r="M382" s="8">
        <f>VLOOKUP($A382,'Temprorary Data'!$A:$G,4,FALSE)</f>
        <v>0.22389999999999999</v>
      </c>
      <c r="N382" s="9">
        <f>VLOOKUP($A382,'Temprorary Data'!$A:$G,5,FALSE)</f>
        <v>3</v>
      </c>
      <c r="O382" s="9">
        <f>VLOOKUP($A382,'Temprorary Data'!$A:$G,6,FALSE)</f>
        <v>30</v>
      </c>
      <c r="P382" s="9">
        <f>VLOOKUP($A382,'Temprorary Data'!$A:$G,7,FALSE)</f>
        <v>33</v>
      </c>
      <c r="Q382" t="b">
        <f t="shared" si="45"/>
        <v>1</v>
      </c>
      <c r="R382" t="str">
        <f t="shared" si="46"/>
        <v>January</v>
      </c>
      <c r="S382" t="str">
        <f t="shared" si="47"/>
        <v>Monday</v>
      </c>
      <c r="T382" t="str">
        <f t="shared" si="48"/>
        <v>Weekday</v>
      </c>
      <c r="U382" t="str">
        <f t="shared" si="49"/>
        <v>Spring</v>
      </c>
      <c r="V382" t="str">
        <f t="shared" si="50"/>
        <v>Mist</v>
      </c>
      <c r="W382" t="str">
        <f t="shared" si="51"/>
        <v>Morning Peak</v>
      </c>
      <c r="X382" t="str">
        <f t="shared" si="52"/>
        <v>Low</v>
      </c>
      <c r="Y382" t="str">
        <f t="shared" si="53"/>
        <v>Medium</v>
      </c>
    </row>
    <row r="383" spans="1:25" ht="15.75" thickBot="1">
      <c r="A383" s="1">
        <v>382</v>
      </c>
      <c r="B383" s="2">
        <v>40560</v>
      </c>
      <c r="C383" s="1">
        <v>1</v>
      </c>
      <c r="D383" s="1">
        <v>0</v>
      </c>
      <c r="E383" s="1">
        <v>1</v>
      </c>
      <c r="F383" s="1">
        <v>9</v>
      </c>
      <c r="G383" s="3" t="b">
        <v>1</v>
      </c>
      <c r="H383" s="1">
        <v>1</v>
      </c>
      <c r="I383" s="1">
        <v>2</v>
      </c>
      <c r="J383" s="7">
        <v>0.16</v>
      </c>
      <c r="K383" s="8">
        <f>VLOOKUP($A383,'Temprorary Data'!$A:$G,2,FALSE)</f>
        <v>0.1515</v>
      </c>
      <c r="L383" s="8">
        <f>VLOOKUP($A383,'Temprorary Data'!$A:$G,3,FALSE)</f>
        <v>0.47</v>
      </c>
      <c r="M383" s="8">
        <f>VLOOKUP($A383,'Temprorary Data'!$A:$G,4,FALSE)</f>
        <v>0.22389999999999999</v>
      </c>
      <c r="N383" s="9">
        <f>VLOOKUP($A383,'Temprorary Data'!$A:$G,5,FALSE)</f>
        <v>8</v>
      </c>
      <c r="O383" s="9">
        <f>VLOOKUP($A383,'Temprorary Data'!$A:$G,6,FALSE)</f>
        <v>39</v>
      </c>
      <c r="P383" s="9">
        <f>VLOOKUP($A383,'Temprorary Data'!$A:$G,7,FALSE)</f>
        <v>47</v>
      </c>
      <c r="Q383" t="b">
        <f t="shared" si="45"/>
        <v>1</v>
      </c>
      <c r="R383" t="str">
        <f t="shared" si="46"/>
        <v>January</v>
      </c>
      <c r="S383" t="str">
        <f t="shared" si="47"/>
        <v>Monday</v>
      </c>
      <c r="T383" t="str">
        <f t="shared" si="48"/>
        <v>Weekday</v>
      </c>
      <c r="U383" t="str">
        <f t="shared" si="49"/>
        <v>Spring</v>
      </c>
      <c r="V383" t="str">
        <f t="shared" si="50"/>
        <v>Mist</v>
      </c>
      <c r="W383" t="str">
        <f t="shared" si="51"/>
        <v>Morning Peak</v>
      </c>
      <c r="X383" t="str">
        <f t="shared" si="52"/>
        <v>Low</v>
      </c>
      <c r="Y383" t="str">
        <f t="shared" si="53"/>
        <v>Medium</v>
      </c>
    </row>
    <row r="384" spans="1:25" ht="15.75" thickBot="1">
      <c r="A384" s="1">
        <v>383</v>
      </c>
      <c r="B384" s="2">
        <v>40560</v>
      </c>
      <c r="C384" s="1">
        <v>1</v>
      </c>
      <c r="D384" s="1">
        <v>0</v>
      </c>
      <c r="E384" s="1">
        <v>1</v>
      </c>
      <c r="F384" s="1">
        <v>10</v>
      </c>
      <c r="G384" s="3" t="b">
        <v>1</v>
      </c>
      <c r="H384" s="1">
        <v>1</v>
      </c>
      <c r="I384" s="1">
        <v>2</v>
      </c>
      <c r="J384" s="7">
        <v>0.16</v>
      </c>
      <c r="K384" s="8">
        <f>VLOOKUP($A384,'Temprorary Data'!$A:$G,2,FALSE)</f>
        <v>0.1515</v>
      </c>
      <c r="L384" s="8">
        <f>VLOOKUP($A384,'Temprorary Data'!$A:$G,3,FALSE)</f>
        <v>0.5</v>
      </c>
      <c r="M384" s="8">
        <f>VLOOKUP($A384,'Temprorary Data'!$A:$G,4,FALSE)</f>
        <v>0.25369999999999998</v>
      </c>
      <c r="N384" s="9">
        <f>VLOOKUP($A384,'Temprorary Data'!$A:$G,5,FALSE)</f>
        <v>7</v>
      </c>
      <c r="O384" s="9">
        <f>VLOOKUP($A384,'Temprorary Data'!$A:$G,6,FALSE)</f>
        <v>50</v>
      </c>
      <c r="P384" s="9">
        <f>VLOOKUP($A384,'Temprorary Data'!$A:$G,7,FALSE)</f>
        <v>57</v>
      </c>
      <c r="Q384" t="b">
        <f t="shared" si="45"/>
        <v>1</v>
      </c>
      <c r="R384" t="str">
        <f t="shared" si="46"/>
        <v>January</v>
      </c>
      <c r="S384" t="str">
        <f t="shared" si="47"/>
        <v>Monday</v>
      </c>
      <c r="T384" t="str">
        <f t="shared" si="48"/>
        <v>Weekday</v>
      </c>
      <c r="U384" t="str">
        <f t="shared" si="49"/>
        <v>Spring</v>
      </c>
      <c r="V384" t="str">
        <f t="shared" si="50"/>
        <v>Mist</v>
      </c>
      <c r="W384" t="str">
        <f t="shared" si="51"/>
        <v>Off Peak</v>
      </c>
      <c r="X384" t="str">
        <f t="shared" si="52"/>
        <v>Low</v>
      </c>
      <c r="Y384" t="str">
        <f t="shared" si="53"/>
        <v>Medium</v>
      </c>
    </row>
    <row r="385" spans="1:25" ht="15.75" thickBot="1">
      <c r="A385" s="1">
        <v>384</v>
      </c>
      <c r="B385" s="2">
        <v>40560</v>
      </c>
      <c r="C385" s="1">
        <v>1</v>
      </c>
      <c r="D385" s="1">
        <v>0</v>
      </c>
      <c r="E385" s="1">
        <v>1</v>
      </c>
      <c r="F385" s="1">
        <v>11</v>
      </c>
      <c r="G385" s="3" t="b">
        <v>1</v>
      </c>
      <c r="H385" s="1">
        <v>1</v>
      </c>
      <c r="I385" s="1">
        <v>2</v>
      </c>
      <c r="J385" s="7">
        <v>0.16</v>
      </c>
      <c r="K385" s="8">
        <f>VLOOKUP($A385,'Temprorary Data'!$A:$G,2,FALSE)</f>
        <v>0.1515</v>
      </c>
      <c r="L385" s="8">
        <f>VLOOKUP($A385,'Temprorary Data'!$A:$G,3,FALSE)</f>
        <v>0.55000000000000004</v>
      </c>
      <c r="M385" s="8">
        <f>VLOOKUP($A385,'Temprorary Data'!$A:$G,4,FALSE)</f>
        <v>0.19400000000000001</v>
      </c>
      <c r="N385" s="9">
        <f>VLOOKUP($A385,'Temprorary Data'!$A:$G,5,FALSE)</f>
        <v>9</v>
      </c>
      <c r="O385" s="9">
        <f>VLOOKUP($A385,'Temprorary Data'!$A:$G,6,FALSE)</f>
        <v>55</v>
      </c>
      <c r="P385" s="9">
        <f>VLOOKUP($A385,'Temprorary Data'!$A:$G,7,FALSE)</f>
        <v>64</v>
      </c>
      <c r="Q385" t="b">
        <f t="shared" si="45"/>
        <v>1</v>
      </c>
      <c r="R385" t="str">
        <f t="shared" si="46"/>
        <v>January</v>
      </c>
      <c r="S385" t="str">
        <f t="shared" si="47"/>
        <v>Monday</v>
      </c>
      <c r="T385" t="str">
        <f t="shared" si="48"/>
        <v>Weekday</v>
      </c>
      <c r="U385" t="str">
        <f t="shared" si="49"/>
        <v>Spring</v>
      </c>
      <c r="V385" t="str">
        <f t="shared" si="50"/>
        <v>Mist</v>
      </c>
      <c r="W385" t="str">
        <f t="shared" si="51"/>
        <v>Off Peak</v>
      </c>
      <c r="X385" t="str">
        <f t="shared" si="52"/>
        <v>Low</v>
      </c>
      <c r="Y385" t="str">
        <f t="shared" si="53"/>
        <v>Medium</v>
      </c>
    </row>
    <row r="386" spans="1:25" ht="15.75" thickBot="1">
      <c r="A386" s="1">
        <v>385</v>
      </c>
      <c r="B386" s="2">
        <v>40560</v>
      </c>
      <c r="C386" s="1">
        <v>1</v>
      </c>
      <c r="D386" s="1">
        <v>0</v>
      </c>
      <c r="E386" s="1">
        <v>1</v>
      </c>
      <c r="F386" s="1">
        <v>12</v>
      </c>
      <c r="G386" s="3" t="b">
        <v>1</v>
      </c>
      <c r="H386" s="1">
        <v>1</v>
      </c>
      <c r="I386" s="1">
        <v>2</v>
      </c>
      <c r="J386" s="7">
        <v>0.18</v>
      </c>
      <c r="K386" s="8">
        <f>VLOOKUP($A386,'Temprorary Data'!$A:$G,2,FALSE)</f>
        <v>0.19700000000000001</v>
      </c>
      <c r="L386" s="8">
        <f>VLOOKUP($A386,'Temprorary Data'!$A:$G,3,FALSE)</f>
        <v>0.47</v>
      </c>
      <c r="M386" s="8">
        <f>VLOOKUP($A386,'Temprorary Data'!$A:$G,4,FALSE)</f>
        <v>0.1343</v>
      </c>
      <c r="N386" s="9">
        <f>VLOOKUP($A386,'Temprorary Data'!$A:$G,5,FALSE)</f>
        <v>10</v>
      </c>
      <c r="O386" s="9">
        <f>VLOOKUP($A386,'Temprorary Data'!$A:$G,6,FALSE)</f>
        <v>70</v>
      </c>
      <c r="P386" s="9">
        <f>VLOOKUP($A386,'Temprorary Data'!$A:$G,7,FALSE)</f>
        <v>80</v>
      </c>
      <c r="Q386" t="b">
        <f t="shared" si="45"/>
        <v>1</v>
      </c>
      <c r="R386" t="str">
        <f t="shared" si="46"/>
        <v>January</v>
      </c>
      <c r="S386" t="str">
        <f t="shared" si="47"/>
        <v>Monday</v>
      </c>
      <c r="T386" t="str">
        <f t="shared" si="48"/>
        <v>Weekday</v>
      </c>
      <c r="U386" t="str">
        <f t="shared" si="49"/>
        <v>Spring</v>
      </c>
      <c r="V386" t="str">
        <f t="shared" si="50"/>
        <v>Mist</v>
      </c>
      <c r="W386" t="str">
        <f t="shared" si="51"/>
        <v>Off Peak</v>
      </c>
      <c r="X386" t="str">
        <f t="shared" si="52"/>
        <v>Low</v>
      </c>
      <c r="Y386" t="str">
        <f t="shared" si="53"/>
        <v>Medium</v>
      </c>
    </row>
    <row r="387" spans="1:25" ht="15.75" thickBot="1">
      <c r="A387" s="1">
        <v>386</v>
      </c>
      <c r="B387" s="2">
        <v>40560</v>
      </c>
      <c r="C387" s="1">
        <v>1</v>
      </c>
      <c r="D387" s="1">
        <v>0</v>
      </c>
      <c r="E387" s="1">
        <v>1</v>
      </c>
      <c r="F387" s="1">
        <v>13</v>
      </c>
      <c r="G387" s="3" t="b">
        <v>1</v>
      </c>
      <c r="H387" s="1">
        <v>1</v>
      </c>
      <c r="I387" s="1">
        <v>2</v>
      </c>
      <c r="J387" s="7">
        <v>0.18</v>
      </c>
      <c r="K387" s="8">
        <f>VLOOKUP($A387,'Temprorary Data'!$A:$G,2,FALSE)</f>
        <v>0.19700000000000001</v>
      </c>
      <c r="L387" s="8">
        <f>VLOOKUP($A387,'Temprorary Data'!$A:$G,3,FALSE)</f>
        <v>0.47</v>
      </c>
      <c r="M387" s="8">
        <f>VLOOKUP($A387,'Temprorary Data'!$A:$G,4,FALSE)</f>
        <v>0.1343</v>
      </c>
      <c r="N387" s="9">
        <f>VLOOKUP($A387,'Temprorary Data'!$A:$G,5,FALSE)</f>
        <v>13</v>
      </c>
      <c r="O387" s="9">
        <f>VLOOKUP($A387,'Temprorary Data'!$A:$G,6,FALSE)</f>
        <v>80</v>
      </c>
      <c r="P387" s="9">
        <f>VLOOKUP($A387,'Temprorary Data'!$A:$G,7,FALSE)</f>
        <v>93</v>
      </c>
      <c r="Q387" t="b">
        <f t="shared" ref="Q387:Q450" si="54">N387+O387=P387</f>
        <v>1</v>
      </c>
      <c r="R387" t="str">
        <f t="shared" ref="R387:R450" si="55">TEXT(B387,"mmmm")</f>
        <v>January</v>
      </c>
      <c r="S387" t="str">
        <f t="shared" ref="S387:S450" si="56">TEXT(B387,"dddd")</f>
        <v>Monday</v>
      </c>
      <c r="T387" t="str">
        <f t="shared" ref="T387:T450" si="57">IF(OR(H387=0,H387=6),"Weekend","Weekday")</f>
        <v>Weekday</v>
      </c>
      <c r="U387" t="str">
        <f t="shared" ref="U387:U450" si="58">IF(C387=1,"Spring",IF(C387=2,"Summer",IF(C387=3,"Fall","Winter")))</f>
        <v>Spring</v>
      </c>
      <c r="V387" t="str">
        <f t="shared" ref="V387:V450" si="59">IF(I387=1,"Clear",IF(I387=2,"Mist",IF(I387=3,"Light Rain","Heavy Rain")))</f>
        <v>Mist</v>
      </c>
      <c r="W387" t="str">
        <f t="shared" ref="W387:W450" si="60">IF(AND(F387&gt;=7,F387&lt;=9),"Morning Peak",IF(AND(F387&gt;=17,F387&lt;=20),"Evening Peak","Off Peak"))</f>
        <v>Off Peak</v>
      </c>
      <c r="X387" t="str">
        <f t="shared" ref="X387:X450" si="61">IF(J387&lt;0.3,"Low",IF(J387&lt;0.6,"Medium","High"))</f>
        <v>Low</v>
      </c>
      <c r="Y387" t="str">
        <f t="shared" ref="Y387:Y450" si="62">IF(L387&lt;0.4,"Low",IF(L387&lt;0.7,"Medium","High"))</f>
        <v>Medium</v>
      </c>
    </row>
    <row r="388" spans="1:25" ht="15.75" thickBot="1">
      <c r="A388" s="1">
        <v>387</v>
      </c>
      <c r="B388" s="2">
        <v>40560</v>
      </c>
      <c r="C388" s="1">
        <v>1</v>
      </c>
      <c r="D388" s="1">
        <v>0</v>
      </c>
      <c r="E388" s="1">
        <v>1</v>
      </c>
      <c r="F388" s="1">
        <v>14</v>
      </c>
      <c r="G388" s="3" t="b">
        <v>1</v>
      </c>
      <c r="H388" s="1">
        <v>1</v>
      </c>
      <c r="I388" s="1">
        <v>2</v>
      </c>
      <c r="J388" s="7">
        <v>0.18</v>
      </c>
      <c r="K388" s="8">
        <f>VLOOKUP($A388,'Temprorary Data'!$A:$G,2,FALSE)</f>
        <v>0.21210000000000001</v>
      </c>
      <c r="L388" s="8">
        <f>VLOOKUP($A388,'Temprorary Data'!$A:$G,3,FALSE)</f>
        <v>0.43</v>
      </c>
      <c r="M388" s="8">
        <f>VLOOKUP($A388,'Temprorary Data'!$A:$G,4,FALSE)</f>
        <v>0.1045</v>
      </c>
      <c r="N388" s="9">
        <f>VLOOKUP($A388,'Temprorary Data'!$A:$G,5,FALSE)</f>
        <v>12</v>
      </c>
      <c r="O388" s="9">
        <f>VLOOKUP($A388,'Temprorary Data'!$A:$G,6,FALSE)</f>
        <v>74</v>
      </c>
      <c r="P388" s="9">
        <f>VLOOKUP($A388,'Temprorary Data'!$A:$G,7,FALSE)</f>
        <v>86</v>
      </c>
      <c r="Q388" t="b">
        <f t="shared" si="54"/>
        <v>1</v>
      </c>
      <c r="R388" t="str">
        <f t="shared" si="55"/>
        <v>January</v>
      </c>
      <c r="S388" t="str">
        <f t="shared" si="56"/>
        <v>Monday</v>
      </c>
      <c r="T388" t="str">
        <f t="shared" si="57"/>
        <v>Weekday</v>
      </c>
      <c r="U388" t="str">
        <f t="shared" si="58"/>
        <v>Spring</v>
      </c>
      <c r="V388" t="str">
        <f t="shared" si="59"/>
        <v>Mist</v>
      </c>
      <c r="W388" t="str">
        <f t="shared" si="60"/>
        <v>Off Peak</v>
      </c>
      <c r="X388" t="str">
        <f t="shared" si="61"/>
        <v>Low</v>
      </c>
      <c r="Y388" t="str">
        <f t="shared" si="62"/>
        <v>Medium</v>
      </c>
    </row>
    <row r="389" spans="1:25" ht="15.75" thickBot="1">
      <c r="A389" s="1">
        <v>388</v>
      </c>
      <c r="B389" s="2">
        <v>40560</v>
      </c>
      <c r="C389" s="1">
        <v>1</v>
      </c>
      <c r="D389" s="1">
        <v>0</v>
      </c>
      <c r="E389" s="1">
        <v>1</v>
      </c>
      <c r="F389" s="1">
        <v>15</v>
      </c>
      <c r="G389" s="3" t="b">
        <v>1</v>
      </c>
      <c r="H389" s="1">
        <v>1</v>
      </c>
      <c r="I389" s="1">
        <v>2</v>
      </c>
      <c r="J389" s="7">
        <v>0.2</v>
      </c>
      <c r="K389" s="8">
        <f>VLOOKUP($A389,'Temprorary Data'!$A:$G,2,FALSE)</f>
        <v>0.21210000000000001</v>
      </c>
      <c r="L389" s="8">
        <f>VLOOKUP($A389,'Temprorary Data'!$A:$G,3,FALSE)</f>
        <v>0.47</v>
      </c>
      <c r="M389" s="8">
        <f>VLOOKUP($A389,'Temprorary Data'!$A:$G,4,FALSE)</f>
        <v>0.16420000000000001</v>
      </c>
      <c r="N389" s="9">
        <f>VLOOKUP($A389,'Temprorary Data'!$A:$G,5,FALSE)</f>
        <v>21</v>
      </c>
      <c r="O389" s="9">
        <f>VLOOKUP($A389,'Temprorary Data'!$A:$G,6,FALSE)</f>
        <v>72</v>
      </c>
      <c r="P389" s="9">
        <f>VLOOKUP($A389,'Temprorary Data'!$A:$G,7,FALSE)</f>
        <v>93</v>
      </c>
      <c r="Q389" t="b">
        <f t="shared" si="54"/>
        <v>1</v>
      </c>
      <c r="R389" t="str">
        <f t="shared" si="55"/>
        <v>January</v>
      </c>
      <c r="S389" t="str">
        <f t="shared" si="56"/>
        <v>Monday</v>
      </c>
      <c r="T389" t="str">
        <f t="shared" si="57"/>
        <v>Weekday</v>
      </c>
      <c r="U389" t="str">
        <f t="shared" si="58"/>
        <v>Spring</v>
      </c>
      <c r="V389" t="str">
        <f t="shared" si="59"/>
        <v>Mist</v>
      </c>
      <c r="W389" t="str">
        <f t="shared" si="60"/>
        <v>Off Peak</v>
      </c>
      <c r="X389" t="str">
        <f t="shared" si="61"/>
        <v>Low</v>
      </c>
      <c r="Y389" t="str">
        <f t="shared" si="62"/>
        <v>Medium</v>
      </c>
    </row>
    <row r="390" spans="1:25" ht="15.75" thickBot="1">
      <c r="A390" s="1">
        <v>389</v>
      </c>
      <c r="B390" s="2">
        <v>40560</v>
      </c>
      <c r="C390" s="1">
        <v>1</v>
      </c>
      <c r="D390" s="1">
        <v>0</v>
      </c>
      <c r="E390" s="1">
        <v>1</v>
      </c>
      <c r="F390" s="1">
        <v>16</v>
      </c>
      <c r="G390" s="3" t="b">
        <v>1</v>
      </c>
      <c r="H390" s="1">
        <v>1</v>
      </c>
      <c r="I390" s="1">
        <v>2</v>
      </c>
      <c r="J390" s="7">
        <v>0.2</v>
      </c>
      <c r="K390" s="8">
        <f>VLOOKUP($A390,'Temprorary Data'!$A:$G,2,FALSE)</f>
        <v>0.21210000000000001</v>
      </c>
      <c r="L390" s="8">
        <f>VLOOKUP($A390,'Temprorary Data'!$A:$G,3,FALSE)</f>
        <v>0.47</v>
      </c>
      <c r="M390" s="8">
        <f>VLOOKUP($A390,'Temprorary Data'!$A:$G,4,FALSE)</f>
        <v>0.16420000000000001</v>
      </c>
      <c r="N390" s="9">
        <f>VLOOKUP($A390,'Temprorary Data'!$A:$G,5,FALSE)</f>
        <v>6</v>
      </c>
      <c r="O390" s="9">
        <f>VLOOKUP($A390,'Temprorary Data'!$A:$G,6,FALSE)</f>
        <v>76</v>
      </c>
      <c r="P390" s="9">
        <f>VLOOKUP($A390,'Temprorary Data'!$A:$G,7,FALSE)</f>
        <v>82</v>
      </c>
      <c r="Q390" t="b">
        <f t="shared" si="54"/>
        <v>1</v>
      </c>
      <c r="R390" t="str">
        <f t="shared" si="55"/>
        <v>January</v>
      </c>
      <c r="S390" t="str">
        <f t="shared" si="56"/>
        <v>Monday</v>
      </c>
      <c r="T390" t="str">
        <f t="shared" si="57"/>
        <v>Weekday</v>
      </c>
      <c r="U390" t="str">
        <f t="shared" si="58"/>
        <v>Spring</v>
      </c>
      <c r="V390" t="str">
        <f t="shared" si="59"/>
        <v>Mist</v>
      </c>
      <c r="W390" t="str">
        <f t="shared" si="60"/>
        <v>Off Peak</v>
      </c>
      <c r="X390" t="str">
        <f t="shared" si="61"/>
        <v>Low</v>
      </c>
      <c r="Y390" t="str">
        <f t="shared" si="62"/>
        <v>Medium</v>
      </c>
    </row>
    <row r="391" spans="1:25" ht="15.75" thickBot="1">
      <c r="A391" s="1">
        <v>390</v>
      </c>
      <c r="B391" s="2">
        <v>40560</v>
      </c>
      <c r="C391" s="1">
        <v>1</v>
      </c>
      <c r="D391" s="1">
        <v>0</v>
      </c>
      <c r="E391" s="1">
        <v>1</v>
      </c>
      <c r="F391" s="1">
        <v>17</v>
      </c>
      <c r="G391" s="3" t="b">
        <v>1</v>
      </c>
      <c r="H391" s="1">
        <v>1</v>
      </c>
      <c r="I391" s="1">
        <v>1</v>
      </c>
      <c r="J391" s="7">
        <v>0.2</v>
      </c>
      <c r="K391" s="8">
        <f>VLOOKUP($A391,'Temprorary Data'!$A:$G,2,FALSE)</f>
        <v>0.19700000000000001</v>
      </c>
      <c r="L391" s="8">
        <f>VLOOKUP($A391,'Temprorary Data'!$A:$G,3,FALSE)</f>
        <v>0.51</v>
      </c>
      <c r="M391" s="8">
        <f>VLOOKUP($A391,'Temprorary Data'!$A:$G,4,FALSE)</f>
        <v>0.19400000000000001</v>
      </c>
      <c r="N391" s="9">
        <f>VLOOKUP($A391,'Temprorary Data'!$A:$G,5,FALSE)</f>
        <v>4</v>
      </c>
      <c r="O391" s="9">
        <f>VLOOKUP($A391,'Temprorary Data'!$A:$G,6,FALSE)</f>
        <v>67</v>
      </c>
      <c r="P391" s="9">
        <f>VLOOKUP($A391,'Temprorary Data'!$A:$G,7,FALSE)</f>
        <v>71</v>
      </c>
      <c r="Q391" t="b">
        <f t="shared" si="54"/>
        <v>1</v>
      </c>
      <c r="R391" t="str">
        <f t="shared" si="55"/>
        <v>January</v>
      </c>
      <c r="S391" t="str">
        <f t="shared" si="56"/>
        <v>Monday</v>
      </c>
      <c r="T391" t="str">
        <f t="shared" si="57"/>
        <v>Weekday</v>
      </c>
      <c r="U391" t="str">
        <f t="shared" si="58"/>
        <v>Spring</v>
      </c>
      <c r="V391" t="str">
        <f t="shared" si="59"/>
        <v>Clear</v>
      </c>
      <c r="W391" t="str">
        <f t="shared" si="60"/>
        <v>Evening Peak</v>
      </c>
      <c r="X391" t="str">
        <f t="shared" si="61"/>
        <v>Low</v>
      </c>
      <c r="Y391" t="str">
        <f t="shared" si="62"/>
        <v>Medium</v>
      </c>
    </row>
    <row r="392" spans="1:25" ht="15.75" thickBot="1">
      <c r="A392" s="1">
        <v>391</v>
      </c>
      <c r="B392" s="2">
        <v>40560</v>
      </c>
      <c r="C392" s="1">
        <v>1</v>
      </c>
      <c r="D392" s="1">
        <v>0</v>
      </c>
      <c r="E392" s="1">
        <v>1</v>
      </c>
      <c r="F392" s="1">
        <v>18</v>
      </c>
      <c r="G392" s="3" t="b">
        <v>1</v>
      </c>
      <c r="H392" s="1">
        <v>1</v>
      </c>
      <c r="I392" s="1">
        <v>2</v>
      </c>
      <c r="J392" s="7">
        <v>0.18</v>
      </c>
      <c r="K392" s="8">
        <f>VLOOKUP($A392,'Temprorary Data'!$A:$G,2,FALSE)</f>
        <v>0.16669999999999999</v>
      </c>
      <c r="L392" s="8">
        <f>VLOOKUP($A392,'Temprorary Data'!$A:$G,3,FALSE)</f>
        <v>0.55000000000000004</v>
      </c>
      <c r="M392" s="8">
        <f>VLOOKUP($A392,'Temprorary Data'!$A:$G,4,FALSE)</f>
        <v>0.25369999999999998</v>
      </c>
      <c r="N392" s="9">
        <f>VLOOKUP($A392,'Temprorary Data'!$A:$G,5,FALSE)</f>
        <v>7</v>
      </c>
      <c r="O392" s="9">
        <f>VLOOKUP($A392,'Temprorary Data'!$A:$G,6,FALSE)</f>
        <v>85</v>
      </c>
      <c r="P392" s="9">
        <f>VLOOKUP($A392,'Temprorary Data'!$A:$G,7,FALSE)</f>
        <v>92</v>
      </c>
      <c r="Q392" t="b">
        <f t="shared" si="54"/>
        <v>1</v>
      </c>
      <c r="R392" t="str">
        <f t="shared" si="55"/>
        <v>January</v>
      </c>
      <c r="S392" t="str">
        <f t="shared" si="56"/>
        <v>Monday</v>
      </c>
      <c r="T392" t="str">
        <f t="shared" si="57"/>
        <v>Weekday</v>
      </c>
      <c r="U392" t="str">
        <f t="shared" si="58"/>
        <v>Spring</v>
      </c>
      <c r="V392" t="str">
        <f t="shared" si="59"/>
        <v>Mist</v>
      </c>
      <c r="W392" t="str">
        <f t="shared" si="60"/>
        <v>Evening Peak</v>
      </c>
      <c r="X392" t="str">
        <f t="shared" si="61"/>
        <v>Low</v>
      </c>
      <c r="Y392" t="str">
        <f t="shared" si="62"/>
        <v>Medium</v>
      </c>
    </row>
    <row r="393" spans="1:25" ht="15.75" thickBot="1">
      <c r="A393" s="1">
        <v>392</v>
      </c>
      <c r="B393" s="2">
        <v>40560</v>
      </c>
      <c r="C393" s="1">
        <v>1</v>
      </c>
      <c r="D393" s="1">
        <v>0</v>
      </c>
      <c r="E393" s="1">
        <v>1</v>
      </c>
      <c r="F393" s="1">
        <v>19</v>
      </c>
      <c r="G393" s="3" t="b">
        <v>1</v>
      </c>
      <c r="H393" s="1">
        <v>1</v>
      </c>
      <c r="I393" s="1">
        <v>3</v>
      </c>
      <c r="J393" s="7">
        <v>0.18</v>
      </c>
      <c r="K393" s="8">
        <f>VLOOKUP($A393,'Temprorary Data'!$A:$G,2,FALSE)</f>
        <v>0.18179999999999999</v>
      </c>
      <c r="L393" s="8">
        <f>VLOOKUP($A393,'Temprorary Data'!$A:$G,3,FALSE)</f>
        <v>0.59</v>
      </c>
      <c r="M393" s="8">
        <f>VLOOKUP($A393,'Temprorary Data'!$A:$G,4,FALSE)</f>
        <v>0.19400000000000001</v>
      </c>
      <c r="N393" s="9">
        <f>VLOOKUP($A393,'Temprorary Data'!$A:$G,5,FALSE)</f>
        <v>2</v>
      </c>
      <c r="O393" s="9">
        <f>VLOOKUP($A393,'Temprorary Data'!$A:$G,6,FALSE)</f>
        <v>58</v>
      </c>
      <c r="P393" s="9">
        <f>VLOOKUP($A393,'Temprorary Data'!$A:$G,7,FALSE)</f>
        <v>60</v>
      </c>
      <c r="Q393" t="b">
        <f t="shared" si="54"/>
        <v>1</v>
      </c>
      <c r="R393" t="str">
        <f t="shared" si="55"/>
        <v>January</v>
      </c>
      <c r="S393" t="str">
        <f t="shared" si="56"/>
        <v>Monday</v>
      </c>
      <c r="T393" t="str">
        <f t="shared" si="57"/>
        <v>Weekday</v>
      </c>
      <c r="U393" t="str">
        <f t="shared" si="58"/>
        <v>Spring</v>
      </c>
      <c r="V393" t="str">
        <f t="shared" si="59"/>
        <v>Light Rain</v>
      </c>
      <c r="W393" t="str">
        <f t="shared" si="60"/>
        <v>Evening Peak</v>
      </c>
      <c r="X393" t="str">
        <f t="shared" si="61"/>
        <v>Low</v>
      </c>
      <c r="Y393" t="str">
        <f t="shared" si="62"/>
        <v>Medium</v>
      </c>
    </row>
    <row r="394" spans="1:25" ht="15.75" thickBot="1">
      <c r="A394" s="1">
        <v>393</v>
      </c>
      <c r="B394" s="2">
        <v>40560</v>
      </c>
      <c r="C394" s="1">
        <v>1</v>
      </c>
      <c r="D394" s="1">
        <v>0</v>
      </c>
      <c r="E394" s="1">
        <v>1</v>
      </c>
      <c r="F394" s="1">
        <v>20</v>
      </c>
      <c r="G394" s="3" t="b">
        <v>1</v>
      </c>
      <c r="H394" s="1">
        <v>1</v>
      </c>
      <c r="I394" s="1">
        <v>3</v>
      </c>
      <c r="J394" s="7">
        <v>0.16</v>
      </c>
      <c r="K394" s="8">
        <f>VLOOKUP($A394,'Temprorary Data'!$A:$G,2,FALSE)</f>
        <v>0.1515</v>
      </c>
      <c r="L394" s="8">
        <f>VLOOKUP($A394,'Temprorary Data'!$A:$G,3,FALSE)</f>
        <v>0.8</v>
      </c>
      <c r="M394" s="8">
        <f>VLOOKUP($A394,'Temprorary Data'!$A:$G,4,FALSE)</f>
        <v>0.19400000000000001</v>
      </c>
      <c r="N394" s="9">
        <f>VLOOKUP($A394,'Temprorary Data'!$A:$G,5,FALSE)</f>
        <v>4</v>
      </c>
      <c r="O394" s="9">
        <f>VLOOKUP($A394,'Temprorary Data'!$A:$G,6,FALSE)</f>
        <v>29</v>
      </c>
      <c r="P394" s="9">
        <f>VLOOKUP($A394,'Temprorary Data'!$A:$G,7,FALSE)</f>
        <v>33</v>
      </c>
      <c r="Q394" t="b">
        <f t="shared" si="54"/>
        <v>1</v>
      </c>
      <c r="R394" t="str">
        <f t="shared" si="55"/>
        <v>January</v>
      </c>
      <c r="S394" t="str">
        <f t="shared" si="56"/>
        <v>Monday</v>
      </c>
      <c r="T394" t="str">
        <f t="shared" si="57"/>
        <v>Weekday</v>
      </c>
      <c r="U394" t="str">
        <f t="shared" si="58"/>
        <v>Spring</v>
      </c>
      <c r="V394" t="str">
        <f t="shared" si="59"/>
        <v>Light Rain</v>
      </c>
      <c r="W394" t="str">
        <f t="shared" si="60"/>
        <v>Evening Peak</v>
      </c>
      <c r="X394" t="str">
        <f t="shared" si="61"/>
        <v>Low</v>
      </c>
      <c r="Y394" t="str">
        <f t="shared" si="62"/>
        <v>High</v>
      </c>
    </row>
    <row r="395" spans="1:25" ht="15.75" thickBot="1">
      <c r="A395" s="1">
        <v>394</v>
      </c>
      <c r="B395" s="2">
        <v>40560</v>
      </c>
      <c r="C395" s="1">
        <v>1</v>
      </c>
      <c r="D395" s="1">
        <v>0</v>
      </c>
      <c r="E395" s="1">
        <v>1</v>
      </c>
      <c r="F395" s="1">
        <v>21</v>
      </c>
      <c r="G395" s="3" t="b">
        <v>1</v>
      </c>
      <c r="H395" s="1">
        <v>1</v>
      </c>
      <c r="I395" s="1">
        <v>3</v>
      </c>
      <c r="J395" s="7">
        <v>0.16</v>
      </c>
      <c r="K395" s="8">
        <f>VLOOKUP($A395,'Temprorary Data'!$A:$G,2,FALSE)</f>
        <v>0.1515</v>
      </c>
      <c r="L395" s="8">
        <f>VLOOKUP($A395,'Temprorary Data'!$A:$G,3,FALSE)</f>
        <v>0.8</v>
      </c>
      <c r="M395" s="8">
        <f>VLOOKUP($A395,'Temprorary Data'!$A:$G,4,FALSE)</f>
        <v>0.19400000000000001</v>
      </c>
      <c r="N395" s="9">
        <f>VLOOKUP($A395,'Temprorary Data'!$A:$G,5,FALSE)</f>
        <v>3</v>
      </c>
      <c r="O395" s="9">
        <f>VLOOKUP($A395,'Temprorary Data'!$A:$G,6,FALSE)</f>
        <v>24</v>
      </c>
      <c r="P395" s="9">
        <f>VLOOKUP($A395,'Temprorary Data'!$A:$G,7,FALSE)</f>
        <v>27</v>
      </c>
      <c r="Q395" t="b">
        <f t="shared" si="54"/>
        <v>1</v>
      </c>
      <c r="R395" t="str">
        <f t="shared" si="55"/>
        <v>January</v>
      </c>
      <c r="S395" t="str">
        <f t="shared" si="56"/>
        <v>Monday</v>
      </c>
      <c r="T395" t="str">
        <f t="shared" si="57"/>
        <v>Weekday</v>
      </c>
      <c r="U395" t="str">
        <f t="shared" si="58"/>
        <v>Spring</v>
      </c>
      <c r="V395" t="str">
        <f t="shared" si="59"/>
        <v>Light Rain</v>
      </c>
      <c r="W395" t="str">
        <f t="shared" si="60"/>
        <v>Off Peak</v>
      </c>
      <c r="X395" t="str">
        <f t="shared" si="61"/>
        <v>Low</v>
      </c>
      <c r="Y395" t="str">
        <f t="shared" si="62"/>
        <v>High</v>
      </c>
    </row>
    <row r="396" spans="1:25" ht="15.75" thickBot="1">
      <c r="A396" s="1">
        <v>395</v>
      </c>
      <c r="B396" s="2">
        <v>40560</v>
      </c>
      <c r="C396" s="1">
        <v>1</v>
      </c>
      <c r="D396" s="1">
        <v>0</v>
      </c>
      <c r="E396" s="1">
        <v>1</v>
      </c>
      <c r="F396" s="1">
        <v>22</v>
      </c>
      <c r="G396" s="3" t="b">
        <v>1</v>
      </c>
      <c r="H396" s="1">
        <v>1</v>
      </c>
      <c r="I396" s="1">
        <v>3</v>
      </c>
      <c r="J396" s="7">
        <v>0.14000000000000001</v>
      </c>
      <c r="K396" s="8">
        <f>VLOOKUP($A396,'Temprorary Data'!$A:$G,2,FALSE)</f>
        <v>0.1212</v>
      </c>
      <c r="L396" s="8">
        <f>VLOOKUP($A396,'Temprorary Data'!$A:$G,3,FALSE)</f>
        <v>0.93</v>
      </c>
      <c r="M396" s="8">
        <f>VLOOKUP($A396,'Temprorary Data'!$A:$G,4,FALSE)</f>
        <v>0.25369999999999998</v>
      </c>
      <c r="N396" s="9">
        <f>VLOOKUP($A396,'Temprorary Data'!$A:$G,5,FALSE)</f>
        <v>0</v>
      </c>
      <c r="O396" s="9">
        <f>VLOOKUP($A396,'Temprorary Data'!$A:$G,6,FALSE)</f>
        <v>13</v>
      </c>
      <c r="P396" s="9">
        <f>VLOOKUP($A396,'Temprorary Data'!$A:$G,7,FALSE)</f>
        <v>13</v>
      </c>
      <c r="Q396" t="b">
        <f t="shared" si="54"/>
        <v>1</v>
      </c>
      <c r="R396" t="str">
        <f t="shared" si="55"/>
        <v>January</v>
      </c>
      <c r="S396" t="str">
        <f t="shared" si="56"/>
        <v>Monday</v>
      </c>
      <c r="T396" t="str">
        <f t="shared" si="57"/>
        <v>Weekday</v>
      </c>
      <c r="U396" t="str">
        <f t="shared" si="58"/>
        <v>Spring</v>
      </c>
      <c r="V396" t="str">
        <f t="shared" si="59"/>
        <v>Light Rain</v>
      </c>
      <c r="W396" t="str">
        <f t="shared" si="60"/>
        <v>Off Peak</v>
      </c>
      <c r="X396" t="str">
        <f t="shared" si="61"/>
        <v>Low</v>
      </c>
      <c r="Y396" t="str">
        <f t="shared" si="62"/>
        <v>High</v>
      </c>
    </row>
    <row r="397" spans="1:25" ht="15.75" thickBot="1">
      <c r="A397" s="1">
        <v>396</v>
      </c>
      <c r="B397" s="2">
        <v>40560</v>
      </c>
      <c r="C397" s="1">
        <v>1</v>
      </c>
      <c r="D397" s="1">
        <v>0</v>
      </c>
      <c r="E397" s="1">
        <v>1</v>
      </c>
      <c r="F397" s="1">
        <v>23</v>
      </c>
      <c r="G397" s="3" t="b">
        <v>1</v>
      </c>
      <c r="H397" s="1">
        <v>1</v>
      </c>
      <c r="I397" s="1">
        <v>3</v>
      </c>
      <c r="J397" s="7">
        <v>0.16</v>
      </c>
      <c r="K397" s="8">
        <f>VLOOKUP($A397,'Temprorary Data'!$A:$G,2,FALSE)</f>
        <v>0.13639999999999999</v>
      </c>
      <c r="L397" s="8">
        <f>VLOOKUP($A397,'Temprorary Data'!$A:$G,3,FALSE)</f>
        <v>0.86</v>
      </c>
      <c r="M397" s="8">
        <f>VLOOKUP($A397,'Temprorary Data'!$A:$G,4,FALSE)</f>
        <v>0.28360000000000002</v>
      </c>
      <c r="N397" s="9">
        <f>VLOOKUP($A397,'Temprorary Data'!$A:$G,5,FALSE)</f>
        <v>1</v>
      </c>
      <c r="O397" s="9">
        <f>VLOOKUP($A397,'Temprorary Data'!$A:$G,6,FALSE)</f>
        <v>3</v>
      </c>
      <c r="P397" s="9">
        <f>VLOOKUP($A397,'Temprorary Data'!$A:$G,7,FALSE)</f>
        <v>4</v>
      </c>
      <c r="Q397" t="b">
        <f t="shared" si="54"/>
        <v>1</v>
      </c>
      <c r="R397" t="str">
        <f t="shared" si="55"/>
        <v>January</v>
      </c>
      <c r="S397" t="str">
        <f t="shared" si="56"/>
        <v>Monday</v>
      </c>
      <c r="T397" t="str">
        <f t="shared" si="57"/>
        <v>Weekday</v>
      </c>
      <c r="U397" t="str">
        <f t="shared" si="58"/>
        <v>Spring</v>
      </c>
      <c r="V397" t="str">
        <f t="shared" si="59"/>
        <v>Light Rain</v>
      </c>
      <c r="W397" t="str">
        <f t="shared" si="60"/>
        <v>Off Peak</v>
      </c>
      <c r="X397" t="str">
        <f t="shared" si="61"/>
        <v>Low</v>
      </c>
      <c r="Y397" t="str">
        <f t="shared" si="62"/>
        <v>High</v>
      </c>
    </row>
    <row r="398" spans="1:25" ht="15.75" thickBot="1">
      <c r="A398" s="1">
        <v>397</v>
      </c>
      <c r="B398" s="2">
        <v>40561</v>
      </c>
      <c r="C398" s="1">
        <v>1</v>
      </c>
      <c r="D398" s="1">
        <v>0</v>
      </c>
      <c r="E398" s="1">
        <v>1</v>
      </c>
      <c r="F398" s="1">
        <v>12</v>
      </c>
      <c r="G398" s="3" t="b">
        <v>0</v>
      </c>
      <c r="H398" s="1">
        <v>2</v>
      </c>
      <c r="I398" s="1">
        <v>2</v>
      </c>
      <c r="J398" s="7">
        <v>0.2</v>
      </c>
      <c r="K398" s="8">
        <f>VLOOKUP($A398,'Temprorary Data'!$A:$G,2,FALSE)</f>
        <v>0.18179999999999999</v>
      </c>
      <c r="L398" s="8">
        <f>VLOOKUP($A398,'Temprorary Data'!$A:$G,3,FALSE)</f>
        <v>0.86</v>
      </c>
      <c r="M398" s="8">
        <f>VLOOKUP($A398,'Temprorary Data'!$A:$G,4,FALSE)</f>
        <v>0.32840000000000003</v>
      </c>
      <c r="N398" s="9">
        <f>VLOOKUP($A398,'Temprorary Data'!$A:$G,5,FALSE)</f>
        <v>0</v>
      </c>
      <c r="O398" s="9">
        <f>VLOOKUP($A398,'Temprorary Data'!$A:$G,6,FALSE)</f>
        <v>3</v>
      </c>
      <c r="P398" s="9">
        <f>VLOOKUP($A398,'Temprorary Data'!$A:$G,7,FALSE)</f>
        <v>3</v>
      </c>
      <c r="Q398" t="b">
        <f t="shared" si="54"/>
        <v>1</v>
      </c>
      <c r="R398" t="str">
        <f t="shared" si="55"/>
        <v>January</v>
      </c>
      <c r="S398" t="str">
        <f t="shared" si="56"/>
        <v>Tuesday</v>
      </c>
      <c r="T398" t="str">
        <f t="shared" si="57"/>
        <v>Weekday</v>
      </c>
      <c r="U398" t="str">
        <f t="shared" si="58"/>
        <v>Spring</v>
      </c>
      <c r="V398" t="str">
        <f t="shared" si="59"/>
        <v>Mist</v>
      </c>
      <c r="W398" t="str">
        <f t="shared" si="60"/>
        <v>Off Peak</v>
      </c>
      <c r="X398" t="str">
        <f t="shared" si="61"/>
        <v>Low</v>
      </c>
      <c r="Y398" t="str">
        <f t="shared" si="62"/>
        <v>High</v>
      </c>
    </row>
    <row r="399" spans="1:25" ht="15.75" thickBot="1">
      <c r="A399" s="1">
        <v>398</v>
      </c>
      <c r="B399" s="2">
        <v>40561</v>
      </c>
      <c r="C399" s="1">
        <v>1</v>
      </c>
      <c r="D399" s="1">
        <v>0</v>
      </c>
      <c r="E399" s="1">
        <v>1</v>
      </c>
      <c r="F399" s="1">
        <v>13</v>
      </c>
      <c r="G399" s="3" t="b">
        <v>0</v>
      </c>
      <c r="H399" s="1">
        <v>2</v>
      </c>
      <c r="I399" s="1">
        <v>2</v>
      </c>
      <c r="J399" s="7">
        <v>0.2</v>
      </c>
      <c r="K399" s="8">
        <f>VLOOKUP($A399,'Temprorary Data'!$A:$G,2,FALSE)</f>
        <v>0.19700000000000001</v>
      </c>
      <c r="L399" s="8">
        <f>VLOOKUP($A399,'Temprorary Data'!$A:$G,3,FALSE)</f>
        <v>0.86</v>
      </c>
      <c r="M399" s="8">
        <f>VLOOKUP($A399,'Temprorary Data'!$A:$G,4,FALSE)</f>
        <v>0.22389999999999999</v>
      </c>
      <c r="N399" s="9">
        <f>VLOOKUP($A399,'Temprorary Data'!$A:$G,5,FALSE)</f>
        <v>0</v>
      </c>
      <c r="O399" s="9">
        <f>VLOOKUP($A399,'Temprorary Data'!$A:$G,6,FALSE)</f>
        <v>22</v>
      </c>
      <c r="P399" s="9">
        <f>VLOOKUP($A399,'Temprorary Data'!$A:$G,7,FALSE)</f>
        <v>22</v>
      </c>
      <c r="Q399" t="b">
        <f t="shared" si="54"/>
        <v>1</v>
      </c>
      <c r="R399" t="str">
        <f t="shared" si="55"/>
        <v>January</v>
      </c>
      <c r="S399" t="str">
        <f t="shared" si="56"/>
        <v>Tuesday</v>
      </c>
      <c r="T399" t="str">
        <f t="shared" si="57"/>
        <v>Weekday</v>
      </c>
      <c r="U399" t="str">
        <f t="shared" si="58"/>
        <v>Spring</v>
      </c>
      <c r="V399" t="str">
        <f t="shared" si="59"/>
        <v>Mist</v>
      </c>
      <c r="W399" t="str">
        <f t="shared" si="60"/>
        <v>Off Peak</v>
      </c>
      <c r="X399" t="str">
        <f t="shared" si="61"/>
        <v>Low</v>
      </c>
      <c r="Y399" t="str">
        <f t="shared" si="62"/>
        <v>High</v>
      </c>
    </row>
    <row r="400" spans="1:25" ht="15.75" thickBot="1">
      <c r="A400" s="1">
        <v>399</v>
      </c>
      <c r="B400" s="2">
        <v>40561</v>
      </c>
      <c r="C400" s="1">
        <v>1</v>
      </c>
      <c r="D400" s="1">
        <v>0</v>
      </c>
      <c r="E400" s="1">
        <v>1</v>
      </c>
      <c r="F400" s="1">
        <v>14</v>
      </c>
      <c r="G400" s="3" t="b">
        <v>0</v>
      </c>
      <c r="H400" s="1">
        <v>2</v>
      </c>
      <c r="I400" s="1">
        <v>2</v>
      </c>
      <c r="J400" s="7">
        <v>0.22</v>
      </c>
      <c r="K400" s="8">
        <f>VLOOKUP($A400,'Temprorary Data'!$A:$G,2,FALSE)</f>
        <v>0.2273</v>
      </c>
      <c r="L400" s="8">
        <f>VLOOKUP($A400,'Temprorary Data'!$A:$G,3,FALSE)</f>
        <v>0.8</v>
      </c>
      <c r="M400" s="8">
        <f>VLOOKUP($A400,'Temprorary Data'!$A:$G,4,FALSE)</f>
        <v>0.16420000000000001</v>
      </c>
      <c r="N400" s="9">
        <f>VLOOKUP($A400,'Temprorary Data'!$A:$G,5,FALSE)</f>
        <v>2</v>
      </c>
      <c r="O400" s="9">
        <f>VLOOKUP($A400,'Temprorary Data'!$A:$G,6,FALSE)</f>
        <v>26</v>
      </c>
      <c r="P400" s="9">
        <f>VLOOKUP($A400,'Temprorary Data'!$A:$G,7,FALSE)</f>
        <v>28</v>
      </c>
      <c r="Q400" t="b">
        <f t="shared" si="54"/>
        <v>1</v>
      </c>
      <c r="R400" t="str">
        <f t="shared" si="55"/>
        <v>January</v>
      </c>
      <c r="S400" t="str">
        <f t="shared" si="56"/>
        <v>Tuesday</v>
      </c>
      <c r="T400" t="str">
        <f t="shared" si="57"/>
        <v>Weekday</v>
      </c>
      <c r="U400" t="str">
        <f t="shared" si="58"/>
        <v>Spring</v>
      </c>
      <c r="V400" t="str">
        <f t="shared" si="59"/>
        <v>Mist</v>
      </c>
      <c r="W400" t="str">
        <f t="shared" si="60"/>
        <v>Off Peak</v>
      </c>
      <c r="X400" t="str">
        <f t="shared" si="61"/>
        <v>Low</v>
      </c>
      <c r="Y400" t="str">
        <f t="shared" si="62"/>
        <v>High</v>
      </c>
    </row>
    <row r="401" spans="1:25" ht="15.75" thickBot="1">
      <c r="A401" s="1">
        <v>400</v>
      </c>
      <c r="B401" s="2">
        <v>40561</v>
      </c>
      <c r="C401" s="1">
        <v>1</v>
      </c>
      <c r="D401" s="1">
        <v>0</v>
      </c>
      <c r="E401" s="1">
        <v>1</v>
      </c>
      <c r="F401" s="1">
        <v>15</v>
      </c>
      <c r="G401" s="3" t="b">
        <v>0</v>
      </c>
      <c r="H401" s="1">
        <v>2</v>
      </c>
      <c r="I401" s="1">
        <v>2</v>
      </c>
      <c r="J401" s="7">
        <v>0.22</v>
      </c>
      <c r="K401" s="8">
        <f>VLOOKUP($A401,'Temprorary Data'!$A:$G,2,FALSE)</f>
        <v>0.2273</v>
      </c>
      <c r="L401" s="8">
        <f>VLOOKUP($A401,'Temprorary Data'!$A:$G,3,FALSE)</f>
        <v>0.87</v>
      </c>
      <c r="M401" s="8">
        <f>VLOOKUP($A401,'Temprorary Data'!$A:$G,4,FALSE)</f>
        <v>0.16420000000000001</v>
      </c>
      <c r="N401" s="9">
        <f>VLOOKUP($A401,'Temprorary Data'!$A:$G,5,FALSE)</f>
        <v>3</v>
      </c>
      <c r="O401" s="9">
        <f>VLOOKUP($A401,'Temprorary Data'!$A:$G,6,FALSE)</f>
        <v>32</v>
      </c>
      <c r="P401" s="9">
        <f>VLOOKUP($A401,'Temprorary Data'!$A:$G,7,FALSE)</f>
        <v>35</v>
      </c>
      <c r="Q401" t="b">
        <f t="shared" si="54"/>
        <v>1</v>
      </c>
      <c r="R401" t="str">
        <f t="shared" si="55"/>
        <v>January</v>
      </c>
      <c r="S401" t="str">
        <f t="shared" si="56"/>
        <v>Tuesday</v>
      </c>
      <c r="T401" t="str">
        <f t="shared" si="57"/>
        <v>Weekday</v>
      </c>
      <c r="U401" t="str">
        <f t="shared" si="58"/>
        <v>Spring</v>
      </c>
      <c r="V401" t="str">
        <f t="shared" si="59"/>
        <v>Mist</v>
      </c>
      <c r="W401" t="str">
        <f t="shared" si="60"/>
        <v>Off Peak</v>
      </c>
      <c r="X401" t="str">
        <f t="shared" si="61"/>
        <v>Low</v>
      </c>
      <c r="Y401" t="str">
        <f t="shared" si="62"/>
        <v>High</v>
      </c>
    </row>
    <row r="402" spans="1:25" ht="15.75" thickBot="1">
      <c r="A402" s="1">
        <v>401</v>
      </c>
      <c r="B402" s="2">
        <v>40561</v>
      </c>
      <c r="C402" s="1">
        <v>1</v>
      </c>
      <c r="D402" s="1">
        <v>0</v>
      </c>
      <c r="E402" s="1">
        <v>1</v>
      </c>
      <c r="F402" s="1">
        <v>16</v>
      </c>
      <c r="G402" s="3" t="b">
        <v>0</v>
      </c>
      <c r="H402" s="1">
        <v>2</v>
      </c>
      <c r="I402" s="1">
        <v>2</v>
      </c>
      <c r="J402" s="7">
        <v>0.22</v>
      </c>
      <c r="K402" s="8">
        <f>VLOOKUP($A402,'Temprorary Data'!$A:$G,2,FALSE)</f>
        <v>0.2273</v>
      </c>
      <c r="L402" s="8">
        <f>VLOOKUP($A402,'Temprorary Data'!$A:$G,3,FALSE)</f>
        <v>0.87</v>
      </c>
      <c r="M402" s="8">
        <f>VLOOKUP($A402,'Temprorary Data'!$A:$G,4,FALSE)</f>
        <v>0.19400000000000001</v>
      </c>
      <c r="N402" s="9">
        <f>VLOOKUP($A402,'Temprorary Data'!$A:$G,5,FALSE)</f>
        <v>0</v>
      </c>
      <c r="O402" s="9">
        <f>VLOOKUP($A402,'Temprorary Data'!$A:$G,6,FALSE)</f>
        <v>61</v>
      </c>
      <c r="P402" s="9">
        <f>VLOOKUP($A402,'Temprorary Data'!$A:$G,7,FALSE)</f>
        <v>61</v>
      </c>
      <c r="Q402" t="b">
        <f t="shared" si="54"/>
        <v>1</v>
      </c>
      <c r="R402" t="str">
        <f t="shared" si="55"/>
        <v>January</v>
      </c>
      <c r="S402" t="str">
        <f t="shared" si="56"/>
        <v>Tuesday</v>
      </c>
      <c r="T402" t="str">
        <f t="shared" si="57"/>
        <v>Weekday</v>
      </c>
      <c r="U402" t="str">
        <f t="shared" si="58"/>
        <v>Spring</v>
      </c>
      <c r="V402" t="str">
        <f t="shared" si="59"/>
        <v>Mist</v>
      </c>
      <c r="W402" t="str">
        <f t="shared" si="60"/>
        <v>Off Peak</v>
      </c>
      <c r="X402" t="str">
        <f t="shared" si="61"/>
        <v>Low</v>
      </c>
      <c r="Y402" t="str">
        <f t="shared" si="62"/>
        <v>High</v>
      </c>
    </row>
    <row r="403" spans="1:25" ht="15.75" thickBot="1">
      <c r="A403" s="1">
        <v>402</v>
      </c>
      <c r="B403" s="2">
        <v>40561</v>
      </c>
      <c r="C403" s="1">
        <v>1</v>
      </c>
      <c r="D403" s="1">
        <v>0</v>
      </c>
      <c r="E403" s="1">
        <v>1</v>
      </c>
      <c r="F403" s="1">
        <v>17</v>
      </c>
      <c r="G403" s="3" t="b">
        <v>0</v>
      </c>
      <c r="H403" s="1">
        <v>2</v>
      </c>
      <c r="I403" s="1">
        <v>2</v>
      </c>
      <c r="J403" s="7">
        <v>0.22</v>
      </c>
      <c r="K403" s="8">
        <f>VLOOKUP($A403,'Temprorary Data'!$A:$G,2,FALSE)</f>
        <v>0.2273</v>
      </c>
      <c r="L403" s="8">
        <f>VLOOKUP($A403,'Temprorary Data'!$A:$G,3,FALSE)</f>
        <v>0.82</v>
      </c>
      <c r="M403" s="8">
        <f>VLOOKUP($A403,'Temprorary Data'!$A:$G,4,FALSE)</f>
        <v>0.19400000000000001</v>
      </c>
      <c r="N403" s="9">
        <f>VLOOKUP($A403,'Temprorary Data'!$A:$G,5,FALSE)</f>
        <v>1</v>
      </c>
      <c r="O403" s="9">
        <f>VLOOKUP($A403,'Temprorary Data'!$A:$G,6,FALSE)</f>
        <v>124</v>
      </c>
      <c r="P403" s="9">
        <f>VLOOKUP($A403,'Temprorary Data'!$A:$G,7,FALSE)</f>
        <v>125</v>
      </c>
      <c r="Q403" t="b">
        <f t="shared" si="54"/>
        <v>1</v>
      </c>
      <c r="R403" t="str">
        <f t="shared" si="55"/>
        <v>January</v>
      </c>
      <c r="S403" t="str">
        <f t="shared" si="56"/>
        <v>Tuesday</v>
      </c>
      <c r="T403" t="str">
        <f t="shared" si="57"/>
        <v>Weekday</v>
      </c>
      <c r="U403" t="str">
        <f t="shared" si="58"/>
        <v>Spring</v>
      </c>
      <c r="V403" t="str">
        <f t="shared" si="59"/>
        <v>Mist</v>
      </c>
      <c r="W403" t="str">
        <f t="shared" si="60"/>
        <v>Evening Peak</v>
      </c>
      <c r="X403" t="str">
        <f t="shared" si="61"/>
        <v>Low</v>
      </c>
      <c r="Y403" t="str">
        <f t="shared" si="62"/>
        <v>High</v>
      </c>
    </row>
    <row r="404" spans="1:25" ht="15.75" thickBot="1">
      <c r="A404" s="1">
        <v>403</v>
      </c>
      <c r="B404" s="2">
        <v>40561</v>
      </c>
      <c r="C404" s="1">
        <v>1</v>
      </c>
      <c r="D404" s="1">
        <v>0</v>
      </c>
      <c r="E404" s="1">
        <v>1</v>
      </c>
      <c r="F404" s="1">
        <v>18</v>
      </c>
      <c r="G404" s="3" t="b">
        <v>0</v>
      </c>
      <c r="H404" s="1">
        <v>2</v>
      </c>
      <c r="I404" s="1">
        <v>2</v>
      </c>
      <c r="J404" s="7">
        <v>0.22</v>
      </c>
      <c r="K404" s="8">
        <f>VLOOKUP($A404,'Temprorary Data'!$A:$G,2,FALSE)</f>
        <v>0.2273</v>
      </c>
      <c r="L404" s="8">
        <f>VLOOKUP($A404,'Temprorary Data'!$A:$G,3,FALSE)</f>
        <v>0.8</v>
      </c>
      <c r="M404" s="8">
        <f>VLOOKUP($A404,'Temprorary Data'!$A:$G,4,FALSE)</f>
        <v>0.16420000000000001</v>
      </c>
      <c r="N404" s="9">
        <f>VLOOKUP($A404,'Temprorary Data'!$A:$G,5,FALSE)</f>
        <v>1</v>
      </c>
      <c r="O404" s="9">
        <f>VLOOKUP($A404,'Temprorary Data'!$A:$G,6,FALSE)</f>
        <v>132</v>
      </c>
      <c r="P404" s="9">
        <f>VLOOKUP($A404,'Temprorary Data'!$A:$G,7,FALSE)</f>
        <v>133</v>
      </c>
      <c r="Q404" t="b">
        <f t="shared" si="54"/>
        <v>1</v>
      </c>
      <c r="R404" t="str">
        <f t="shared" si="55"/>
        <v>January</v>
      </c>
      <c r="S404" t="str">
        <f t="shared" si="56"/>
        <v>Tuesday</v>
      </c>
      <c r="T404" t="str">
        <f t="shared" si="57"/>
        <v>Weekday</v>
      </c>
      <c r="U404" t="str">
        <f t="shared" si="58"/>
        <v>Spring</v>
      </c>
      <c r="V404" t="str">
        <f t="shared" si="59"/>
        <v>Mist</v>
      </c>
      <c r="W404" t="str">
        <f t="shared" si="60"/>
        <v>Evening Peak</v>
      </c>
      <c r="X404" t="str">
        <f t="shared" si="61"/>
        <v>Low</v>
      </c>
      <c r="Y404" t="str">
        <f t="shared" si="62"/>
        <v>High</v>
      </c>
    </row>
    <row r="405" spans="1:25" ht="15.75" thickBot="1">
      <c r="A405" s="1">
        <v>404</v>
      </c>
      <c r="B405" s="2">
        <v>40561</v>
      </c>
      <c r="C405" s="1">
        <v>1</v>
      </c>
      <c r="D405" s="1">
        <v>0</v>
      </c>
      <c r="E405" s="1">
        <v>1</v>
      </c>
      <c r="F405" s="1">
        <v>19</v>
      </c>
      <c r="G405" s="3" t="b">
        <v>0</v>
      </c>
      <c r="H405" s="1">
        <v>2</v>
      </c>
      <c r="I405" s="1">
        <v>2</v>
      </c>
      <c r="J405" s="7">
        <v>0.22</v>
      </c>
      <c r="K405" s="8">
        <f>VLOOKUP($A405,'Temprorary Data'!$A:$G,2,FALSE)</f>
        <v>0.2273</v>
      </c>
      <c r="L405" s="8">
        <f>VLOOKUP($A405,'Temprorary Data'!$A:$G,3,FALSE)</f>
        <v>0.8</v>
      </c>
      <c r="M405" s="8">
        <f>VLOOKUP($A405,'Temprorary Data'!$A:$G,4,FALSE)</f>
        <v>0.1343</v>
      </c>
      <c r="N405" s="9">
        <f>VLOOKUP($A405,'Temprorary Data'!$A:$G,5,FALSE)</f>
        <v>1</v>
      </c>
      <c r="O405" s="9">
        <f>VLOOKUP($A405,'Temprorary Data'!$A:$G,6,FALSE)</f>
        <v>98</v>
      </c>
      <c r="P405" s="9">
        <f>VLOOKUP($A405,'Temprorary Data'!$A:$G,7,FALSE)</f>
        <v>99</v>
      </c>
      <c r="Q405" t="b">
        <f t="shared" si="54"/>
        <v>1</v>
      </c>
      <c r="R405" t="str">
        <f t="shared" si="55"/>
        <v>January</v>
      </c>
      <c r="S405" t="str">
        <f t="shared" si="56"/>
        <v>Tuesday</v>
      </c>
      <c r="T405" t="str">
        <f t="shared" si="57"/>
        <v>Weekday</v>
      </c>
      <c r="U405" t="str">
        <f t="shared" si="58"/>
        <v>Spring</v>
      </c>
      <c r="V405" t="str">
        <f t="shared" si="59"/>
        <v>Mist</v>
      </c>
      <c r="W405" t="str">
        <f t="shared" si="60"/>
        <v>Evening Peak</v>
      </c>
      <c r="X405" t="str">
        <f t="shared" si="61"/>
        <v>Low</v>
      </c>
      <c r="Y405" t="str">
        <f t="shared" si="62"/>
        <v>High</v>
      </c>
    </row>
    <row r="406" spans="1:25" ht="15.75" thickBot="1">
      <c r="A406" s="1">
        <v>405</v>
      </c>
      <c r="B406" s="2">
        <v>40561</v>
      </c>
      <c r="C406" s="1">
        <v>1</v>
      </c>
      <c r="D406" s="1">
        <v>0</v>
      </c>
      <c r="E406" s="1">
        <v>1</v>
      </c>
      <c r="F406" s="1">
        <v>20</v>
      </c>
      <c r="G406" s="3" t="b">
        <v>0</v>
      </c>
      <c r="H406" s="1">
        <v>2</v>
      </c>
      <c r="I406" s="1">
        <v>2</v>
      </c>
      <c r="J406" s="7">
        <v>0.22</v>
      </c>
      <c r="K406" s="8">
        <f>VLOOKUP($A406,'Temprorary Data'!$A:$G,2,FALSE)</f>
        <v>0.2727</v>
      </c>
      <c r="L406" s="8">
        <f>VLOOKUP($A406,'Temprorary Data'!$A:$G,3,FALSE)</f>
        <v>0.87</v>
      </c>
      <c r="M406" s="8">
        <f>VLOOKUP($A406,'Temprorary Data'!$A:$G,4,FALSE)</f>
        <v>0</v>
      </c>
      <c r="N406" s="9">
        <f>VLOOKUP($A406,'Temprorary Data'!$A:$G,5,FALSE)</f>
        <v>0</v>
      </c>
      <c r="O406" s="9">
        <f>VLOOKUP($A406,'Temprorary Data'!$A:$G,6,FALSE)</f>
        <v>83</v>
      </c>
      <c r="P406" s="9">
        <f>VLOOKUP($A406,'Temprorary Data'!$A:$G,7,FALSE)</f>
        <v>83</v>
      </c>
      <c r="Q406" t="b">
        <f t="shared" si="54"/>
        <v>1</v>
      </c>
      <c r="R406" t="str">
        <f t="shared" si="55"/>
        <v>January</v>
      </c>
      <c r="S406" t="str">
        <f t="shared" si="56"/>
        <v>Tuesday</v>
      </c>
      <c r="T406" t="str">
        <f t="shared" si="57"/>
        <v>Weekday</v>
      </c>
      <c r="U406" t="str">
        <f t="shared" si="58"/>
        <v>Spring</v>
      </c>
      <c r="V406" t="str">
        <f t="shared" si="59"/>
        <v>Mist</v>
      </c>
      <c r="W406" t="str">
        <f t="shared" si="60"/>
        <v>Evening Peak</v>
      </c>
      <c r="X406" t="str">
        <f t="shared" si="61"/>
        <v>Low</v>
      </c>
      <c r="Y406" t="str">
        <f t="shared" si="62"/>
        <v>High</v>
      </c>
    </row>
    <row r="407" spans="1:25" ht="15.75" thickBot="1">
      <c r="A407" s="1">
        <v>406</v>
      </c>
      <c r="B407" s="2">
        <v>40561</v>
      </c>
      <c r="C407" s="1">
        <v>1</v>
      </c>
      <c r="D407" s="1">
        <v>0</v>
      </c>
      <c r="E407" s="1">
        <v>1</v>
      </c>
      <c r="F407" s="1">
        <v>21</v>
      </c>
      <c r="G407" s="3" t="b">
        <v>0</v>
      </c>
      <c r="H407" s="1">
        <v>2</v>
      </c>
      <c r="I407" s="1">
        <v>2</v>
      </c>
      <c r="J407" s="7">
        <v>0.22</v>
      </c>
      <c r="K407" s="8">
        <f>VLOOKUP($A407,'Temprorary Data'!$A:$G,2,FALSE)</f>
        <v>0.2424</v>
      </c>
      <c r="L407" s="8">
        <f>VLOOKUP($A407,'Temprorary Data'!$A:$G,3,FALSE)</f>
        <v>0.93</v>
      </c>
      <c r="M407" s="8">
        <f>VLOOKUP($A407,'Temprorary Data'!$A:$G,4,FALSE)</f>
        <v>0.1045</v>
      </c>
      <c r="N407" s="9">
        <f>VLOOKUP($A407,'Temprorary Data'!$A:$G,5,FALSE)</f>
        <v>0</v>
      </c>
      <c r="O407" s="9">
        <f>VLOOKUP($A407,'Temprorary Data'!$A:$G,6,FALSE)</f>
        <v>41</v>
      </c>
      <c r="P407" s="9">
        <f>VLOOKUP($A407,'Temprorary Data'!$A:$G,7,FALSE)</f>
        <v>41</v>
      </c>
      <c r="Q407" t="b">
        <f t="shared" si="54"/>
        <v>1</v>
      </c>
      <c r="R407" t="str">
        <f t="shared" si="55"/>
        <v>January</v>
      </c>
      <c r="S407" t="str">
        <f t="shared" si="56"/>
        <v>Tuesday</v>
      </c>
      <c r="T407" t="str">
        <f t="shared" si="57"/>
        <v>Weekday</v>
      </c>
      <c r="U407" t="str">
        <f t="shared" si="58"/>
        <v>Spring</v>
      </c>
      <c r="V407" t="str">
        <f t="shared" si="59"/>
        <v>Mist</v>
      </c>
      <c r="W407" t="str">
        <f t="shared" si="60"/>
        <v>Off Peak</v>
      </c>
      <c r="X407" t="str">
        <f t="shared" si="61"/>
        <v>Low</v>
      </c>
      <c r="Y407" t="str">
        <f t="shared" si="62"/>
        <v>High</v>
      </c>
    </row>
    <row r="408" spans="1:25" ht="15.75" thickBot="1">
      <c r="A408" s="1">
        <v>407</v>
      </c>
      <c r="B408" s="2">
        <v>40561</v>
      </c>
      <c r="C408" s="1">
        <v>1</v>
      </c>
      <c r="D408" s="1">
        <v>0</v>
      </c>
      <c r="E408" s="1">
        <v>1</v>
      </c>
      <c r="F408" s="1">
        <v>22</v>
      </c>
      <c r="G408" s="3" t="b">
        <v>0</v>
      </c>
      <c r="H408" s="1">
        <v>2</v>
      </c>
      <c r="I408" s="1">
        <v>2</v>
      </c>
      <c r="J408" s="7">
        <v>0.22</v>
      </c>
      <c r="K408" s="8">
        <f>VLOOKUP($A408,'Temprorary Data'!$A:$G,2,FALSE)</f>
        <v>0.2576</v>
      </c>
      <c r="L408" s="8">
        <f>VLOOKUP($A408,'Temprorary Data'!$A:$G,3,FALSE)</f>
        <v>0.93</v>
      </c>
      <c r="M408" s="8">
        <f>VLOOKUP($A408,'Temprorary Data'!$A:$G,4,FALSE)</f>
        <v>8.9599999999999999E-2</v>
      </c>
      <c r="N408" s="9">
        <f>VLOOKUP($A408,'Temprorary Data'!$A:$G,5,FALSE)</f>
        <v>0</v>
      </c>
      <c r="O408" s="9">
        <f>VLOOKUP($A408,'Temprorary Data'!$A:$G,6,FALSE)</f>
        <v>33</v>
      </c>
      <c r="P408" s="9">
        <f>VLOOKUP($A408,'Temprorary Data'!$A:$G,7,FALSE)</f>
        <v>33</v>
      </c>
      <c r="Q408" t="b">
        <f t="shared" si="54"/>
        <v>1</v>
      </c>
      <c r="R408" t="str">
        <f t="shared" si="55"/>
        <v>January</v>
      </c>
      <c r="S408" t="str">
        <f t="shared" si="56"/>
        <v>Tuesday</v>
      </c>
      <c r="T408" t="str">
        <f t="shared" si="57"/>
        <v>Weekday</v>
      </c>
      <c r="U408" t="str">
        <f t="shared" si="58"/>
        <v>Spring</v>
      </c>
      <c r="V408" t="str">
        <f t="shared" si="59"/>
        <v>Mist</v>
      </c>
      <c r="W408" t="str">
        <f t="shared" si="60"/>
        <v>Off Peak</v>
      </c>
      <c r="X408" t="str">
        <f t="shared" si="61"/>
        <v>Low</v>
      </c>
      <c r="Y408" t="str">
        <f t="shared" si="62"/>
        <v>High</v>
      </c>
    </row>
    <row r="409" spans="1:25" ht="15.75" thickBot="1">
      <c r="A409" s="1">
        <v>408</v>
      </c>
      <c r="B409" s="2">
        <v>40561</v>
      </c>
      <c r="C409" s="1">
        <v>1</v>
      </c>
      <c r="D409" s="1">
        <v>0</v>
      </c>
      <c r="E409" s="1">
        <v>1</v>
      </c>
      <c r="F409" s="1">
        <v>23</v>
      </c>
      <c r="G409" s="3" t="b">
        <v>0</v>
      </c>
      <c r="H409" s="1">
        <v>2</v>
      </c>
      <c r="I409" s="1">
        <v>2</v>
      </c>
      <c r="J409" s="7">
        <v>0.22</v>
      </c>
      <c r="K409" s="8">
        <f>VLOOKUP($A409,'Temprorary Data'!$A:$G,2,FALSE)</f>
        <v>0.2727</v>
      </c>
      <c r="L409" s="8">
        <f>VLOOKUP($A409,'Temprorary Data'!$A:$G,3,FALSE)</f>
        <v>0.93</v>
      </c>
      <c r="M409" s="8">
        <f>VLOOKUP($A409,'Temprorary Data'!$A:$G,4,FALSE)</f>
        <v>0</v>
      </c>
      <c r="N409" s="9">
        <f>VLOOKUP($A409,'Temprorary Data'!$A:$G,5,FALSE)</f>
        <v>1</v>
      </c>
      <c r="O409" s="9">
        <f>VLOOKUP($A409,'Temprorary Data'!$A:$G,6,FALSE)</f>
        <v>19</v>
      </c>
      <c r="P409" s="9">
        <f>VLOOKUP($A409,'Temprorary Data'!$A:$G,7,FALSE)</f>
        <v>20</v>
      </c>
      <c r="Q409" t="b">
        <f t="shared" si="54"/>
        <v>1</v>
      </c>
      <c r="R409" t="str">
        <f t="shared" si="55"/>
        <v>January</v>
      </c>
      <c r="S409" t="str">
        <f t="shared" si="56"/>
        <v>Tuesday</v>
      </c>
      <c r="T409" t="str">
        <f t="shared" si="57"/>
        <v>Weekday</v>
      </c>
      <c r="U409" t="str">
        <f t="shared" si="58"/>
        <v>Spring</v>
      </c>
      <c r="V409" t="str">
        <f t="shared" si="59"/>
        <v>Mist</v>
      </c>
      <c r="W409" t="str">
        <f t="shared" si="60"/>
        <v>Off Peak</v>
      </c>
      <c r="X409" t="str">
        <f t="shared" si="61"/>
        <v>Low</v>
      </c>
      <c r="Y409" t="str">
        <f t="shared" si="62"/>
        <v>High</v>
      </c>
    </row>
    <row r="410" spans="1:25" ht="15.75" thickBot="1">
      <c r="A410" s="1">
        <v>409</v>
      </c>
      <c r="B410" s="2">
        <v>40562</v>
      </c>
      <c r="C410" s="1">
        <v>1</v>
      </c>
      <c r="D410" s="1">
        <v>0</v>
      </c>
      <c r="E410" s="1">
        <v>1</v>
      </c>
      <c r="F410" s="1">
        <v>0</v>
      </c>
      <c r="G410" s="3" t="b">
        <v>0</v>
      </c>
      <c r="H410" s="1">
        <v>3</v>
      </c>
      <c r="I410" s="1">
        <v>2</v>
      </c>
      <c r="J410" s="7">
        <v>0.22</v>
      </c>
      <c r="K410" s="8">
        <f>VLOOKUP($A410,'Temprorary Data'!$A:$G,2,FALSE)</f>
        <v>0.2727</v>
      </c>
      <c r="L410" s="8">
        <f>VLOOKUP($A410,'Temprorary Data'!$A:$G,3,FALSE)</f>
        <v>0.93</v>
      </c>
      <c r="M410" s="8">
        <f>VLOOKUP($A410,'Temprorary Data'!$A:$G,4,FALSE)</f>
        <v>0</v>
      </c>
      <c r="N410" s="9">
        <f>VLOOKUP($A410,'Temprorary Data'!$A:$G,5,FALSE)</f>
        <v>0</v>
      </c>
      <c r="O410" s="9">
        <f>VLOOKUP($A410,'Temprorary Data'!$A:$G,6,FALSE)</f>
        <v>3</v>
      </c>
      <c r="P410" s="9">
        <f>VLOOKUP($A410,'Temprorary Data'!$A:$G,7,FALSE)</f>
        <v>3</v>
      </c>
      <c r="Q410" t="b">
        <f t="shared" si="54"/>
        <v>1</v>
      </c>
      <c r="R410" t="str">
        <f t="shared" si="55"/>
        <v>January</v>
      </c>
      <c r="S410" t="str">
        <f t="shared" si="56"/>
        <v>Wednesday</v>
      </c>
      <c r="T410" t="str">
        <f t="shared" si="57"/>
        <v>Weekday</v>
      </c>
      <c r="U410" t="str">
        <f t="shared" si="58"/>
        <v>Spring</v>
      </c>
      <c r="V410" t="str">
        <f t="shared" si="59"/>
        <v>Mist</v>
      </c>
      <c r="W410" t="str">
        <f t="shared" si="60"/>
        <v>Off Peak</v>
      </c>
      <c r="X410" t="str">
        <f t="shared" si="61"/>
        <v>Low</v>
      </c>
      <c r="Y410" t="str">
        <f t="shared" si="62"/>
        <v>High</v>
      </c>
    </row>
    <row r="411" spans="1:25" ht="15.75" thickBot="1">
      <c r="A411" s="1">
        <v>410</v>
      </c>
      <c r="B411" s="2">
        <v>40562</v>
      </c>
      <c r="C411" s="1">
        <v>1</v>
      </c>
      <c r="D411" s="1">
        <v>0</v>
      </c>
      <c r="E411" s="1">
        <v>1</v>
      </c>
      <c r="F411" s="1">
        <v>1</v>
      </c>
      <c r="G411" s="3" t="b">
        <v>0</v>
      </c>
      <c r="H411" s="1">
        <v>3</v>
      </c>
      <c r="I411" s="1">
        <v>3</v>
      </c>
      <c r="J411" s="7">
        <v>0.22</v>
      </c>
      <c r="K411" s="8">
        <f>VLOOKUP($A411,'Temprorary Data'!$A:$G,2,FALSE)</f>
        <v>0.2273</v>
      </c>
      <c r="L411" s="8">
        <f>VLOOKUP($A411,'Temprorary Data'!$A:$G,3,FALSE)</f>
        <v>0.93</v>
      </c>
      <c r="M411" s="8">
        <f>VLOOKUP($A411,'Temprorary Data'!$A:$G,4,FALSE)</f>
        <v>0.1343</v>
      </c>
      <c r="N411" s="9">
        <f>VLOOKUP($A411,'Temprorary Data'!$A:$G,5,FALSE)</f>
        <v>1</v>
      </c>
      <c r="O411" s="9">
        <f>VLOOKUP($A411,'Temprorary Data'!$A:$G,6,FALSE)</f>
        <v>6</v>
      </c>
      <c r="P411" s="9">
        <f>VLOOKUP($A411,'Temprorary Data'!$A:$G,7,FALSE)</f>
        <v>7</v>
      </c>
      <c r="Q411" t="b">
        <f t="shared" si="54"/>
        <v>1</v>
      </c>
      <c r="R411" t="str">
        <f t="shared" si="55"/>
        <v>January</v>
      </c>
      <c r="S411" t="str">
        <f t="shared" si="56"/>
        <v>Wednesday</v>
      </c>
      <c r="T411" t="str">
        <f t="shared" si="57"/>
        <v>Weekday</v>
      </c>
      <c r="U411" t="str">
        <f t="shared" si="58"/>
        <v>Spring</v>
      </c>
      <c r="V411" t="str">
        <f t="shared" si="59"/>
        <v>Light Rain</v>
      </c>
      <c r="W411" t="str">
        <f t="shared" si="60"/>
        <v>Off Peak</v>
      </c>
      <c r="X411" t="str">
        <f t="shared" si="61"/>
        <v>Low</v>
      </c>
      <c r="Y411" t="str">
        <f t="shared" si="62"/>
        <v>High</v>
      </c>
    </row>
    <row r="412" spans="1:25" ht="15.75" thickBot="1">
      <c r="A412" s="1">
        <v>411</v>
      </c>
      <c r="B412" s="2">
        <v>40562</v>
      </c>
      <c r="C412" s="1">
        <v>1</v>
      </c>
      <c r="D412" s="1">
        <v>0</v>
      </c>
      <c r="E412" s="1">
        <v>1</v>
      </c>
      <c r="F412" s="1">
        <v>2</v>
      </c>
      <c r="G412" s="3" t="b">
        <v>0</v>
      </c>
      <c r="H412" s="1">
        <v>3</v>
      </c>
      <c r="I412" s="1">
        <v>3</v>
      </c>
      <c r="J412" s="7">
        <v>0.22</v>
      </c>
      <c r="K412" s="8">
        <f>VLOOKUP($A412,'Temprorary Data'!$A:$G,2,FALSE)</f>
        <v>0.2273</v>
      </c>
      <c r="L412" s="8">
        <f>VLOOKUP($A412,'Temprorary Data'!$A:$G,3,FALSE)</f>
        <v>0.93</v>
      </c>
      <c r="M412" s="8">
        <f>VLOOKUP($A412,'Temprorary Data'!$A:$G,4,FALSE)</f>
        <v>0.1343</v>
      </c>
      <c r="N412" s="9">
        <f>VLOOKUP($A412,'Temprorary Data'!$A:$G,5,FALSE)</f>
        <v>0</v>
      </c>
      <c r="O412" s="9">
        <f>VLOOKUP($A412,'Temprorary Data'!$A:$G,6,FALSE)</f>
        <v>3</v>
      </c>
      <c r="P412" s="9">
        <f>VLOOKUP($A412,'Temprorary Data'!$A:$G,7,FALSE)</f>
        <v>3</v>
      </c>
      <c r="Q412" t="b">
        <f t="shared" si="54"/>
        <v>1</v>
      </c>
      <c r="R412" t="str">
        <f t="shared" si="55"/>
        <v>January</v>
      </c>
      <c r="S412" t="str">
        <f t="shared" si="56"/>
        <v>Wednesday</v>
      </c>
      <c r="T412" t="str">
        <f t="shared" si="57"/>
        <v>Weekday</v>
      </c>
      <c r="U412" t="str">
        <f t="shared" si="58"/>
        <v>Spring</v>
      </c>
      <c r="V412" t="str">
        <f t="shared" si="59"/>
        <v>Light Rain</v>
      </c>
      <c r="W412" t="str">
        <f t="shared" si="60"/>
        <v>Off Peak</v>
      </c>
      <c r="X412" t="str">
        <f t="shared" si="61"/>
        <v>Low</v>
      </c>
      <c r="Y412" t="str">
        <f t="shared" si="62"/>
        <v>High</v>
      </c>
    </row>
    <row r="413" spans="1:25" ht="15.75" thickBot="1">
      <c r="A413" s="1">
        <v>412</v>
      </c>
      <c r="B413" s="2">
        <v>40562</v>
      </c>
      <c r="C413" s="1">
        <v>1</v>
      </c>
      <c r="D413" s="1">
        <v>0</v>
      </c>
      <c r="E413" s="1">
        <v>1</v>
      </c>
      <c r="F413" s="1">
        <v>4</v>
      </c>
      <c r="G413" s="3" t="b">
        <v>0</v>
      </c>
      <c r="H413" s="1">
        <v>3</v>
      </c>
      <c r="I413" s="1">
        <v>3</v>
      </c>
      <c r="J413" s="7">
        <v>0.22</v>
      </c>
      <c r="K413" s="8">
        <f>VLOOKUP($A413,'Temprorary Data'!$A:$G,2,FALSE)</f>
        <v>0.2273</v>
      </c>
      <c r="L413" s="8">
        <f>VLOOKUP($A413,'Temprorary Data'!$A:$G,3,FALSE)</f>
        <v>0.93</v>
      </c>
      <c r="M413" s="8">
        <f>VLOOKUP($A413,'Temprorary Data'!$A:$G,4,FALSE)</f>
        <v>0.1343</v>
      </c>
      <c r="N413" s="9">
        <f>VLOOKUP($A413,'Temprorary Data'!$A:$G,5,FALSE)</f>
        <v>1</v>
      </c>
      <c r="O413" s="9">
        <f>VLOOKUP($A413,'Temprorary Data'!$A:$G,6,FALSE)</f>
        <v>1</v>
      </c>
      <c r="P413" s="9">
        <f>VLOOKUP($A413,'Temprorary Data'!$A:$G,7,FALSE)</f>
        <v>2</v>
      </c>
      <c r="Q413" t="b">
        <f t="shared" si="54"/>
        <v>1</v>
      </c>
      <c r="R413" t="str">
        <f t="shared" si="55"/>
        <v>January</v>
      </c>
      <c r="S413" t="str">
        <f t="shared" si="56"/>
        <v>Wednesday</v>
      </c>
      <c r="T413" t="str">
        <f t="shared" si="57"/>
        <v>Weekday</v>
      </c>
      <c r="U413" t="str">
        <f t="shared" si="58"/>
        <v>Spring</v>
      </c>
      <c r="V413" t="str">
        <f t="shared" si="59"/>
        <v>Light Rain</v>
      </c>
      <c r="W413" t="str">
        <f t="shared" si="60"/>
        <v>Off Peak</v>
      </c>
      <c r="X413" t="str">
        <f t="shared" si="61"/>
        <v>Low</v>
      </c>
      <c r="Y413" t="str">
        <f t="shared" si="62"/>
        <v>High</v>
      </c>
    </row>
    <row r="414" spans="1:25" ht="15.75" thickBot="1">
      <c r="A414" s="1">
        <v>413</v>
      </c>
      <c r="B414" s="2">
        <v>40562</v>
      </c>
      <c r="C414" s="1">
        <v>1</v>
      </c>
      <c r="D414" s="1">
        <v>0</v>
      </c>
      <c r="E414" s="1">
        <v>1</v>
      </c>
      <c r="F414" s="1">
        <v>5</v>
      </c>
      <c r="G414" s="3" t="b">
        <v>0</v>
      </c>
      <c r="H414" s="1">
        <v>3</v>
      </c>
      <c r="I414" s="1">
        <v>2</v>
      </c>
      <c r="J414" s="7">
        <v>0.22</v>
      </c>
      <c r="K414" s="8">
        <f>VLOOKUP($A414,'Temprorary Data'!$A:$G,2,FALSE)</f>
        <v>0.2576</v>
      </c>
      <c r="L414" s="8">
        <f>VLOOKUP($A414,'Temprorary Data'!$A:$G,3,FALSE)</f>
        <v>0.93</v>
      </c>
      <c r="M414" s="8">
        <f>VLOOKUP($A414,'Temprorary Data'!$A:$G,4,FALSE)</f>
        <v>8.9599999999999999E-2</v>
      </c>
      <c r="N414" s="9">
        <f>VLOOKUP($A414,'Temprorary Data'!$A:$G,5,FALSE)</f>
        <v>0</v>
      </c>
      <c r="O414" s="9">
        <f>VLOOKUP($A414,'Temprorary Data'!$A:$G,6,FALSE)</f>
        <v>7</v>
      </c>
      <c r="P414" s="9">
        <f>VLOOKUP($A414,'Temprorary Data'!$A:$G,7,FALSE)</f>
        <v>7</v>
      </c>
      <c r="Q414" t="b">
        <f t="shared" si="54"/>
        <v>1</v>
      </c>
      <c r="R414" t="str">
        <f t="shared" si="55"/>
        <v>January</v>
      </c>
      <c r="S414" t="str">
        <f t="shared" si="56"/>
        <v>Wednesday</v>
      </c>
      <c r="T414" t="str">
        <f t="shared" si="57"/>
        <v>Weekday</v>
      </c>
      <c r="U414" t="str">
        <f t="shared" si="58"/>
        <v>Spring</v>
      </c>
      <c r="V414" t="str">
        <f t="shared" si="59"/>
        <v>Mist</v>
      </c>
      <c r="W414" t="str">
        <f t="shared" si="60"/>
        <v>Off Peak</v>
      </c>
      <c r="X414" t="str">
        <f t="shared" si="61"/>
        <v>Low</v>
      </c>
      <c r="Y414" t="str">
        <f t="shared" si="62"/>
        <v>High</v>
      </c>
    </row>
    <row r="415" spans="1:25" ht="15.75" thickBot="1">
      <c r="A415" s="1">
        <v>414</v>
      </c>
      <c r="B415" s="2">
        <v>40562</v>
      </c>
      <c r="C415" s="1">
        <v>1</v>
      </c>
      <c r="D415" s="1">
        <v>0</v>
      </c>
      <c r="E415" s="1">
        <v>1</v>
      </c>
      <c r="F415" s="1">
        <v>6</v>
      </c>
      <c r="G415" s="3" t="b">
        <v>0</v>
      </c>
      <c r="H415" s="1">
        <v>3</v>
      </c>
      <c r="I415" s="1">
        <v>2</v>
      </c>
      <c r="J415" s="7">
        <v>0.22</v>
      </c>
      <c r="K415" s="8">
        <f>VLOOKUP($A415,'Temprorary Data'!$A:$G,2,FALSE)</f>
        <v>0.2576</v>
      </c>
      <c r="L415" s="8">
        <f>VLOOKUP($A415,'Temprorary Data'!$A:$G,3,FALSE)</f>
        <v>0.93</v>
      </c>
      <c r="M415" s="8">
        <f>VLOOKUP($A415,'Temprorary Data'!$A:$G,4,FALSE)</f>
        <v>8.9599999999999999E-2</v>
      </c>
      <c r="N415" s="9">
        <f>VLOOKUP($A415,'Temprorary Data'!$A:$G,5,FALSE)</f>
        <v>0</v>
      </c>
      <c r="O415" s="9">
        <f>VLOOKUP($A415,'Temprorary Data'!$A:$G,6,FALSE)</f>
        <v>32</v>
      </c>
      <c r="P415" s="9">
        <f>VLOOKUP($A415,'Temprorary Data'!$A:$G,7,FALSE)</f>
        <v>32</v>
      </c>
      <c r="Q415" t="b">
        <f t="shared" si="54"/>
        <v>1</v>
      </c>
      <c r="R415" t="str">
        <f t="shared" si="55"/>
        <v>January</v>
      </c>
      <c r="S415" t="str">
        <f t="shared" si="56"/>
        <v>Wednesday</v>
      </c>
      <c r="T415" t="str">
        <f t="shared" si="57"/>
        <v>Weekday</v>
      </c>
      <c r="U415" t="str">
        <f t="shared" si="58"/>
        <v>Spring</v>
      </c>
      <c r="V415" t="str">
        <f t="shared" si="59"/>
        <v>Mist</v>
      </c>
      <c r="W415" t="str">
        <f t="shared" si="60"/>
        <v>Off Peak</v>
      </c>
      <c r="X415" t="str">
        <f t="shared" si="61"/>
        <v>Low</v>
      </c>
      <c r="Y415" t="str">
        <f t="shared" si="62"/>
        <v>High</v>
      </c>
    </row>
    <row r="416" spans="1:25" ht="15.75" thickBot="1">
      <c r="A416" s="1">
        <v>415</v>
      </c>
      <c r="B416" s="2">
        <v>40562</v>
      </c>
      <c r="C416" s="1">
        <v>1</v>
      </c>
      <c r="D416" s="1">
        <v>0</v>
      </c>
      <c r="E416" s="1">
        <v>1</v>
      </c>
      <c r="F416" s="1">
        <v>7</v>
      </c>
      <c r="G416" s="3" t="b">
        <v>0</v>
      </c>
      <c r="H416" s="1">
        <v>3</v>
      </c>
      <c r="I416" s="1">
        <v>2</v>
      </c>
      <c r="J416" s="7">
        <v>0.24</v>
      </c>
      <c r="K416" s="8">
        <f>VLOOKUP($A416,'Temprorary Data'!$A:$G,2,FALSE)</f>
        <v>0.2576</v>
      </c>
      <c r="L416" s="8">
        <f>VLOOKUP($A416,'Temprorary Data'!$A:$G,3,FALSE)</f>
        <v>0.92</v>
      </c>
      <c r="M416" s="8">
        <f>VLOOKUP($A416,'Temprorary Data'!$A:$G,4,FALSE)</f>
        <v>0.1045</v>
      </c>
      <c r="N416" s="9">
        <f>VLOOKUP($A416,'Temprorary Data'!$A:$G,5,FALSE)</f>
        <v>1</v>
      </c>
      <c r="O416" s="9">
        <f>VLOOKUP($A416,'Temprorary Data'!$A:$G,6,FALSE)</f>
        <v>89</v>
      </c>
      <c r="P416" s="9">
        <f>VLOOKUP($A416,'Temprorary Data'!$A:$G,7,FALSE)</f>
        <v>90</v>
      </c>
      <c r="Q416" t="b">
        <f t="shared" si="54"/>
        <v>1</v>
      </c>
      <c r="R416" t="str">
        <f t="shared" si="55"/>
        <v>January</v>
      </c>
      <c r="S416" t="str">
        <f t="shared" si="56"/>
        <v>Wednesday</v>
      </c>
      <c r="T416" t="str">
        <f t="shared" si="57"/>
        <v>Weekday</v>
      </c>
      <c r="U416" t="str">
        <f t="shared" si="58"/>
        <v>Spring</v>
      </c>
      <c r="V416" t="str">
        <f t="shared" si="59"/>
        <v>Mist</v>
      </c>
      <c r="W416" t="str">
        <f t="shared" si="60"/>
        <v>Morning Peak</v>
      </c>
      <c r="X416" t="str">
        <f t="shared" si="61"/>
        <v>Low</v>
      </c>
      <c r="Y416" t="str">
        <f t="shared" si="62"/>
        <v>High</v>
      </c>
    </row>
    <row r="417" spans="1:25" ht="15.75" thickBot="1">
      <c r="A417" s="1">
        <v>416</v>
      </c>
      <c r="B417" s="2">
        <v>40562</v>
      </c>
      <c r="C417" s="1">
        <v>1</v>
      </c>
      <c r="D417" s="1">
        <v>0</v>
      </c>
      <c r="E417" s="1">
        <v>1</v>
      </c>
      <c r="F417" s="1">
        <v>8</v>
      </c>
      <c r="G417" s="3" t="b">
        <v>0</v>
      </c>
      <c r="H417" s="1">
        <v>3</v>
      </c>
      <c r="I417" s="1">
        <v>2</v>
      </c>
      <c r="J417" s="7">
        <v>0.24</v>
      </c>
      <c r="K417" s="8">
        <f>VLOOKUP($A417,'Temprorary Data'!$A:$G,2,FALSE)</f>
        <v>0.2576</v>
      </c>
      <c r="L417" s="8">
        <f>VLOOKUP($A417,'Temprorary Data'!$A:$G,3,FALSE)</f>
        <v>0.93</v>
      </c>
      <c r="M417" s="8">
        <f>VLOOKUP($A417,'Temprorary Data'!$A:$G,4,FALSE)</f>
        <v>0.1045</v>
      </c>
      <c r="N417" s="9">
        <f>VLOOKUP($A417,'Temprorary Data'!$A:$G,5,FALSE)</f>
        <v>1</v>
      </c>
      <c r="O417" s="9">
        <f>VLOOKUP($A417,'Temprorary Data'!$A:$G,6,FALSE)</f>
        <v>196</v>
      </c>
      <c r="P417" s="9">
        <f>VLOOKUP($A417,'Temprorary Data'!$A:$G,7,FALSE)</f>
        <v>197</v>
      </c>
      <c r="Q417" t="b">
        <f t="shared" si="54"/>
        <v>1</v>
      </c>
      <c r="R417" t="str">
        <f t="shared" si="55"/>
        <v>January</v>
      </c>
      <c r="S417" t="str">
        <f t="shared" si="56"/>
        <v>Wednesday</v>
      </c>
      <c r="T417" t="str">
        <f t="shared" si="57"/>
        <v>Weekday</v>
      </c>
      <c r="U417" t="str">
        <f t="shared" si="58"/>
        <v>Spring</v>
      </c>
      <c r="V417" t="str">
        <f t="shared" si="59"/>
        <v>Mist</v>
      </c>
      <c r="W417" t="str">
        <f t="shared" si="60"/>
        <v>Morning Peak</v>
      </c>
      <c r="X417" t="str">
        <f t="shared" si="61"/>
        <v>Low</v>
      </c>
      <c r="Y417" t="str">
        <f t="shared" si="62"/>
        <v>High</v>
      </c>
    </row>
    <row r="418" spans="1:25" ht="15.75" thickBot="1">
      <c r="A418" s="1">
        <v>417</v>
      </c>
      <c r="B418" s="2">
        <v>40562</v>
      </c>
      <c r="C418" s="1">
        <v>1</v>
      </c>
      <c r="D418" s="1">
        <v>0</v>
      </c>
      <c r="E418" s="1">
        <v>1</v>
      </c>
      <c r="F418" s="1">
        <v>9</v>
      </c>
      <c r="G418" s="3" t="b">
        <v>0</v>
      </c>
      <c r="H418" s="1">
        <v>3</v>
      </c>
      <c r="I418" s="1">
        <v>2</v>
      </c>
      <c r="J418" s="7">
        <v>0.24</v>
      </c>
      <c r="K418" s="8">
        <f>VLOOKUP($A418,'Temprorary Data'!$A:$G,2,FALSE)</f>
        <v>0.2576</v>
      </c>
      <c r="L418" s="8">
        <f>VLOOKUP($A418,'Temprorary Data'!$A:$G,3,FALSE)</f>
        <v>0.93</v>
      </c>
      <c r="M418" s="8">
        <f>VLOOKUP($A418,'Temprorary Data'!$A:$G,4,FALSE)</f>
        <v>0.1045</v>
      </c>
      <c r="N418" s="9">
        <f>VLOOKUP($A418,'Temprorary Data'!$A:$G,5,FALSE)</f>
        <v>2</v>
      </c>
      <c r="O418" s="9">
        <f>VLOOKUP($A418,'Temprorary Data'!$A:$G,6,FALSE)</f>
        <v>107</v>
      </c>
      <c r="P418" s="9">
        <f>VLOOKUP($A418,'Temprorary Data'!$A:$G,7,FALSE)</f>
        <v>109</v>
      </c>
      <c r="Q418" t="b">
        <f t="shared" si="54"/>
        <v>1</v>
      </c>
      <c r="R418" t="str">
        <f t="shared" si="55"/>
        <v>January</v>
      </c>
      <c r="S418" t="str">
        <f t="shared" si="56"/>
        <v>Wednesday</v>
      </c>
      <c r="T418" t="str">
        <f t="shared" si="57"/>
        <v>Weekday</v>
      </c>
      <c r="U418" t="str">
        <f t="shared" si="58"/>
        <v>Spring</v>
      </c>
      <c r="V418" t="str">
        <f t="shared" si="59"/>
        <v>Mist</v>
      </c>
      <c r="W418" t="str">
        <f t="shared" si="60"/>
        <v>Morning Peak</v>
      </c>
      <c r="X418" t="str">
        <f t="shared" si="61"/>
        <v>Low</v>
      </c>
      <c r="Y418" t="str">
        <f t="shared" si="62"/>
        <v>High</v>
      </c>
    </row>
    <row r="419" spans="1:25" ht="15.75" thickBot="1">
      <c r="A419" s="1">
        <v>418</v>
      </c>
      <c r="B419" s="2">
        <v>40562</v>
      </c>
      <c r="C419" s="1">
        <v>1</v>
      </c>
      <c r="D419" s="1">
        <v>0</v>
      </c>
      <c r="E419" s="1">
        <v>1</v>
      </c>
      <c r="F419" s="1">
        <v>10</v>
      </c>
      <c r="G419" s="3" t="b">
        <v>0</v>
      </c>
      <c r="H419" s="1">
        <v>3</v>
      </c>
      <c r="I419" s="1">
        <v>2</v>
      </c>
      <c r="J419" s="7">
        <v>0.26</v>
      </c>
      <c r="K419" s="8">
        <f>VLOOKUP($A419,'Temprorary Data'!$A:$G,2,FALSE)</f>
        <v>0.2727</v>
      </c>
      <c r="L419" s="8">
        <f>VLOOKUP($A419,'Temprorary Data'!$A:$G,3,FALSE)</f>
        <v>0.93</v>
      </c>
      <c r="M419" s="8">
        <f>VLOOKUP($A419,'Temprorary Data'!$A:$G,4,FALSE)</f>
        <v>0.1343</v>
      </c>
      <c r="N419" s="9">
        <f>VLOOKUP($A419,'Temprorary Data'!$A:$G,5,FALSE)</f>
        <v>1</v>
      </c>
      <c r="O419" s="9">
        <f>VLOOKUP($A419,'Temprorary Data'!$A:$G,6,FALSE)</f>
        <v>46</v>
      </c>
      <c r="P419" s="9">
        <f>VLOOKUP($A419,'Temprorary Data'!$A:$G,7,FALSE)</f>
        <v>47</v>
      </c>
      <c r="Q419" t="b">
        <f t="shared" si="54"/>
        <v>1</v>
      </c>
      <c r="R419" t="str">
        <f t="shared" si="55"/>
        <v>January</v>
      </c>
      <c r="S419" t="str">
        <f t="shared" si="56"/>
        <v>Wednesday</v>
      </c>
      <c r="T419" t="str">
        <f t="shared" si="57"/>
        <v>Weekday</v>
      </c>
      <c r="U419" t="str">
        <f t="shared" si="58"/>
        <v>Spring</v>
      </c>
      <c r="V419" t="str">
        <f t="shared" si="59"/>
        <v>Mist</v>
      </c>
      <c r="W419" t="str">
        <f t="shared" si="60"/>
        <v>Off Peak</v>
      </c>
      <c r="X419" t="str">
        <f t="shared" si="61"/>
        <v>Low</v>
      </c>
      <c r="Y419" t="str">
        <f t="shared" si="62"/>
        <v>High</v>
      </c>
    </row>
    <row r="420" spans="1:25" ht="15.75" thickBot="1">
      <c r="A420" s="1">
        <v>419</v>
      </c>
      <c r="B420" s="2">
        <v>40562</v>
      </c>
      <c r="C420" s="1">
        <v>1</v>
      </c>
      <c r="D420" s="1">
        <v>0</v>
      </c>
      <c r="E420" s="1">
        <v>1</v>
      </c>
      <c r="F420" s="1">
        <v>11</v>
      </c>
      <c r="G420" s="3" t="b">
        <v>0</v>
      </c>
      <c r="H420" s="1">
        <v>3</v>
      </c>
      <c r="I420" s="1">
        <v>2</v>
      </c>
      <c r="J420" s="7">
        <v>0.28000000000000003</v>
      </c>
      <c r="K420" s="8">
        <f>VLOOKUP($A420,'Temprorary Data'!$A:$G,2,FALSE)</f>
        <v>0.30299999999999999</v>
      </c>
      <c r="L420" s="8">
        <f>VLOOKUP($A420,'Temprorary Data'!$A:$G,3,FALSE)</f>
        <v>0.87</v>
      </c>
      <c r="M420" s="8">
        <f>VLOOKUP($A420,'Temprorary Data'!$A:$G,4,FALSE)</f>
        <v>8.9599999999999999E-2</v>
      </c>
      <c r="N420" s="9">
        <f>VLOOKUP($A420,'Temprorary Data'!$A:$G,5,FALSE)</f>
        <v>5</v>
      </c>
      <c r="O420" s="9">
        <f>VLOOKUP($A420,'Temprorary Data'!$A:$G,6,FALSE)</f>
        <v>47</v>
      </c>
      <c r="P420" s="9">
        <f>VLOOKUP($A420,'Temprorary Data'!$A:$G,7,FALSE)</f>
        <v>52</v>
      </c>
      <c r="Q420" t="b">
        <f t="shared" si="54"/>
        <v>1</v>
      </c>
      <c r="R420" t="str">
        <f t="shared" si="55"/>
        <v>January</v>
      </c>
      <c r="S420" t="str">
        <f t="shared" si="56"/>
        <v>Wednesday</v>
      </c>
      <c r="T420" t="str">
        <f t="shared" si="57"/>
        <v>Weekday</v>
      </c>
      <c r="U420" t="str">
        <f t="shared" si="58"/>
        <v>Spring</v>
      </c>
      <c r="V420" t="str">
        <f t="shared" si="59"/>
        <v>Mist</v>
      </c>
      <c r="W420" t="str">
        <f t="shared" si="60"/>
        <v>Off Peak</v>
      </c>
      <c r="X420" t="str">
        <f t="shared" si="61"/>
        <v>Low</v>
      </c>
      <c r="Y420" t="str">
        <f t="shared" si="62"/>
        <v>High</v>
      </c>
    </row>
    <row r="421" spans="1:25" ht="15.75" thickBot="1">
      <c r="A421" s="1">
        <v>420</v>
      </c>
      <c r="B421" s="2">
        <v>40562</v>
      </c>
      <c r="C421" s="1">
        <v>1</v>
      </c>
      <c r="D421" s="1">
        <v>0</v>
      </c>
      <c r="E421" s="1">
        <v>1</v>
      </c>
      <c r="F421" s="1">
        <v>12</v>
      </c>
      <c r="G421" s="3" t="b">
        <v>0</v>
      </c>
      <c r="H421" s="1">
        <v>3</v>
      </c>
      <c r="I421" s="1">
        <v>2</v>
      </c>
      <c r="J421" s="7">
        <v>0.3</v>
      </c>
      <c r="K421" s="8">
        <f>VLOOKUP($A421,'Temprorary Data'!$A:$G,2,FALSE)</f>
        <v>0.31819999999999998</v>
      </c>
      <c r="L421" s="8">
        <f>VLOOKUP($A421,'Temprorary Data'!$A:$G,3,FALSE)</f>
        <v>0.81</v>
      </c>
      <c r="M421" s="8">
        <f>VLOOKUP($A421,'Temprorary Data'!$A:$G,4,FALSE)</f>
        <v>8.9599999999999999E-2</v>
      </c>
      <c r="N421" s="9">
        <f>VLOOKUP($A421,'Temprorary Data'!$A:$G,5,FALSE)</f>
        <v>5</v>
      </c>
      <c r="O421" s="9">
        <f>VLOOKUP($A421,'Temprorary Data'!$A:$G,6,FALSE)</f>
        <v>65</v>
      </c>
      <c r="P421" s="9">
        <f>VLOOKUP($A421,'Temprorary Data'!$A:$G,7,FALSE)</f>
        <v>70</v>
      </c>
      <c r="Q421" t="b">
        <f t="shared" si="54"/>
        <v>1</v>
      </c>
      <c r="R421" t="str">
        <f t="shared" si="55"/>
        <v>January</v>
      </c>
      <c r="S421" t="str">
        <f t="shared" si="56"/>
        <v>Wednesday</v>
      </c>
      <c r="T421" t="str">
        <f t="shared" si="57"/>
        <v>Weekday</v>
      </c>
      <c r="U421" t="str">
        <f t="shared" si="58"/>
        <v>Spring</v>
      </c>
      <c r="V421" t="str">
        <f t="shared" si="59"/>
        <v>Mist</v>
      </c>
      <c r="W421" t="str">
        <f t="shared" si="60"/>
        <v>Off Peak</v>
      </c>
      <c r="X421" t="str">
        <f t="shared" si="61"/>
        <v>Medium</v>
      </c>
      <c r="Y421" t="str">
        <f t="shared" si="62"/>
        <v>High</v>
      </c>
    </row>
    <row r="422" spans="1:25" ht="15.75" thickBot="1">
      <c r="A422" s="1">
        <v>421</v>
      </c>
      <c r="B422" s="2">
        <v>40562</v>
      </c>
      <c r="C422" s="1">
        <v>1</v>
      </c>
      <c r="D422" s="1">
        <v>0</v>
      </c>
      <c r="E422" s="1">
        <v>1</v>
      </c>
      <c r="F422" s="1">
        <v>13</v>
      </c>
      <c r="G422" s="3" t="b">
        <v>0</v>
      </c>
      <c r="H422" s="1">
        <v>3</v>
      </c>
      <c r="I422" s="1">
        <v>1</v>
      </c>
      <c r="J422" s="7">
        <v>0.4</v>
      </c>
      <c r="K422" s="8">
        <f>VLOOKUP($A422,'Temprorary Data'!$A:$G,2,FALSE)</f>
        <v>0.40910000000000002</v>
      </c>
      <c r="L422" s="8">
        <f>VLOOKUP($A422,'Temprorary Data'!$A:$G,3,FALSE)</f>
        <v>0.62</v>
      </c>
      <c r="M422" s="8">
        <f>VLOOKUP($A422,'Temprorary Data'!$A:$G,4,FALSE)</f>
        <v>0.28360000000000002</v>
      </c>
      <c r="N422" s="9">
        <f>VLOOKUP($A422,'Temprorary Data'!$A:$G,5,FALSE)</f>
        <v>11</v>
      </c>
      <c r="O422" s="9">
        <f>VLOOKUP($A422,'Temprorary Data'!$A:$G,6,FALSE)</f>
        <v>67</v>
      </c>
      <c r="P422" s="9">
        <f>VLOOKUP($A422,'Temprorary Data'!$A:$G,7,FALSE)</f>
        <v>78</v>
      </c>
      <c r="Q422" t="b">
        <f t="shared" si="54"/>
        <v>1</v>
      </c>
      <c r="R422" t="str">
        <f t="shared" si="55"/>
        <v>January</v>
      </c>
      <c r="S422" t="str">
        <f t="shared" si="56"/>
        <v>Wednesday</v>
      </c>
      <c r="T422" t="str">
        <f t="shared" si="57"/>
        <v>Weekday</v>
      </c>
      <c r="U422" t="str">
        <f t="shared" si="58"/>
        <v>Spring</v>
      </c>
      <c r="V422" t="str">
        <f t="shared" si="59"/>
        <v>Clear</v>
      </c>
      <c r="W422" t="str">
        <f t="shared" si="60"/>
        <v>Off Peak</v>
      </c>
      <c r="X422" t="str">
        <f t="shared" si="61"/>
        <v>Medium</v>
      </c>
      <c r="Y422" t="str">
        <f t="shared" si="62"/>
        <v>Medium</v>
      </c>
    </row>
    <row r="423" spans="1:25" ht="15.75" thickBot="1">
      <c r="A423" s="1">
        <v>422</v>
      </c>
      <c r="B423" s="2">
        <v>40562</v>
      </c>
      <c r="C423" s="1">
        <v>1</v>
      </c>
      <c r="D423" s="1">
        <v>0</v>
      </c>
      <c r="E423" s="1">
        <v>1</v>
      </c>
      <c r="F423" s="1">
        <v>14</v>
      </c>
      <c r="G423" s="3" t="b">
        <v>0</v>
      </c>
      <c r="H423" s="1">
        <v>3</v>
      </c>
      <c r="I423" s="1">
        <v>1</v>
      </c>
      <c r="J423" s="7">
        <v>0.4</v>
      </c>
      <c r="K423" s="8">
        <f>VLOOKUP($A423,'Temprorary Data'!$A:$G,2,FALSE)</f>
        <v>0.40910000000000002</v>
      </c>
      <c r="L423" s="8">
        <f>VLOOKUP($A423,'Temprorary Data'!$A:$G,3,FALSE)</f>
        <v>0.57999999999999996</v>
      </c>
      <c r="M423" s="8">
        <f>VLOOKUP($A423,'Temprorary Data'!$A:$G,4,FALSE)</f>
        <v>0.25369999999999998</v>
      </c>
      <c r="N423" s="9">
        <f>VLOOKUP($A423,'Temprorary Data'!$A:$G,5,FALSE)</f>
        <v>7</v>
      </c>
      <c r="O423" s="9">
        <f>VLOOKUP($A423,'Temprorary Data'!$A:$G,6,FALSE)</f>
        <v>68</v>
      </c>
      <c r="P423" s="9">
        <f>VLOOKUP($A423,'Temprorary Data'!$A:$G,7,FALSE)</f>
        <v>75</v>
      </c>
      <c r="Q423" t="b">
        <f t="shared" si="54"/>
        <v>1</v>
      </c>
      <c r="R423" t="str">
        <f t="shared" si="55"/>
        <v>January</v>
      </c>
      <c r="S423" t="str">
        <f t="shared" si="56"/>
        <v>Wednesday</v>
      </c>
      <c r="T423" t="str">
        <f t="shared" si="57"/>
        <v>Weekday</v>
      </c>
      <c r="U423" t="str">
        <f t="shared" si="58"/>
        <v>Spring</v>
      </c>
      <c r="V423" t="str">
        <f t="shared" si="59"/>
        <v>Clear</v>
      </c>
      <c r="W423" t="str">
        <f t="shared" si="60"/>
        <v>Off Peak</v>
      </c>
      <c r="X423" t="str">
        <f t="shared" si="61"/>
        <v>Medium</v>
      </c>
      <c r="Y423" t="str">
        <f t="shared" si="62"/>
        <v>Medium</v>
      </c>
    </row>
    <row r="424" spans="1:25" ht="15.75" thickBot="1">
      <c r="A424" s="1">
        <v>423</v>
      </c>
      <c r="B424" s="2">
        <v>40562</v>
      </c>
      <c r="C424" s="1">
        <v>1</v>
      </c>
      <c r="D424" s="1">
        <v>0</v>
      </c>
      <c r="E424" s="1">
        <v>1</v>
      </c>
      <c r="F424" s="1">
        <v>15</v>
      </c>
      <c r="G424" s="3" t="b">
        <v>0</v>
      </c>
      <c r="H424" s="1">
        <v>3</v>
      </c>
      <c r="I424" s="1">
        <v>1</v>
      </c>
      <c r="J424" s="7">
        <v>0.4</v>
      </c>
      <c r="K424" s="8">
        <f>VLOOKUP($A424,'Temprorary Data'!$A:$G,2,FALSE)</f>
        <v>0.40910000000000002</v>
      </c>
      <c r="L424" s="8">
        <f>VLOOKUP($A424,'Temprorary Data'!$A:$G,3,FALSE)</f>
        <v>0.54</v>
      </c>
      <c r="M424" s="8">
        <f>VLOOKUP($A424,'Temprorary Data'!$A:$G,4,FALSE)</f>
        <v>0.28360000000000002</v>
      </c>
      <c r="N424" s="9">
        <f>VLOOKUP($A424,'Temprorary Data'!$A:$G,5,FALSE)</f>
        <v>4</v>
      </c>
      <c r="O424" s="9">
        <f>VLOOKUP($A424,'Temprorary Data'!$A:$G,6,FALSE)</f>
        <v>78</v>
      </c>
      <c r="P424" s="9">
        <f>VLOOKUP($A424,'Temprorary Data'!$A:$G,7,FALSE)</f>
        <v>82</v>
      </c>
      <c r="Q424" t="b">
        <f t="shared" si="54"/>
        <v>1</v>
      </c>
      <c r="R424" t="str">
        <f t="shared" si="55"/>
        <v>January</v>
      </c>
      <c r="S424" t="str">
        <f t="shared" si="56"/>
        <v>Wednesday</v>
      </c>
      <c r="T424" t="str">
        <f t="shared" si="57"/>
        <v>Weekday</v>
      </c>
      <c r="U424" t="str">
        <f t="shared" si="58"/>
        <v>Spring</v>
      </c>
      <c r="V424" t="str">
        <f t="shared" si="59"/>
        <v>Clear</v>
      </c>
      <c r="W424" t="str">
        <f t="shared" si="60"/>
        <v>Off Peak</v>
      </c>
      <c r="X424" t="str">
        <f t="shared" si="61"/>
        <v>Medium</v>
      </c>
      <c r="Y424" t="str">
        <f t="shared" si="62"/>
        <v>Medium</v>
      </c>
    </row>
    <row r="425" spans="1:25" ht="15.75" thickBot="1">
      <c r="A425" s="1">
        <v>424</v>
      </c>
      <c r="B425" s="2">
        <v>40562</v>
      </c>
      <c r="C425" s="1">
        <v>1</v>
      </c>
      <c r="D425" s="1">
        <v>0</v>
      </c>
      <c r="E425" s="1">
        <v>1</v>
      </c>
      <c r="F425" s="1">
        <v>16</v>
      </c>
      <c r="G425" s="3" t="b">
        <v>0</v>
      </c>
      <c r="H425" s="1">
        <v>3</v>
      </c>
      <c r="I425" s="1">
        <v>1</v>
      </c>
      <c r="J425" s="7">
        <v>0.38</v>
      </c>
      <c r="K425" s="8">
        <f>VLOOKUP($A425,'Temprorary Data'!$A:$G,2,FALSE)</f>
        <v>0.39389999999999997</v>
      </c>
      <c r="L425" s="8">
        <f>VLOOKUP($A425,'Temprorary Data'!$A:$G,3,FALSE)</f>
        <v>0.57999999999999996</v>
      </c>
      <c r="M425" s="8">
        <f>VLOOKUP($A425,'Temprorary Data'!$A:$G,4,FALSE)</f>
        <v>0.3881</v>
      </c>
      <c r="N425" s="9">
        <f>VLOOKUP($A425,'Temprorary Data'!$A:$G,5,FALSE)</f>
        <v>10</v>
      </c>
      <c r="O425" s="9">
        <f>VLOOKUP($A425,'Temprorary Data'!$A:$G,6,FALSE)</f>
        <v>94</v>
      </c>
      <c r="P425" s="9">
        <f>VLOOKUP($A425,'Temprorary Data'!$A:$G,7,FALSE)</f>
        <v>104</v>
      </c>
      <c r="Q425" t="b">
        <f t="shared" si="54"/>
        <v>1</v>
      </c>
      <c r="R425" t="str">
        <f t="shared" si="55"/>
        <v>January</v>
      </c>
      <c r="S425" t="str">
        <f t="shared" si="56"/>
        <v>Wednesday</v>
      </c>
      <c r="T425" t="str">
        <f t="shared" si="57"/>
        <v>Weekday</v>
      </c>
      <c r="U425" t="str">
        <f t="shared" si="58"/>
        <v>Spring</v>
      </c>
      <c r="V425" t="str">
        <f t="shared" si="59"/>
        <v>Clear</v>
      </c>
      <c r="W425" t="str">
        <f t="shared" si="60"/>
        <v>Off Peak</v>
      </c>
      <c r="X425" t="str">
        <f t="shared" si="61"/>
        <v>Medium</v>
      </c>
      <c r="Y425" t="str">
        <f t="shared" si="62"/>
        <v>Medium</v>
      </c>
    </row>
    <row r="426" spans="1:25" ht="15.75" thickBot="1">
      <c r="A426" s="1">
        <v>425</v>
      </c>
      <c r="B426" s="2">
        <v>40562</v>
      </c>
      <c r="C426" s="1">
        <v>1</v>
      </c>
      <c r="D426" s="1">
        <v>0</v>
      </c>
      <c r="E426" s="1">
        <v>1</v>
      </c>
      <c r="F426" s="1">
        <v>17</v>
      </c>
      <c r="G426" s="3" t="b">
        <v>0</v>
      </c>
      <c r="H426" s="1">
        <v>3</v>
      </c>
      <c r="I426" s="1">
        <v>1</v>
      </c>
      <c r="J426" s="7">
        <v>0.36</v>
      </c>
      <c r="K426" s="8">
        <f>VLOOKUP($A426,'Temprorary Data'!$A:$G,2,FALSE)</f>
        <v>0.33329999999999999</v>
      </c>
      <c r="L426" s="8">
        <f>VLOOKUP($A426,'Temprorary Data'!$A:$G,3,FALSE)</f>
        <v>0.56999999999999995</v>
      </c>
      <c r="M426" s="8">
        <f>VLOOKUP($A426,'Temprorary Data'!$A:$G,4,FALSE)</f>
        <v>0.32840000000000003</v>
      </c>
      <c r="N426" s="9">
        <f>VLOOKUP($A426,'Temprorary Data'!$A:$G,5,FALSE)</f>
        <v>7</v>
      </c>
      <c r="O426" s="9">
        <f>VLOOKUP($A426,'Temprorary Data'!$A:$G,6,FALSE)</f>
        <v>190</v>
      </c>
      <c r="P426" s="9">
        <f>VLOOKUP($A426,'Temprorary Data'!$A:$G,7,FALSE)</f>
        <v>197</v>
      </c>
      <c r="Q426" t="b">
        <f t="shared" si="54"/>
        <v>1</v>
      </c>
      <c r="R426" t="str">
        <f t="shared" si="55"/>
        <v>January</v>
      </c>
      <c r="S426" t="str">
        <f t="shared" si="56"/>
        <v>Wednesday</v>
      </c>
      <c r="T426" t="str">
        <f t="shared" si="57"/>
        <v>Weekday</v>
      </c>
      <c r="U426" t="str">
        <f t="shared" si="58"/>
        <v>Spring</v>
      </c>
      <c r="V426" t="str">
        <f t="shared" si="59"/>
        <v>Clear</v>
      </c>
      <c r="W426" t="str">
        <f t="shared" si="60"/>
        <v>Evening Peak</v>
      </c>
      <c r="X426" t="str">
        <f t="shared" si="61"/>
        <v>Medium</v>
      </c>
      <c r="Y426" t="str">
        <f t="shared" si="62"/>
        <v>Medium</v>
      </c>
    </row>
    <row r="427" spans="1:25" ht="15.75" thickBot="1">
      <c r="A427" s="1">
        <v>426</v>
      </c>
      <c r="B427" s="2">
        <v>40562</v>
      </c>
      <c r="C427" s="1">
        <v>1</v>
      </c>
      <c r="D427" s="1">
        <v>0</v>
      </c>
      <c r="E427" s="1">
        <v>1</v>
      </c>
      <c r="F427" s="1">
        <v>18</v>
      </c>
      <c r="G427" s="3" t="b">
        <v>0</v>
      </c>
      <c r="H427" s="1">
        <v>3</v>
      </c>
      <c r="I427" s="1">
        <v>1</v>
      </c>
      <c r="J427" s="7">
        <v>0.34</v>
      </c>
      <c r="K427" s="8">
        <f>VLOOKUP($A427,'Temprorary Data'!$A:$G,2,FALSE)</f>
        <v>0.31819999999999998</v>
      </c>
      <c r="L427" s="8">
        <f>VLOOKUP($A427,'Temprorary Data'!$A:$G,3,FALSE)</f>
        <v>0.61</v>
      </c>
      <c r="M427" s="8">
        <f>VLOOKUP($A427,'Temprorary Data'!$A:$G,4,FALSE)</f>
        <v>0.28360000000000002</v>
      </c>
      <c r="N427" s="9">
        <f>VLOOKUP($A427,'Temprorary Data'!$A:$G,5,FALSE)</f>
        <v>5</v>
      </c>
      <c r="O427" s="9">
        <f>VLOOKUP($A427,'Temprorary Data'!$A:$G,6,FALSE)</f>
        <v>156</v>
      </c>
      <c r="P427" s="9">
        <f>VLOOKUP($A427,'Temprorary Data'!$A:$G,7,FALSE)</f>
        <v>161</v>
      </c>
      <c r="Q427" t="b">
        <f t="shared" si="54"/>
        <v>1</v>
      </c>
      <c r="R427" t="str">
        <f t="shared" si="55"/>
        <v>January</v>
      </c>
      <c r="S427" t="str">
        <f t="shared" si="56"/>
        <v>Wednesday</v>
      </c>
      <c r="T427" t="str">
        <f t="shared" si="57"/>
        <v>Weekday</v>
      </c>
      <c r="U427" t="str">
        <f t="shared" si="58"/>
        <v>Spring</v>
      </c>
      <c r="V427" t="str">
        <f t="shared" si="59"/>
        <v>Clear</v>
      </c>
      <c r="W427" t="str">
        <f t="shared" si="60"/>
        <v>Evening Peak</v>
      </c>
      <c r="X427" t="str">
        <f t="shared" si="61"/>
        <v>Medium</v>
      </c>
      <c r="Y427" t="str">
        <f t="shared" si="62"/>
        <v>Medium</v>
      </c>
    </row>
    <row r="428" spans="1:25" ht="15.75" thickBot="1">
      <c r="A428" s="1">
        <v>427</v>
      </c>
      <c r="B428" s="2">
        <v>40562</v>
      </c>
      <c r="C428" s="1">
        <v>1</v>
      </c>
      <c r="D428" s="1">
        <v>0</v>
      </c>
      <c r="E428" s="1">
        <v>1</v>
      </c>
      <c r="F428" s="1">
        <v>19</v>
      </c>
      <c r="G428" s="3" t="b">
        <v>0</v>
      </c>
      <c r="H428" s="1">
        <v>3</v>
      </c>
      <c r="I428" s="1">
        <v>1</v>
      </c>
      <c r="J428" s="7">
        <v>0.32</v>
      </c>
      <c r="K428" s="8">
        <f>VLOOKUP($A428,'Temprorary Data'!$A:$G,2,FALSE)</f>
        <v>0.28789999999999999</v>
      </c>
      <c r="L428" s="8">
        <f>VLOOKUP($A428,'Temprorary Data'!$A:$G,3,FALSE)</f>
        <v>0.56999999999999995</v>
      </c>
      <c r="M428" s="8">
        <f>VLOOKUP($A428,'Temprorary Data'!$A:$G,4,FALSE)</f>
        <v>0.41789999999999999</v>
      </c>
      <c r="N428" s="9">
        <f>VLOOKUP($A428,'Temprorary Data'!$A:$G,5,FALSE)</f>
        <v>4</v>
      </c>
      <c r="O428" s="9">
        <f>VLOOKUP($A428,'Temprorary Data'!$A:$G,6,FALSE)</f>
        <v>108</v>
      </c>
      <c r="P428" s="9">
        <f>VLOOKUP($A428,'Temprorary Data'!$A:$G,7,FALSE)</f>
        <v>112</v>
      </c>
      <c r="Q428" t="b">
        <f t="shared" si="54"/>
        <v>1</v>
      </c>
      <c r="R428" t="str">
        <f t="shared" si="55"/>
        <v>January</v>
      </c>
      <c r="S428" t="str">
        <f t="shared" si="56"/>
        <v>Wednesday</v>
      </c>
      <c r="T428" t="str">
        <f t="shared" si="57"/>
        <v>Weekday</v>
      </c>
      <c r="U428" t="str">
        <f t="shared" si="58"/>
        <v>Spring</v>
      </c>
      <c r="V428" t="str">
        <f t="shared" si="59"/>
        <v>Clear</v>
      </c>
      <c r="W428" t="str">
        <f t="shared" si="60"/>
        <v>Evening Peak</v>
      </c>
      <c r="X428" t="str">
        <f t="shared" si="61"/>
        <v>Medium</v>
      </c>
      <c r="Y428" t="str">
        <f t="shared" si="62"/>
        <v>Medium</v>
      </c>
    </row>
    <row r="429" spans="1:25" ht="15.75" thickBot="1">
      <c r="A429" s="1">
        <v>428</v>
      </c>
      <c r="B429" s="2">
        <v>40562</v>
      </c>
      <c r="C429" s="1">
        <v>1</v>
      </c>
      <c r="D429" s="1">
        <v>0</v>
      </c>
      <c r="E429" s="1">
        <v>1</v>
      </c>
      <c r="F429" s="1">
        <v>20</v>
      </c>
      <c r="G429" s="3" t="b">
        <v>0</v>
      </c>
      <c r="H429" s="1">
        <v>3</v>
      </c>
      <c r="I429" s="1">
        <v>1</v>
      </c>
      <c r="J429" s="7">
        <v>0.32</v>
      </c>
      <c r="K429" s="8">
        <f>VLOOKUP($A429,'Temprorary Data'!$A:$G,2,FALSE)</f>
        <v>0.30299999999999999</v>
      </c>
      <c r="L429" s="8">
        <f>VLOOKUP($A429,'Temprorary Data'!$A:$G,3,FALSE)</f>
        <v>0.49</v>
      </c>
      <c r="M429" s="8">
        <f>VLOOKUP($A429,'Temprorary Data'!$A:$G,4,FALSE)</f>
        <v>0.29849999999999999</v>
      </c>
      <c r="N429" s="9">
        <f>VLOOKUP($A429,'Temprorary Data'!$A:$G,5,FALSE)</f>
        <v>2</v>
      </c>
      <c r="O429" s="9">
        <f>VLOOKUP($A429,'Temprorary Data'!$A:$G,6,FALSE)</f>
        <v>74</v>
      </c>
      <c r="P429" s="9">
        <f>VLOOKUP($A429,'Temprorary Data'!$A:$G,7,FALSE)</f>
        <v>76</v>
      </c>
      <c r="Q429" t="b">
        <f t="shared" si="54"/>
        <v>1</v>
      </c>
      <c r="R429" t="str">
        <f t="shared" si="55"/>
        <v>January</v>
      </c>
      <c r="S429" t="str">
        <f t="shared" si="56"/>
        <v>Wednesday</v>
      </c>
      <c r="T429" t="str">
        <f t="shared" si="57"/>
        <v>Weekday</v>
      </c>
      <c r="U429" t="str">
        <f t="shared" si="58"/>
        <v>Spring</v>
      </c>
      <c r="V429" t="str">
        <f t="shared" si="59"/>
        <v>Clear</v>
      </c>
      <c r="W429" t="str">
        <f t="shared" si="60"/>
        <v>Evening Peak</v>
      </c>
      <c r="X429" t="str">
        <f t="shared" si="61"/>
        <v>Medium</v>
      </c>
      <c r="Y429" t="str">
        <f t="shared" si="62"/>
        <v>Medium</v>
      </c>
    </row>
    <row r="430" spans="1:25" ht="15.75" thickBot="1">
      <c r="A430" s="1">
        <v>429</v>
      </c>
      <c r="B430" s="2">
        <v>40562</v>
      </c>
      <c r="C430" s="1">
        <v>1</v>
      </c>
      <c r="D430" s="1">
        <v>0</v>
      </c>
      <c r="E430" s="1">
        <v>1</v>
      </c>
      <c r="F430" s="1">
        <v>21</v>
      </c>
      <c r="G430" s="3" t="b">
        <v>0</v>
      </c>
      <c r="H430" s="1">
        <v>3</v>
      </c>
      <c r="I430" s="1">
        <v>1</v>
      </c>
      <c r="J430" s="7">
        <v>0.32</v>
      </c>
      <c r="K430" s="8">
        <f>VLOOKUP($A430,'Temprorary Data'!$A:$G,2,FALSE)</f>
        <v>0.28789999999999999</v>
      </c>
      <c r="L430" s="8">
        <f>VLOOKUP($A430,'Temprorary Data'!$A:$G,3,FALSE)</f>
        <v>0.49</v>
      </c>
      <c r="M430" s="8">
        <f>VLOOKUP($A430,'Temprorary Data'!$A:$G,4,FALSE)</f>
        <v>0.41789999999999999</v>
      </c>
      <c r="N430" s="9">
        <f>VLOOKUP($A430,'Temprorary Data'!$A:$G,5,FALSE)</f>
        <v>4</v>
      </c>
      <c r="O430" s="9">
        <f>VLOOKUP($A430,'Temprorary Data'!$A:$G,6,FALSE)</f>
        <v>55</v>
      </c>
      <c r="P430" s="9">
        <f>VLOOKUP($A430,'Temprorary Data'!$A:$G,7,FALSE)</f>
        <v>59</v>
      </c>
      <c r="Q430" t="b">
        <f t="shared" si="54"/>
        <v>1</v>
      </c>
      <c r="R430" t="str">
        <f t="shared" si="55"/>
        <v>January</v>
      </c>
      <c r="S430" t="str">
        <f t="shared" si="56"/>
        <v>Wednesday</v>
      </c>
      <c r="T430" t="str">
        <f t="shared" si="57"/>
        <v>Weekday</v>
      </c>
      <c r="U430" t="str">
        <f t="shared" si="58"/>
        <v>Spring</v>
      </c>
      <c r="V430" t="str">
        <f t="shared" si="59"/>
        <v>Clear</v>
      </c>
      <c r="W430" t="str">
        <f t="shared" si="60"/>
        <v>Off Peak</v>
      </c>
      <c r="X430" t="str">
        <f t="shared" si="61"/>
        <v>Medium</v>
      </c>
      <c r="Y430" t="str">
        <f t="shared" si="62"/>
        <v>Medium</v>
      </c>
    </row>
    <row r="431" spans="1:25" ht="15.75" thickBot="1">
      <c r="A431" s="1">
        <v>430</v>
      </c>
      <c r="B431" s="2">
        <v>40562</v>
      </c>
      <c r="C431" s="1">
        <v>1</v>
      </c>
      <c r="D431" s="1">
        <v>0</v>
      </c>
      <c r="E431" s="1">
        <v>1</v>
      </c>
      <c r="F431" s="1">
        <v>22</v>
      </c>
      <c r="G431" s="3" t="b">
        <v>0</v>
      </c>
      <c r="H431" s="1">
        <v>3</v>
      </c>
      <c r="I431" s="1">
        <v>1</v>
      </c>
      <c r="J431" s="7">
        <v>0.3</v>
      </c>
      <c r="K431" s="8">
        <f>VLOOKUP($A431,'Temprorary Data'!$A:$G,2,FALSE)</f>
        <v>0.30299999999999999</v>
      </c>
      <c r="L431" s="8">
        <f>VLOOKUP($A431,'Temprorary Data'!$A:$G,3,FALSE)</f>
        <v>0.52</v>
      </c>
      <c r="M431" s="8">
        <f>VLOOKUP($A431,'Temprorary Data'!$A:$G,4,FALSE)</f>
        <v>0.16420000000000001</v>
      </c>
      <c r="N431" s="9">
        <f>VLOOKUP($A431,'Temprorary Data'!$A:$G,5,FALSE)</f>
        <v>6</v>
      </c>
      <c r="O431" s="9">
        <f>VLOOKUP($A431,'Temprorary Data'!$A:$G,6,FALSE)</f>
        <v>53</v>
      </c>
      <c r="P431" s="9">
        <f>VLOOKUP($A431,'Temprorary Data'!$A:$G,7,FALSE)</f>
        <v>59</v>
      </c>
      <c r="Q431" t="b">
        <f t="shared" si="54"/>
        <v>1</v>
      </c>
      <c r="R431" t="str">
        <f t="shared" si="55"/>
        <v>January</v>
      </c>
      <c r="S431" t="str">
        <f t="shared" si="56"/>
        <v>Wednesday</v>
      </c>
      <c r="T431" t="str">
        <f t="shared" si="57"/>
        <v>Weekday</v>
      </c>
      <c r="U431" t="str">
        <f t="shared" si="58"/>
        <v>Spring</v>
      </c>
      <c r="V431" t="str">
        <f t="shared" si="59"/>
        <v>Clear</v>
      </c>
      <c r="W431" t="str">
        <f t="shared" si="60"/>
        <v>Off Peak</v>
      </c>
      <c r="X431" t="str">
        <f t="shared" si="61"/>
        <v>Medium</v>
      </c>
      <c r="Y431" t="str">
        <f t="shared" si="62"/>
        <v>Medium</v>
      </c>
    </row>
    <row r="432" spans="1:25" ht="15.75" thickBot="1">
      <c r="A432" s="1">
        <v>431</v>
      </c>
      <c r="B432" s="2">
        <v>40562</v>
      </c>
      <c r="C432" s="1">
        <v>1</v>
      </c>
      <c r="D432" s="1">
        <v>0</v>
      </c>
      <c r="E432" s="1">
        <v>1</v>
      </c>
      <c r="F432" s="1">
        <v>23</v>
      </c>
      <c r="G432" s="3" t="b">
        <v>0</v>
      </c>
      <c r="H432" s="1">
        <v>3</v>
      </c>
      <c r="I432" s="1">
        <v>1</v>
      </c>
      <c r="J432" s="7">
        <v>0.3</v>
      </c>
      <c r="K432" s="8">
        <f>VLOOKUP($A432,'Temprorary Data'!$A:$G,2,FALSE)</f>
        <v>0.2727</v>
      </c>
      <c r="L432" s="8">
        <f>VLOOKUP($A432,'Temprorary Data'!$A:$G,3,FALSE)</f>
        <v>0.52</v>
      </c>
      <c r="M432" s="8">
        <f>VLOOKUP($A432,'Temprorary Data'!$A:$G,4,FALSE)</f>
        <v>0.4627</v>
      </c>
      <c r="N432" s="9">
        <f>VLOOKUP($A432,'Temprorary Data'!$A:$G,5,FALSE)</f>
        <v>1</v>
      </c>
      <c r="O432" s="9">
        <f>VLOOKUP($A432,'Temprorary Data'!$A:$G,6,FALSE)</f>
        <v>27</v>
      </c>
      <c r="P432" s="9">
        <f>VLOOKUP($A432,'Temprorary Data'!$A:$G,7,FALSE)</f>
        <v>28</v>
      </c>
      <c r="Q432" t="b">
        <f t="shared" si="54"/>
        <v>1</v>
      </c>
      <c r="R432" t="str">
        <f t="shared" si="55"/>
        <v>January</v>
      </c>
      <c r="S432" t="str">
        <f t="shared" si="56"/>
        <v>Wednesday</v>
      </c>
      <c r="T432" t="str">
        <f t="shared" si="57"/>
        <v>Weekday</v>
      </c>
      <c r="U432" t="str">
        <f t="shared" si="58"/>
        <v>Spring</v>
      </c>
      <c r="V432" t="str">
        <f t="shared" si="59"/>
        <v>Clear</v>
      </c>
      <c r="W432" t="str">
        <f t="shared" si="60"/>
        <v>Off Peak</v>
      </c>
      <c r="X432" t="str">
        <f t="shared" si="61"/>
        <v>Medium</v>
      </c>
      <c r="Y432" t="str">
        <f t="shared" si="62"/>
        <v>Medium</v>
      </c>
    </row>
    <row r="433" spans="1:25" ht="15.75" thickBot="1">
      <c r="A433" s="1">
        <v>432</v>
      </c>
      <c r="B433" s="2">
        <v>40563</v>
      </c>
      <c r="C433" s="1">
        <v>1</v>
      </c>
      <c r="D433" s="1">
        <v>0</v>
      </c>
      <c r="E433" s="1">
        <v>1</v>
      </c>
      <c r="F433" s="1">
        <v>0</v>
      </c>
      <c r="G433" s="3" t="b">
        <v>0</v>
      </c>
      <c r="H433" s="1">
        <v>4</v>
      </c>
      <c r="I433" s="1">
        <v>1</v>
      </c>
      <c r="J433" s="7">
        <v>0.26</v>
      </c>
      <c r="K433" s="8">
        <f>VLOOKUP($A433,'Temprorary Data'!$A:$G,2,FALSE)</f>
        <v>0.2273</v>
      </c>
      <c r="L433" s="8">
        <f>VLOOKUP($A433,'Temprorary Data'!$A:$G,3,FALSE)</f>
        <v>0.56000000000000005</v>
      </c>
      <c r="M433" s="8">
        <f>VLOOKUP($A433,'Temprorary Data'!$A:$G,4,FALSE)</f>
        <v>0.3881</v>
      </c>
      <c r="N433" s="9">
        <f>VLOOKUP($A433,'Temprorary Data'!$A:$G,5,FALSE)</f>
        <v>5</v>
      </c>
      <c r="O433" s="9">
        <f>VLOOKUP($A433,'Temprorary Data'!$A:$G,6,FALSE)</f>
        <v>8</v>
      </c>
      <c r="P433" s="9">
        <f>VLOOKUP($A433,'Temprorary Data'!$A:$G,7,FALSE)</f>
        <v>13</v>
      </c>
      <c r="Q433" t="b">
        <f t="shared" si="54"/>
        <v>1</v>
      </c>
      <c r="R433" t="str">
        <f t="shared" si="55"/>
        <v>January</v>
      </c>
      <c r="S433" t="str">
        <f t="shared" si="56"/>
        <v>Thursday</v>
      </c>
      <c r="T433" t="str">
        <f t="shared" si="57"/>
        <v>Weekday</v>
      </c>
      <c r="U433" t="str">
        <f t="shared" si="58"/>
        <v>Spring</v>
      </c>
      <c r="V433" t="str">
        <f t="shared" si="59"/>
        <v>Clear</v>
      </c>
      <c r="W433" t="str">
        <f t="shared" si="60"/>
        <v>Off Peak</v>
      </c>
      <c r="X433" t="str">
        <f t="shared" si="61"/>
        <v>Low</v>
      </c>
      <c r="Y433" t="str">
        <f t="shared" si="62"/>
        <v>Medium</v>
      </c>
    </row>
    <row r="434" spans="1:25" ht="15.75" thickBot="1">
      <c r="A434" s="1">
        <v>433</v>
      </c>
      <c r="B434" s="2">
        <v>40563</v>
      </c>
      <c r="C434" s="1">
        <v>1</v>
      </c>
      <c r="D434" s="1">
        <v>0</v>
      </c>
      <c r="E434" s="1">
        <v>1</v>
      </c>
      <c r="F434" s="1">
        <v>1</v>
      </c>
      <c r="G434" s="3" t="b">
        <v>0</v>
      </c>
      <c r="H434" s="1">
        <v>4</v>
      </c>
      <c r="I434" s="1">
        <v>1</v>
      </c>
      <c r="J434" s="7">
        <v>0.26</v>
      </c>
      <c r="K434" s="8">
        <f>VLOOKUP($A434,'Temprorary Data'!$A:$G,2,FALSE)</f>
        <v>0.2727</v>
      </c>
      <c r="L434" s="8">
        <f>VLOOKUP($A434,'Temprorary Data'!$A:$G,3,FALSE)</f>
        <v>0.56000000000000005</v>
      </c>
      <c r="M434" s="8">
        <f>VLOOKUP($A434,'Temprorary Data'!$A:$G,4,FALSE)</f>
        <v>0</v>
      </c>
      <c r="N434" s="9">
        <f>VLOOKUP($A434,'Temprorary Data'!$A:$G,5,FALSE)</f>
        <v>2</v>
      </c>
      <c r="O434" s="9">
        <f>VLOOKUP($A434,'Temprorary Data'!$A:$G,6,FALSE)</f>
        <v>3</v>
      </c>
      <c r="P434" s="9">
        <f>VLOOKUP($A434,'Temprorary Data'!$A:$G,7,FALSE)</f>
        <v>5</v>
      </c>
      <c r="Q434" t="b">
        <f t="shared" si="54"/>
        <v>1</v>
      </c>
      <c r="R434" t="str">
        <f t="shared" si="55"/>
        <v>January</v>
      </c>
      <c r="S434" t="str">
        <f t="shared" si="56"/>
        <v>Thursday</v>
      </c>
      <c r="T434" t="str">
        <f t="shared" si="57"/>
        <v>Weekday</v>
      </c>
      <c r="U434" t="str">
        <f t="shared" si="58"/>
        <v>Spring</v>
      </c>
      <c r="V434" t="str">
        <f t="shared" si="59"/>
        <v>Clear</v>
      </c>
      <c r="W434" t="str">
        <f t="shared" si="60"/>
        <v>Off Peak</v>
      </c>
      <c r="X434" t="str">
        <f t="shared" si="61"/>
        <v>Low</v>
      </c>
      <c r="Y434" t="str">
        <f t="shared" si="62"/>
        <v>Medium</v>
      </c>
    </row>
    <row r="435" spans="1:25" ht="15.75" thickBot="1">
      <c r="A435" s="1">
        <v>434</v>
      </c>
      <c r="B435" s="2">
        <v>40563</v>
      </c>
      <c r="C435" s="1">
        <v>1</v>
      </c>
      <c r="D435" s="1">
        <v>0</v>
      </c>
      <c r="E435" s="1">
        <v>1</v>
      </c>
      <c r="F435" s="1">
        <v>2</v>
      </c>
      <c r="G435" s="3" t="b">
        <v>0</v>
      </c>
      <c r="H435" s="1">
        <v>4</v>
      </c>
      <c r="I435" s="1">
        <v>1</v>
      </c>
      <c r="J435" s="7">
        <v>0.26</v>
      </c>
      <c r="K435" s="8">
        <f>VLOOKUP($A435,'Temprorary Data'!$A:$G,2,FALSE)</f>
        <v>0.2727</v>
      </c>
      <c r="L435" s="8">
        <f>VLOOKUP($A435,'Temprorary Data'!$A:$G,3,FALSE)</f>
        <v>0.56000000000000005</v>
      </c>
      <c r="M435" s="8">
        <f>VLOOKUP($A435,'Temprorary Data'!$A:$G,4,FALSE)</f>
        <v>0</v>
      </c>
      <c r="N435" s="9">
        <f>VLOOKUP($A435,'Temprorary Data'!$A:$G,5,FALSE)</f>
        <v>0</v>
      </c>
      <c r="O435" s="9">
        <f>VLOOKUP($A435,'Temprorary Data'!$A:$G,6,FALSE)</f>
        <v>2</v>
      </c>
      <c r="P435" s="9">
        <f>VLOOKUP($A435,'Temprorary Data'!$A:$G,7,FALSE)</f>
        <v>2</v>
      </c>
      <c r="Q435" t="b">
        <f t="shared" si="54"/>
        <v>1</v>
      </c>
      <c r="R435" t="str">
        <f t="shared" si="55"/>
        <v>January</v>
      </c>
      <c r="S435" t="str">
        <f t="shared" si="56"/>
        <v>Thursday</v>
      </c>
      <c r="T435" t="str">
        <f t="shared" si="57"/>
        <v>Weekday</v>
      </c>
      <c r="U435" t="str">
        <f t="shared" si="58"/>
        <v>Spring</v>
      </c>
      <c r="V435" t="str">
        <f t="shared" si="59"/>
        <v>Clear</v>
      </c>
      <c r="W435" t="str">
        <f t="shared" si="60"/>
        <v>Off Peak</v>
      </c>
      <c r="X435" t="str">
        <f t="shared" si="61"/>
        <v>Low</v>
      </c>
      <c r="Y435" t="str">
        <f t="shared" si="62"/>
        <v>Medium</v>
      </c>
    </row>
    <row r="436" spans="1:25" ht="15.75" thickBot="1">
      <c r="A436" s="1">
        <v>435</v>
      </c>
      <c r="B436" s="2">
        <v>40563</v>
      </c>
      <c r="C436" s="1">
        <v>1</v>
      </c>
      <c r="D436" s="1">
        <v>0</v>
      </c>
      <c r="E436" s="1">
        <v>1</v>
      </c>
      <c r="F436" s="1">
        <v>3</v>
      </c>
      <c r="G436" s="3" t="b">
        <v>0</v>
      </c>
      <c r="H436" s="1">
        <v>4</v>
      </c>
      <c r="I436" s="1">
        <v>1</v>
      </c>
      <c r="J436" s="7">
        <v>0.26</v>
      </c>
      <c r="K436" s="8">
        <f>VLOOKUP($A436,'Temprorary Data'!$A:$G,2,FALSE)</f>
        <v>0.2576</v>
      </c>
      <c r="L436" s="8">
        <f>VLOOKUP($A436,'Temprorary Data'!$A:$G,3,FALSE)</f>
        <v>0.56000000000000005</v>
      </c>
      <c r="M436" s="8">
        <f>VLOOKUP($A436,'Temprorary Data'!$A:$G,4,FALSE)</f>
        <v>0.16420000000000001</v>
      </c>
      <c r="N436" s="9">
        <f>VLOOKUP($A436,'Temprorary Data'!$A:$G,5,FALSE)</f>
        <v>0</v>
      </c>
      <c r="O436" s="9">
        <f>VLOOKUP($A436,'Temprorary Data'!$A:$G,6,FALSE)</f>
        <v>1</v>
      </c>
      <c r="P436" s="9">
        <f>VLOOKUP($A436,'Temprorary Data'!$A:$G,7,FALSE)</f>
        <v>1</v>
      </c>
      <c r="Q436" t="b">
        <f t="shared" si="54"/>
        <v>1</v>
      </c>
      <c r="R436" t="str">
        <f t="shared" si="55"/>
        <v>January</v>
      </c>
      <c r="S436" t="str">
        <f t="shared" si="56"/>
        <v>Thursday</v>
      </c>
      <c r="T436" t="str">
        <f t="shared" si="57"/>
        <v>Weekday</v>
      </c>
      <c r="U436" t="str">
        <f t="shared" si="58"/>
        <v>Spring</v>
      </c>
      <c r="V436" t="str">
        <f t="shared" si="59"/>
        <v>Clear</v>
      </c>
      <c r="W436" t="str">
        <f t="shared" si="60"/>
        <v>Off Peak</v>
      </c>
      <c r="X436" t="str">
        <f t="shared" si="61"/>
        <v>Low</v>
      </c>
      <c r="Y436" t="str">
        <f t="shared" si="62"/>
        <v>Medium</v>
      </c>
    </row>
    <row r="437" spans="1:25" ht="15.75" thickBot="1">
      <c r="A437" s="1">
        <v>436</v>
      </c>
      <c r="B437" s="2">
        <v>40563</v>
      </c>
      <c r="C437" s="1">
        <v>1</v>
      </c>
      <c r="D437" s="1">
        <v>0</v>
      </c>
      <c r="E437" s="1">
        <v>1</v>
      </c>
      <c r="F437" s="1">
        <v>4</v>
      </c>
      <c r="G437" s="3" t="b">
        <v>0</v>
      </c>
      <c r="H437" s="1">
        <v>4</v>
      </c>
      <c r="I437" s="1">
        <v>1</v>
      </c>
      <c r="J437" s="7">
        <v>0.26</v>
      </c>
      <c r="K437" s="8">
        <f>VLOOKUP($A437,'Temprorary Data'!$A:$G,2,FALSE)</f>
        <v>0.2576</v>
      </c>
      <c r="L437" s="8">
        <f>VLOOKUP($A437,'Temprorary Data'!$A:$G,3,FALSE)</f>
        <v>0.56000000000000005</v>
      </c>
      <c r="M437" s="8">
        <f>VLOOKUP($A437,'Temprorary Data'!$A:$G,4,FALSE)</f>
        <v>0.16420000000000001</v>
      </c>
      <c r="N437" s="9">
        <f>VLOOKUP($A437,'Temprorary Data'!$A:$G,5,FALSE)</f>
        <v>0</v>
      </c>
      <c r="O437" s="9">
        <f>VLOOKUP($A437,'Temprorary Data'!$A:$G,6,FALSE)</f>
        <v>1</v>
      </c>
      <c r="P437" s="9">
        <f>VLOOKUP($A437,'Temprorary Data'!$A:$G,7,FALSE)</f>
        <v>1</v>
      </c>
      <c r="Q437" t="b">
        <f t="shared" si="54"/>
        <v>1</v>
      </c>
      <c r="R437" t="str">
        <f t="shared" si="55"/>
        <v>January</v>
      </c>
      <c r="S437" t="str">
        <f t="shared" si="56"/>
        <v>Thursday</v>
      </c>
      <c r="T437" t="str">
        <f t="shared" si="57"/>
        <v>Weekday</v>
      </c>
      <c r="U437" t="str">
        <f t="shared" si="58"/>
        <v>Spring</v>
      </c>
      <c r="V437" t="str">
        <f t="shared" si="59"/>
        <v>Clear</v>
      </c>
      <c r="W437" t="str">
        <f t="shared" si="60"/>
        <v>Off Peak</v>
      </c>
      <c r="X437" t="str">
        <f t="shared" si="61"/>
        <v>Low</v>
      </c>
      <c r="Y437" t="str">
        <f t="shared" si="62"/>
        <v>Medium</v>
      </c>
    </row>
    <row r="438" spans="1:25" ht="15.75" thickBot="1">
      <c r="A438" s="1">
        <v>437</v>
      </c>
      <c r="B438" s="2">
        <v>40563</v>
      </c>
      <c r="C438" s="1">
        <v>1</v>
      </c>
      <c r="D438" s="1">
        <v>0</v>
      </c>
      <c r="E438" s="1">
        <v>1</v>
      </c>
      <c r="F438" s="1">
        <v>5</v>
      </c>
      <c r="G438" s="3" t="b">
        <v>0</v>
      </c>
      <c r="H438" s="1">
        <v>4</v>
      </c>
      <c r="I438" s="1">
        <v>1</v>
      </c>
      <c r="J438" s="7">
        <v>0.24</v>
      </c>
      <c r="K438" s="8">
        <f>VLOOKUP($A438,'Temprorary Data'!$A:$G,2,FALSE)</f>
        <v>0.2273</v>
      </c>
      <c r="L438" s="8">
        <f>VLOOKUP($A438,'Temprorary Data'!$A:$G,3,FALSE)</f>
        <v>0.6</v>
      </c>
      <c r="M438" s="8">
        <f>VLOOKUP($A438,'Temprorary Data'!$A:$G,4,FALSE)</f>
        <v>0.22389999999999999</v>
      </c>
      <c r="N438" s="9">
        <f>VLOOKUP($A438,'Temprorary Data'!$A:$G,5,FALSE)</f>
        <v>0</v>
      </c>
      <c r="O438" s="9">
        <f>VLOOKUP($A438,'Temprorary Data'!$A:$G,6,FALSE)</f>
        <v>6</v>
      </c>
      <c r="P438" s="9">
        <f>VLOOKUP($A438,'Temprorary Data'!$A:$G,7,FALSE)</f>
        <v>6</v>
      </c>
      <c r="Q438" t="b">
        <f t="shared" si="54"/>
        <v>1</v>
      </c>
      <c r="R438" t="str">
        <f t="shared" si="55"/>
        <v>January</v>
      </c>
      <c r="S438" t="str">
        <f t="shared" si="56"/>
        <v>Thursday</v>
      </c>
      <c r="T438" t="str">
        <f t="shared" si="57"/>
        <v>Weekday</v>
      </c>
      <c r="U438" t="str">
        <f t="shared" si="58"/>
        <v>Spring</v>
      </c>
      <c r="V438" t="str">
        <f t="shared" si="59"/>
        <v>Clear</v>
      </c>
      <c r="W438" t="str">
        <f t="shared" si="60"/>
        <v>Off Peak</v>
      </c>
      <c r="X438" t="str">
        <f t="shared" si="61"/>
        <v>Low</v>
      </c>
      <c r="Y438" t="str">
        <f t="shared" si="62"/>
        <v>Medium</v>
      </c>
    </row>
    <row r="439" spans="1:25" ht="15.75" thickBot="1">
      <c r="A439" s="1">
        <v>438</v>
      </c>
      <c r="B439" s="2">
        <v>40563</v>
      </c>
      <c r="C439" s="1">
        <v>1</v>
      </c>
      <c r="D439" s="1">
        <v>0</v>
      </c>
      <c r="E439" s="1">
        <v>1</v>
      </c>
      <c r="F439" s="1">
        <v>6</v>
      </c>
      <c r="G439" s="3" t="b">
        <v>0</v>
      </c>
      <c r="H439" s="1">
        <v>4</v>
      </c>
      <c r="I439" s="1">
        <v>1</v>
      </c>
      <c r="J439" s="7">
        <v>0.22</v>
      </c>
      <c r="K439" s="8">
        <f>VLOOKUP($A439,'Temprorary Data'!$A:$G,2,FALSE)</f>
        <v>0.21210000000000001</v>
      </c>
      <c r="L439" s="8">
        <f>VLOOKUP($A439,'Temprorary Data'!$A:$G,3,FALSE)</f>
        <v>0.6</v>
      </c>
      <c r="M439" s="8">
        <f>VLOOKUP($A439,'Temprorary Data'!$A:$G,4,FALSE)</f>
        <v>0.22389999999999999</v>
      </c>
      <c r="N439" s="9">
        <f>VLOOKUP($A439,'Temprorary Data'!$A:$G,5,FALSE)</f>
        <v>0</v>
      </c>
      <c r="O439" s="9">
        <f>VLOOKUP($A439,'Temprorary Data'!$A:$G,6,FALSE)</f>
        <v>35</v>
      </c>
      <c r="P439" s="9">
        <f>VLOOKUP($A439,'Temprorary Data'!$A:$G,7,FALSE)</f>
        <v>35</v>
      </c>
      <c r="Q439" t="b">
        <f t="shared" si="54"/>
        <v>1</v>
      </c>
      <c r="R439" t="str">
        <f t="shared" si="55"/>
        <v>January</v>
      </c>
      <c r="S439" t="str">
        <f t="shared" si="56"/>
        <v>Thursday</v>
      </c>
      <c r="T439" t="str">
        <f t="shared" si="57"/>
        <v>Weekday</v>
      </c>
      <c r="U439" t="str">
        <f t="shared" si="58"/>
        <v>Spring</v>
      </c>
      <c r="V439" t="str">
        <f t="shared" si="59"/>
        <v>Clear</v>
      </c>
      <c r="W439" t="str">
        <f t="shared" si="60"/>
        <v>Off Peak</v>
      </c>
      <c r="X439" t="str">
        <f t="shared" si="61"/>
        <v>Low</v>
      </c>
      <c r="Y439" t="str">
        <f t="shared" si="62"/>
        <v>Medium</v>
      </c>
    </row>
    <row r="440" spans="1:25" ht="15.75" thickBot="1">
      <c r="A440" s="1">
        <v>439</v>
      </c>
      <c r="B440" s="2">
        <v>40563</v>
      </c>
      <c r="C440" s="1">
        <v>1</v>
      </c>
      <c r="D440" s="1">
        <v>0</v>
      </c>
      <c r="E440" s="1">
        <v>1</v>
      </c>
      <c r="F440" s="1">
        <v>7</v>
      </c>
      <c r="G440" s="3" t="b">
        <v>0</v>
      </c>
      <c r="H440" s="1">
        <v>4</v>
      </c>
      <c r="I440" s="1">
        <v>1</v>
      </c>
      <c r="J440" s="7">
        <v>0.22</v>
      </c>
      <c r="K440" s="8">
        <f>VLOOKUP($A440,'Temprorary Data'!$A:$G,2,FALSE)</f>
        <v>0.21210000000000001</v>
      </c>
      <c r="L440" s="8">
        <f>VLOOKUP($A440,'Temprorary Data'!$A:$G,3,FALSE)</f>
        <v>0.55000000000000004</v>
      </c>
      <c r="M440" s="8">
        <f>VLOOKUP($A440,'Temprorary Data'!$A:$G,4,FALSE)</f>
        <v>0.22389999999999999</v>
      </c>
      <c r="N440" s="9">
        <f>VLOOKUP($A440,'Temprorary Data'!$A:$G,5,FALSE)</f>
        <v>1</v>
      </c>
      <c r="O440" s="9">
        <f>VLOOKUP($A440,'Temprorary Data'!$A:$G,6,FALSE)</f>
        <v>100</v>
      </c>
      <c r="P440" s="9">
        <f>VLOOKUP($A440,'Temprorary Data'!$A:$G,7,FALSE)</f>
        <v>101</v>
      </c>
      <c r="Q440" t="b">
        <f t="shared" si="54"/>
        <v>1</v>
      </c>
      <c r="R440" t="str">
        <f t="shared" si="55"/>
        <v>January</v>
      </c>
      <c r="S440" t="str">
        <f t="shared" si="56"/>
        <v>Thursday</v>
      </c>
      <c r="T440" t="str">
        <f t="shared" si="57"/>
        <v>Weekday</v>
      </c>
      <c r="U440" t="str">
        <f t="shared" si="58"/>
        <v>Spring</v>
      </c>
      <c r="V440" t="str">
        <f t="shared" si="59"/>
        <v>Clear</v>
      </c>
      <c r="W440" t="str">
        <f t="shared" si="60"/>
        <v>Morning Peak</v>
      </c>
      <c r="X440" t="str">
        <f t="shared" si="61"/>
        <v>Low</v>
      </c>
      <c r="Y440" t="str">
        <f t="shared" si="62"/>
        <v>Medium</v>
      </c>
    </row>
    <row r="441" spans="1:25" ht="15.75" thickBot="1">
      <c r="A441" s="1">
        <v>440</v>
      </c>
      <c r="B441" s="2">
        <v>40563</v>
      </c>
      <c r="C441" s="1">
        <v>1</v>
      </c>
      <c r="D441" s="1">
        <v>0</v>
      </c>
      <c r="E441" s="1">
        <v>1</v>
      </c>
      <c r="F441" s="1">
        <v>8</v>
      </c>
      <c r="G441" s="3" t="b">
        <v>0</v>
      </c>
      <c r="H441" s="1">
        <v>4</v>
      </c>
      <c r="I441" s="1">
        <v>1</v>
      </c>
      <c r="J441" s="7">
        <v>0.22</v>
      </c>
      <c r="K441" s="8">
        <f>VLOOKUP($A441,'Temprorary Data'!$A:$G,2,FALSE)</f>
        <v>0.21210000000000001</v>
      </c>
      <c r="L441" s="8">
        <f>VLOOKUP($A441,'Temprorary Data'!$A:$G,3,FALSE)</f>
        <v>0.55000000000000004</v>
      </c>
      <c r="M441" s="8">
        <f>VLOOKUP($A441,'Temprorary Data'!$A:$G,4,FALSE)</f>
        <v>0.28360000000000002</v>
      </c>
      <c r="N441" s="9">
        <f>VLOOKUP($A441,'Temprorary Data'!$A:$G,5,FALSE)</f>
        <v>2</v>
      </c>
      <c r="O441" s="9">
        <f>VLOOKUP($A441,'Temprorary Data'!$A:$G,6,FALSE)</f>
        <v>247</v>
      </c>
      <c r="P441" s="9">
        <f>VLOOKUP($A441,'Temprorary Data'!$A:$G,7,FALSE)</f>
        <v>249</v>
      </c>
      <c r="Q441" t="b">
        <f t="shared" si="54"/>
        <v>1</v>
      </c>
      <c r="R441" t="str">
        <f t="shared" si="55"/>
        <v>January</v>
      </c>
      <c r="S441" t="str">
        <f t="shared" si="56"/>
        <v>Thursday</v>
      </c>
      <c r="T441" t="str">
        <f t="shared" si="57"/>
        <v>Weekday</v>
      </c>
      <c r="U441" t="str">
        <f t="shared" si="58"/>
        <v>Spring</v>
      </c>
      <c r="V441" t="str">
        <f t="shared" si="59"/>
        <v>Clear</v>
      </c>
      <c r="W441" t="str">
        <f t="shared" si="60"/>
        <v>Morning Peak</v>
      </c>
      <c r="X441" t="str">
        <f t="shared" si="61"/>
        <v>Low</v>
      </c>
      <c r="Y441" t="str">
        <f t="shared" si="62"/>
        <v>Medium</v>
      </c>
    </row>
    <row r="442" spans="1:25" ht="15.75" thickBot="1">
      <c r="A442" s="1">
        <v>441</v>
      </c>
      <c r="B442" s="2">
        <v>40563</v>
      </c>
      <c r="C442" s="1">
        <v>1</v>
      </c>
      <c r="D442" s="1">
        <v>0</v>
      </c>
      <c r="E442" s="1">
        <v>1</v>
      </c>
      <c r="F442" s="1">
        <v>9</v>
      </c>
      <c r="G442" s="3" t="b">
        <v>0</v>
      </c>
      <c r="H442" s="1">
        <v>4</v>
      </c>
      <c r="I442" s="1">
        <v>2</v>
      </c>
      <c r="J442" s="7">
        <v>0.24</v>
      </c>
      <c r="K442" s="8">
        <f>VLOOKUP($A442,'Temprorary Data'!$A:$G,2,FALSE)</f>
        <v>0.2273</v>
      </c>
      <c r="L442" s="8">
        <f>VLOOKUP($A442,'Temprorary Data'!$A:$G,3,FALSE)</f>
        <v>0.52</v>
      </c>
      <c r="M442" s="8">
        <f>VLOOKUP($A442,'Temprorary Data'!$A:$G,4,FALSE)</f>
        <v>0.22389999999999999</v>
      </c>
      <c r="N442" s="9">
        <f>VLOOKUP($A442,'Temprorary Data'!$A:$G,5,FALSE)</f>
        <v>3</v>
      </c>
      <c r="O442" s="9">
        <f>VLOOKUP($A442,'Temprorary Data'!$A:$G,6,FALSE)</f>
        <v>140</v>
      </c>
      <c r="P442" s="9">
        <f>VLOOKUP($A442,'Temprorary Data'!$A:$G,7,FALSE)</f>
        <v>143</v>
      </c>
      <c r="Q442" t="b">
        <f t="shared" si="54"/>
        <v>1</v>
      </c>
      <c r="R442" t="str">
        <f t="shared" si="55"/>
        <v>January</v>
      </c>
      <c r="S442" t="str">
        <f t="shared" si="56"/>
        <v>Thursday</v>
      </c>
      <c r="T442" t="str">
        <f t="shared" si="57"/>
        <v>Weekday</v>
      </c>
      <c r="U442" t="str">
        <f t="shared" si="58"/>
        <v>Spring</v>
      </c>
      <c r="V442" t="str">
        <f t="shared" si="59"/>
        <v>Mist</v>
      </c>
      <c r="W442" t="str">
        <f t="shared" si="60"/>
        <v>Morning Peak</v>
      </c>
      <c r="X442" t="str">
        <f t="shared" si="61"/>
        <v>Low</v>
      </c>
      <c r="Y442" t="str">
        <f t="shared" si="62"/>
        <v>Medium</v>
      </c>
    </row>
    <row r="443" spans="1:25" ht="15.75" thickBot="1">
      <c r="A443" s="1">
        <v>442</v>
      </c>
      <c r="B443" s="2">
        <v>40563</v>
      </c>
      <c r="C443" s="1">
        <v>1</v>
      </c>
      <c r="D443" s="1">
        <v>0</v>
      </c>
      <c r="E443" s="1">
        <v>1</v>
      </c>
      <c r="F443" s="1">
        <v>10</v>
      </c>
      <c r="G443" s="3" t="b">
        <v>0</v>
      </c>
      <c r="H443" s="1">
        <v>4</v>
      </c>
      <c r="I443" s="1">
        <v>1</v>
      </c>
      <c r="J443" s="7">
        <v>0.26</v>
      </c>
      <c r="K443" s="8">
        <f>VLOOKUP($A443,'Temprorary Data'!$A:$G,2,FALSE)</f>
        <v>0.2273</v>
      </c>
      <c r="L443" s="8">
        <f>VLOOKUP($A443,'Temprorary Data'!$A:$G,3,FALSE)</f>
        <v>0.48</v>
      </c>
      <c r="M443" s="8">
        <f>VLOOKUP($A443,'Temprorary Data'!$A:$G,4,FALSE)</f>
        <v>0.29849999999999999</v>
      </c>
      <c r="N443" s="9">
        <f>VLOOKUP($A443,'Temprorary Data'!$A:$G,5,FALSE)</f>
        <v>1</v>
      </c>
      <c r="O443" s="9">
        <f>VLOOKUP($A443,'Temprorary Data'!$A:$G,6,FALSE)</f>
        <v>56</v>
      </c>
      <c r="P443" s="9">
        <f>VLOOKUP($A443,'Temprorary Data'!$A:$G,7,FALSE)</f>
        <v>57</v>
      </c>
      <c r="Q443" t="b">
        <f t="shared" si="54"/>
        <v>1</v>
      </c>
      <c r="R443" t="str">
        <f t="shared" si="55"/>
        <v>January</v>
      </c>
      <c r="S443" t="str">
        <f t="shared" si="56"/>
        <v>Thursday</v>
      </c>
      <c r="T443" t="str">
        <f t="shared" si="57"/>
        <v>Weekday</v>
      </c>
      <c r="U443" t="str">
        <f t="shared" si="58"/>
        <v>Spring</v>
      </c>
      <c r="V443" t="str">
        <f t="shared" si="59"/>
        <v>Clear</v>
      </c>
      <c r="W443" t="str">
        <f t="shared" si="60"/>
        <v>Off Peak</v>
      </c>
      <c r="X443" t="str">
        <f t="shared" si="61"/>
        <v>Low</v>
      </c>
      <c r="Y443" t="str">
        <f t="shared" si="62"/>
        <v>Medium</v>
      </c>
    </row>
    <row r="444" spans="1:25" ht="15.75" thickBot="1">
      <c r="A444" s="1">
        <v>443</v>
      </c>
      <c r="B444" s="2">
        <v>40563</v>
      </c>
      <c r="C444" s="1">
        <v>1</v>
      </c>
      <c r="D444" s="1">
        <v>0</v>
      </c>
      <c r="E444" s="1">
        <v>1</v>
      </c>
      <c r="F444" s="1">
        <v>11</v>
      </c>
      <c r="G444" s="3" t="b">
        <v>0</v>
      </c>
      <c r="H444" s="1">
        <v>4</v>
      </c>
      <c r="I444" s="1">
        <v>2</v>
      </c>
      <c r="J444" s="7">
        <v>0.28000000000000003</v>
      </c>
      <c r="K444" s="8">
        <f>VLOOKUP($A444,'Temprorary Data'!$A:$G,2,FALSE)</f>
        <v>0.2727</v>
      </c>
      <c r="L444" s="8">
        <f>VLOOKUP($A444,'Temprorary Data'!$A:$G,3,FALSE)</f>
        <v>0.45</v>
      </c>
      <c r="M444" s="8">
        <f>VLOOKUP($A444,'Temprorary Data'!$A:$G,4,FALSE)</f>
        <v>0.16420000000000001</v>
      </c>
      <c r="N444" s="9">
        <f>VLOOKUP($A444,'Temprorary Data'!$A:$G,5,FALSE)</f>
        <v>5</v>
      </c>
      <c r="O444" s="9">
        <f>VLOOKUP($A444,'Temprorary Data'!$A:$G,6,FALSE)</f>
        <v>63</v>
      </c>
      <c r="P444" s="9">
        <f>VLOOKUP($A444,'Temprorary Data'!$A:$G,7,FALSE)</f>
        <v>68</v>
      </c>
      <c r="Q444" t="b">
        <f t="shared" si="54"/>
        <v>1</v>
      </c>
      <c r="R444" t="str">
        <f t="shared" si="55"/>
        <v>January</v>
      </c>
      <c r="S444" t="str">
        <f t="shared" si="56"/>
        <v>Thursday</v>
      </c>
      <c r="T444" t="str">
        <f t="shared" si="57"/>
        <v>Weekday</v>
      </c>
      <c r="U444" t="str">
        <f t="shared" si="58"/>
        <v>Spring</v>
      </c>
      <c r="V444" t="str">
        <f t="shared" si="59"/>
        <v>Mist</v>
      </c>
      <c r="W444" t="str">
        <f t="shared" si="60"/>
        <v>Off Peak</v>
      </c>
      <c r="X444" t="str">
        <f t="shared" si="61"/>
        <v>Low</v>
      </c>
      <c r="Y444" t="str">
        <f t="shared" si="62"/>
        <v>Medium</v>
      </c>
    </row>
    <row r="445" spans="1:25" ht="15.75" thickBot="1">
      <c r="A445" s="1">
        <v>444</v>
      </c>
      <c r="B445" s="2">
        <v>40563</v>
      </c>
      <c r="C445" s="1">
        <v>1</v>
      </c>
      <c r="D445" s="1">
        <v>0</v>
      </c>
      <c r="E445" s="1">
        <v>1</v>
      </c>
      <c r="F445" s="1">
        <v>12</v>
      </c>
      <c r="G445" s="3" t="b">
        <v>0</v>
      </c>
      <c r="H445" s="1">
        <v>4</v>
      </c>
      <c r="I445" s="1">
        <v>2</v>
      </c>
      <c r="J445" s="7">
        <v>0.3</v>
      </c>
      <c r="K445" s="8">
        <f>VLOOKUP($A445,'Temprorary Data'!$A:$G,2,FALSE)</f>
        <v>0.33329999999999999</v>
      </c>
      <c r="L445" s="8">
        <f>VLOOKUP($A445,'Temprorary Data'!$A:$G,3,FALSE)</f>
        <v>0.42</v>
      </c>
      <c r="M445" s="8">
        <f>VLOOKUP($A445,'Temprorary Data'!$A:$G,4,FALSE)</f>
        <v>0</v>
      </c>
      <c r="N445" s="9">
        <f>VLOOKUP($A445,'Temprorary Data'!$A:$G,5,FALSE)</f>
        <v>7</v>
      </c>
      <c r="O445" s="9">
        <f>VLOOKUP($A445,'Temprorary Data'!$A:$G,6,FALSE)</f>
        <v>77</v>
      </c>
      <c r="P445" s="9">
        <f>VLOOKUP($A445,'Temprorary Data'!$A:$G,7,FALSE)</f>
        <v>84</v>
      </c>
      <c r="Q445" t="b">
        <f t="shared" si="54"/>
        <v>1</v>
      </c>
      <c r="R445" t="str">
        <f t="shared" si="55"/>
        <v>January</v>
      </c>
      <c r="S445" t="str">
        <f t="shared" si="56"/>
        <v>Thursday</v>
      </c>
      <c r="T445" t="str">
        <f t="shared" si="57"/>
        <v>Weekday</v>
      </c>
      <c r="U445" t="str">
        <f t="shared" si="58"/>
        <v>Spring</v>
      </c>
      <c r="V445" t="str">
        <f t="shared" si="59"/>
        <v>Mist</v>
      </c>
      <c r="W445" t="str">
        <f t="shared" si="60"/>
        <v>Off Peak</v>
      </c>
      <c r="X445" t="str">
        <f t="shared" si="61"/>
        <v>Medium</v>
      </c>
      <c r="Y445" t="str">
        <f t="shared" si="62"/>
        <v>Medium</v>
      </c>
    </row>
    <row r="446" spans="1:25" ht="15.75" thickBot="1">
      <c r="A446" s="1">
        <v>445</v>
      </c>
      <c r="B446" s="2">
        <v>40563</v>
      </c>
      <c r="C446" s="1">
        <v>1</v>
      </c>
      <c r="D446" s="1">
        <v>0</v>
      </c>
      <c r="E446" s="1">
        <v>1</v>
      </c>
      <c r="F446" s="1">
        <v>13</v>
      </c>
      <c r="G446" s="3" t="b">
        <v>0</v>
      </c>
      <c r="H446" s="1">
        <v>4</v>
      </c>
      <c r="I446" s="1">
        <v>2</v>
      </c>
      <c r="J446" s="7">
        <v>0.28000000000000003</v>
      </c>
      <c r="K446" s="8">
        <f>VLOOKUP($A446,'Temprorary Data'!$A:$G,2,FALSE)</f>
        <v>0.28789999999999999</v>
      </c>
      <c r="L446" s="8">
        <f>VLOOKUP($A446,'Temprorary Data'!$A:$G,3,FALSE)</f>
        <v>0.45</v>
      </c>
      <c r="M446" s="8">
        <f>VLOOKUP($A446,'Temprorary Data'!$A:$G,4,FALSE)</f>
        <v>0.1045</v>
      </c>
      <c r="N446" s="9">
        <f>VLOOKUP($A446,'Temprorary Data'!$A:$G,5,FALSE)</f>
        <v>12</v>
      </c>
      <c r="O446" s="9">
        <f>VLOOKUP($A446,'Temprorary Data'!$A:$G,6,FALSE)</f>
        <v>86</v>
      </c>
      <c r="P446" s="9">
        <f>VLOOKUP($A446,'Temprorary Data'!$A:$G,7,FALSE)</f>
        <v>98</v>
      </c>
      <c r="Q446" t="b">
        <f t="shared" si="54"/>
        <v>1</v>
      </c>
      <c r="R446" t="str">
        <f t="shared" si="55"/>
        <v>January</v>
      </c>
      <c r="S446" t="str">
        <f t="shared" si="56"/>
        <v>Thursday</v>
      </c>
      <c r="T446" t="str">
        <f t="shared" si="57"/>
        <v>Weekday</v>
      </c>
      <c r="U446" t="str">
        <f t="shared" si="58"/>
        <v>Spring</v>
      </c>
      <c r="V446" t="str">
        <f t="shared" si="59"/>
        <v>Mist</v>
      </c>
      <c r="W446" t="str">
        <f t="shared" si="60"/>
        <v>Off Peak</v>
      </c>
      <c r="X446" t="str">
        <f t="shared" si="61"/>
        <v>Low</v>
      </c>
      <c r="Y446" t="str">
        <f t="shared" si="62"/>
        <v>Medium</v>
      </c>
    </row>
    <row r="447" spans="1:25" ht="15.75" thickBot="1">
      <c r="A447" s="1">
        <v>446</v>
      </c>
      <c r="B447" s="2">
        <v>40563</v>
      </c>
      <c r="C447" s="1">
        <v>1</v>
      </c>
      <c r="D447" s="1">
        <v>0</v>
      </c>
      <c r="E447" s="1">
        <v>1</v>
      </c>
      <c r="F447" s="1">
        <v>14</v>
      </c>
      <c r="G447" s="3" t="b">
        <v>0</v>
      </c>
      <c r="H447" s="1">
        <v>4</v>
      </c>
      <c r="I447" s="1">
        <v>2</v>
      </c>
      <c r="J447" s="7">
        <v>0.3</v>
      </c>
      <c r="K447" s="8">
        <f>VLOOKUP($A447,'Temprorary Data'!$A:$G,2,FALSE)</f>
        <v>0.30299999999999999</v>
      </c>
      <c r="L447" s="8">
        <f>VLOOKUP($A447,'Temprorary Data'!$A:$G,3,FALSE)</f>
        <v>0.45</v>
      </c>
      <c r="M447" s="8">
        <f>VLOOKUP($A447,'Temprorary Data'!$A:$G,4,FALSE)</f>
        <v>0.1343</v>
      </c>
      <c r="N447" s="9">
        <f>VLOOKUP($A447,'Temprorary Data'!$A:$G,5,FALSE)</f>
        <v>6</v>
      </c>
      <c r="O447" s="9">
        <f>VLOOKUP($A447,'Temprorary Data'!$A:$G,6,FALSE)</f>
        <v>75</v>
      </c>
      <c r="P447" s="9">
        <f>VLOOKUP($A447,'Temprorary Data'!$A:$G,7,FALSE)</f>
        <v>81</v>
      </c>
      <c r="Q447" t="b">
        <f t="shared" si="54"/>
        <v>1</v>
      </c>
      <c r="R447" t="str">
        <f t="shared" si="55"/>
        <v>January</v>
      </c>
      <c r="S447" t="str">
        <f t="shared" si="56"/>
        <v>Thursday</v>
      </c>
      <c r="T447" t="str">
        <f t="shared" si="57"/>
        <v>Weekday</v>
      </c>
      <c r="U447" t="str">
        <f t="shared" si="58"/>
        <v>Spring</v>
      </c>
      <c r="V447" t="str">
        <f t="shared" si="59"/>
        <v>Mist</v>
      </c>
      <c r="W447" t="str">
        <f t="shared" si="60"/>
        <v>Off Peak</v>
      </c>
      <c r="X447" t="str">
        <f t="shared" si="61"/>
        <v>Medium</v>
      </c>
      <c r="Y447" t="str">
        <f t="shared" si="62"/>
        <v>Medium</v>
      </c>
    </row>
    <row r="448" spans="1:25" ht="15.75" thickBot="1">
      <c r="A448" s="1">
        <v>447</v>
      </c>
      <c r="B448" s="2">
        <v>40563</v>
      </c>
      <c r="C448" s="1">
        <v>1</v>
      </c>
      <c r="D448" s="1">
        <v>0</v>
      </c>
      <c r="E448" s="1">
        <v>1</v>
      </c>
      <c r="F448" s="1">
        <v>15</v>
      </c>
      <c r="G448" s="3" t="b">
        <v>0</v>
      </c>
      <c r="H448" s="1">
        <v>4</v>
      </c>
      <c r="I448" s="1">
        <v>2</v>
      </c>
      <c r="J448" s="7">
        <v>0.32</v>
      </c>
      <c r="K448" s="8">
        <f>VLOOKUP($A448,'Temprorary Data'!$A:$G,2,FALSE)</f>
        <v>0.31819999999999998</v>
      </c>
      <c r="L448" s="8">
        <f>VLOOKUP($A448,'Temprorary Data'!$A:$G,3,FALSE)</f>
        <v>0.45</v>
      </c>
      <c r="M448" s="8">
        <f>VLOOKUP($A448,'Temprorary Data'!$A:$G,4,FALSE)</f>
        <v>0.19400000000000001</v>
      </c>
      <c r="N448" s="9">
        <f>VLOOKUP($A448,'Temprorary Data'!$A:$G,5,FALSE)</f>
        <v>8</v>
      </c>
      <c r="O448" s="9">
        <f>VLOOKUP($A448,'Temprorary Data'!$A:$G,6,FALSE)</f>
        <v>62</v>
      </c>
      <c r="P448" s="9">
        <f>VLOOKUP($A448,'Temprorary Data'!$A:$G,7,FALSE)</f>
        <v>70</v>
      </c>
      <c r="Q448" t="b">
        <f t="shared" si="54"/>
        <v>1</v>
      </c>
      <c r="R448" t="str">
        <f t="shared" si="55"/>
        <v>January</v>
      </c>
      <c r="S448" t="str">
        <f t="shared" si="56"/>
        <v>Thursday</v>
      </c>
      <c r="T448" t="str">
        <f t="shared" si="57"/>
        <v>Weekday</v>
      </c>
      <c r="U448" t="str">
        <f t="shared" si="58"/>
        <v>Spring</v>
      </c>
      <c r="V448" t="str">
        <f t="shared" si="59"/>
        <v>Mist</v>
      </c>
      <c r="W448" t="str">
        <f t="shared" si="60"/>
        <v>Off Peak</v>
      </c>
      <c r="X448" t="str">
        <f t="shared" si="61"/>
        <v>Medium</v>
      </c>
      <c r="Y448" t="str">
        <f t="shared" si="62"/>
        <v>Medium</v>
      </c>
    </row>
    <row r="449" spans="1:25" ht="15.75" thickBot="1">
      <c r="A449" s="1">
        <v>448</v>
      </c>
      <c r="B449" s="2">
        <v>40563</v>
      </c>
      <c r="C449" s="1">
        <v>1</v>
      </c>
      <c r="D449" s="1">
        <v>0</v>
      </c>
      <c r="E449" s="1">
        <v>1</v>
      </c>
      <c r="F449" s="1">
        <v>16</v>
      </c>
      <c r="G449" s="3" t="b">
        <v>0</v>
      </c>
      <c r="H449" s="1">
        <v>4</v>
      </c>
      <c r="I449" s="1">
        <v>2</v>
      </c>
      <c r="J449" s="7">
        <v>0.3</v>
      </c>
      <c r="K449" s="8">
        <f>VLOOKUP($A449,'Temprorary Data'!$A:$G,2,FALSE)</f>
        <v>0.30299999999999999</v>
      </c>
      <c r="L449" s="8">
        <f>VLOOKUP($A449,'Temprorary Data'!$A:$G,3,FALSE)</f>
        <v>0.49</v>
      </c>
      <c r="M449" s="8">
        <f>VLOOKUP($A449,'Temprorary Data'!$A:$G,4,FALSE)</f>
        <v>0.1343</v>
      </c>
      <c r="N449" s="9">
        <f>VLOOKUP($A449,'Temprorary Data'!$A:$G,5,FALSE)</f>
        <v>8</v>
      </c>
      <c r="O449" s="9">
        <f>VLOOKUP($A449,'Temprorary Data'!$A:$G,6,FALSE)</f>
        <v>83</v>
      </c>
      <c r="P449" s="9">
        <f>VLOOKUP($A449,'Temprorary Data'!$A:$G,7,FALSE)</f>
        <v>91</v>
      </c>
      <c r="Q449" t="b">
        <f t="shared" si="54"/>
        <v>1</v>
      </c>
      <c r="R449" t="str">
        <f t="shared" si="55"/>
        <v>January</v>
      </c>
      <c r="S449" t="str">
        <f t="shared" si="56"/>
        <v>Thursday</v>
      </c>
      <c r="T449" t="str">
        <f t="shared" si="57"/>
        <v>Weekday</v>
      </c>
      <c r="U449" t="str">
        <f t="shared" si="58"/>
        <v>Spring</v>
      </c>
      <c r="V449" t="str">
        <f t="shared" si="59"/>
        <v>Mist</v>
      </c>
      <c r="W449" t="str">
        <f t="shared" si="60"/>
        <v>Off Peak</v>
      </c>
      <c r="X449" t="str">
        <f t="shared" si="61"/>
        <v>Medium</v>
      </c>
      <c r="Y449" t="str">
        <f t="shared" si="62"/>
        <v>Medium</v>
      </c>
    </row>
    <row r="450" spans="1:25" ht="15.75" thickBot="1">
      <c r="A450" s="1">
        <v>449</v>
      </c>
      <c r="B450" s="2">
        <v>40563</v>
      </c>
      <c r="C450" s="1">
        <v>1</v>
      </c>
      <c r="D450" s="1">
        <v>0</v>
      </c>
      <c r="E450" s="1">
        <v>1</v>
      </c>
      <c r="F450" s="1">
        <v>17</v>
      </c>
      <c r="G450" s="3" t="b">
        <v>0</v>
      </c>
      <c r="H450" s="1">
        <v>4</v>
      </c>
      <c r="I450" s="1">
        <v>2</v>
      </c>
      <c r="J450" s="7">
        <v>0.3</v>
      </c>
      <c r="K450" s="8">
        <f>VLOOKUP($A450,'Temprorary Data'!$A:$G,2,FALSE)</f>
        <v>0.31819999999999998</v>
      </c>
      <c r="L450" s="8">
        <f>VLOOKUP($A450,'Temprorary Data'!$A:$G,3,FALSE)</f>
        <v>0.49</v>
      </c>
      <c r="M450" s="8">
        <f>VLOOKUP($A450,'Temprorary Data'!$A:$G,4,FALSE)</f>
        <v>0.1045</v>
      </c>
      <c r="N450" s="9">
        <f>VLOOKUP($A450,'Temprorary Data'!$A:$G,5,FALSE)</f>
        <v>8</v>
      </c>
      <c r="O450" s="9">
        <f>VLOOKUP($A450,'Temprorary Data'!$A:$G,6,FALSE)</f>
        <v>207</v>
      </c>
      <c r="P450" s="9">
        <f>VLOOKUP($A450,'Temprorary Data'!$A:$G,7,FALSE)</f>
        <v>215</v>
      </c>
      <c r="Q450" t="b">
        <f t="shared" si="54"/>
        <v>1</v>
      </c>
      <c r="R450" t="str">
        <f t="shared" si="55"/>
        <v>January</v>
      </c>
      <c r="S450" t="str">
        <f t="shared" si="56"/>
        <v>Thursday</v>
      </c>
      <c r="T450" t="str">
        <f t="shared" si="57"/>
        <v>Weekday</v>
      </c>
      <c r="U450" t="str">
        <f t="shared" si="58"/>
        <v>Spring</v>
      </c>
      <c r="V450" t="str">
        <f t="shared" si="59"/>
        <v>Mist</v>
      </c>
      <c r="W450" t="str">
        <f t="shared" si="60"/>
        <v>Evening Peak</v>
      </c>
      <c r="X450" t="str">
        <f t="shared" si="61"/>
        <v>Medium</v>
      </c>
      <c r="Y450" t="str">
        <f t="shared" si="62"/>
        <v>Medium</v>
      </c>
    </row>
    <row r="451" spans="1:25" ht="15.75" thickBot="1">
      <c r="A451" s="1">
        <v>450</v>
      </c>
      <c r="B451" s="2">
        <v>40563</v>
      </c>
      <c r="C451" s="1">
        <v>1</v>
      </c>
      <c r="D451" s="1">
        <v>0</v>
      </c>
      <c r="E451" s="1">
        <v>1</v>
      </c>
      <c r="F451" s="1">
        <v>18</v>
      </c>
      <c r="G451" s="3" t="b">
        <v>0</v>
      </c>
      <c r="H451" s="1">
        <v>4</v>
      </c>
      <c r="I451" s="1">
        <v>2</v>
      </c>
      <c r="J451" s="7">
        <v>0.26</v>
      </c>
      <c r="K451" s="8">
        <f>VLOOKUP($A451,'Temprorary Data'!$A:$G,2,FALSE)</f>
        <v>0.2576</v>
      </c>
      <c r="L451" s="8">
        <f>VLOOKUP($A451,'Temprorary Data'!$A:$G,3,FALSE)</f>
        <v>0.56000000000000005</v>
      </c>
      <c r="M451" s="8">
        <f>VLOOKUP($A451,'Temprorary Data'!$A:$G,4,FALSE)</f>
        <v>0.19400000000000001</v>
      </c>
      <c r="N451" s="9">
        <f>VLOOKUP($A451,'Temprorary Data'!$A:$G,5,FALSE)</f>
        <v>1</v>
      </c>
      <c r="O451" s="9">
        <f>VLOOKUP($A451,'Temprorary Data'!$A:$G,6,FALSE)</f>
        <v>184</v>
      </c>
      <c r="P451" s="9">
        <f>VLOOKUP($A451,'Temprorary Data'!$A:$G,7,FALSE)</f>
        <v>185</v>
      </c>
      <c r="Q451" t="b">
        <f t="shared" ref="Q451:Q514" si="63">N451+O451=P451</f>
        <v>1</v>
      </c>
      <c r="R451" t="str">
        <f t="shared" ref="R451:R514" si="64">TEXT(B451,"mmmm")</f>
        <v>January</v>
      </c>
      <c r="S451" t="str">
        <f t="shared" ref="S451:S514" si="65">TEXT(B451,"dddd")</f>
        <v>Thursday</v>
      </c>
      <c r="T451" t="str">
        <f t="shared" ref="T451:T514" si="66">IF(OR(H451=0,H451=6),"Weekend","Weekday")</f>
        <v>Weekday</v>
      </c>
      <c r="U451" t="str">
        <f t="shared" ref="U451:U514" si="67">IF(C451=1,"Spring",IF(C451=2,"Summer",IF(C451=3,"Fall","Winter")))</f>
        <v>Spring</v>
      </c>
      <c r="V451" t="str">
        <f t="shared" ref="V451:V514" si="68">IF(I451=1,"Clear",IF(I451=2,"Mist",IF(I451=3,"Light Rain","Heavy Rain")))</f>
        <v>Mist</v>
      </c>
      <c r="W451" t="str">
        <f t="shared" ref="W451:W514" si="69">IF(AND(F451&gt;=7,F451&lt;=9),"Morning Peak",IF(AND(F451&gt;=17,F451&lt;=20),"Evening Peak","Off Peak"))</f>
        <v>Evening Peak</v>
      </c>
      <c r="X451" t="str">
        <f t="shared" ref="X451:X514" si="70">IF(J451&lt;0.3,"Low",IF(J451&lt;0.6,"Medium","High"))</f>
        <v>Low</v>
      </c>
      <c r="Y451" t="str">
        <f t="shared" ref="Y451:Y514" si="71">IF(L451&lt;0.4,"Low",IF(L451&lt;0.7,"Medium","High"))</f>
        <v>Medium</v>
      </c>
    </row>
    <row r="452" spans="1:25" ht="15.75" thickBot="1">
      <c r="A452" s="1">
        <v>451</v>
      </c>
      <c r="B452" s="2">
        <v>40563</v>
      </c>
      <c r="C452" s="1">
        <v>1</v>
      </c>
      <c r="D452" s="1">
        <v>0</v>
      </c>
      <c r="E452" s="1">
        <v>1</v>
      </c>
      <c r="F452" s="1">
        <v>19</v>
      </c>
      <c r="G452" s="3" t="b">
        <v>0</v>
      </c>
      <c r="H452" s="1">
        <v>4</v>
      </c>
      <c r="I452" s="1">
        <v>1</v>
      </c>
      <c r="J452" s="7">
        <v>0.26</v>
      </c>
      <c r="K452" s="8">
        <f>VLOOKUP($A452,'Temprorary Data'!$A:$G,2,FALSE)</f>
        <v>0.2273</v>
      </c>
      <c r="L452" s="8">
        <f>VLOOKUP($A452,'Temprorary Data'!$A:$G,3,FALSE)</f>
        <v>0.56000000000000005</v>
      </c>
      <c r="M452" s="8">
        <f>VLOOKUP($A452,'Temprorary Data'!$A:$G,4,FALSE)</f>
        <v>0.32840000000000003</v>
      </c>
      <c r="N452" s="9">
        <f>VLOOKUP($A452,'Temprorary Data'!$A:$G,5,FALSE)</f>
        <v>6</v>
      </c>
      <c r="O452" s="9">
        <f>VLOOKUP($A452,'Temprorary Data'!$A:$G,6,FALSE)</f>
        <v>146</v>
      </c>
      <c r="P452" s="9">
        <f>VLOOKUP($A452,'Temprorary Data'!$A:$G,7,FALSE)</f>
        <v>152</v>
      </c>
      <c r="Q452" t="b">
        <f t="shared" si="63"/>
        <v>1</v>
      </c>
      <c r="R452" t="str">
        <f t="shared" si="64"/>
        <v>January</v>
      </c>
      <c r="S452" t="str">
        <f t="shared" si="65"/>
        <v>Thursday</v>
      </c>
      <c r="T452" t="str">
        <f t="shared" si="66"/>
        <v>Weekday</v>
      </c>
      <c r="U452" t="str">
        <f t="shared" si="67"/>
        <v>Spring</v>
      </c>
      <c r="V452" t="str">
        <f t="shared" si="68"/>
        <v>Clear</v>
      </c>
      <c r="W452" t="str">
        <f t="shared" si="69"/>
        <v>Evening Peak</v>
      </c>
      <c r="X452" t="str">
        <f t="shared" si="70"/>
        <v>Low</v>
      </c>
      <c r="Y452" t="str">
        <f t="shared" si="71"/>
        <v>Medium</v>
      </c>
    </row>
    <row r="453" spans="1:25" ht="15.75" thickBot="1">
      <c r="A453" s="1">
        <v>452</v>
      </c>
      <c r="B453" s="2">
        <v>40563</v>
      </c>
      <c r="C453" s="1">
        <v>1</v>
      </c>
      <c r="D453" s="1">
        <v>0</v>
      </c>
      <c r="E453" s="1">
        <v>1</v>
      </c>
      <c r="F453" s="1">
        <v>20</v>
      </c>
      <c r="G453" s="3" t="b">
        <v>0</v>
      </c>
      <c r="H453" s="1">
        <v>4</v>
      </c>
      <c r="I453" s="1">
        <v>2</v>
      </c>
      <c r="J453" s="7">
        <v>0.26</v>
      </c>
      <c r="K453" s="8">
        <f>VLOOKUP($A453,'Temprorary Data'!$A:$G,2,FALSE)</f>
        <v>0.2424</v>
      </c>
      <c r="L453" s="8">
        <f>VLOOKUP($A453,'Temprorary Data'!$A:$G,3,FALSE)</f>
        <v>0.6</v>
      </c>
      <c r="M453" s="8">
        <f>VLOOKUP($A453,'Temprorary Data'!$A:$G,4,FALSE)</f>
        <v>0.28360000000000002</v>
      </c>
      <c r="N453" s="9">
        <f>VLOOKUP($A453,'Temprorary Data'!$A:$G,5,FALSE)</f>
        <v>2</v>
      </c>
      <c r="O453" s="9">
        <f>VLOOKUP($A453,'Temprorary Data'!$A:$G,6,FALSE)</f>
        <v>124</v>
      </c>
      <c r="P453" s="9">
        <f>VLOOKUP($A453,'Temprorary Data'!$A:$G,7,FALSE)</f>
        <v>126</v>
      </c>
      <c r="Q453" t="b">
        <f t="shared" si="63"/>
        <v>1</v>
      </c>
      <c r="R453" t="str">
        <f t="shared" si="64"/>
        <v>January</v>
      </c>
      <c r="S453" t="str">
        <f t="shared" si="65"/>
        <v>Thursday</v>
      </c>
      <c r="T453" t="str">
        <f t="shared" si="66"/>
        <v>Weekday</v>
      </c>
      <c r="U453" t="str">
        <f t="shared" si="67"/>
        <v>Spring</v>
      </c>
      <c r="V453" t="str">
        <f t="shared" si="68"/>
        <v>Mist</v>
      </c>
      <c r="W453" t="str">
        <f t="shared" si="69"/>
        <v>Evening Peak</v>
      </c>
      <c r="X453" t="str">
        <f t="shared" si="70"/>
        <v>Low</v>
      </c>
      <c r="Y453" t="str">
        <f t="shared" si="71"/>
        <v>Medium</v>
      </c>
    </row>
    <row r="454" spans="1:25" ht="15.75" thickBot="1">
      <c r="A454" s="1">
        <v>453</v>
      </c>
      <c r="B454" s="2">
        <v>40563</v>
      </c>
      <c r="C454" s="1">
        <v>1</v>
      </c>
      <c r="D454" s="1">
        <v>0</v>
      </c>
      <c r="E454" s="1">
        <v>1</v>
      </c>
      <c r="F454" s="1">
        <v>21</v>
      </c>
      <c r="G454" s="3" t="b">
        <v>0</v>
      </c>
      <c r="H454" s="1">
        <v>4</v>
      </c>
      <c r="I454" s="1">
        <v>2</v>
      </c>
      <c r="J454" s="7">
        <v>0.24</v>
      </c>
      <c r="K454" s="8">
        <f>VLOOKUP($A454,'Temprorary Data'!$A:$G,2,FALSE)</f>
        <v>0.2273</v>
      </c>
      <c r="L454" s="8">
        <f>VLOOKUP($A454,'Temprorary Data'!$A:$G,3,FALSE)</f>
        <v>0.6</v>
      </c>
      <c r="M454" s="8">
        <f>VLOOKUP($A454,'Temprorary Data'!$A:$G,4,FALSE)</f>
        <v>0.25369999999999998</v>
      </c>
      <c r="N454" s="9">
        <f>VLOOKUP($A454,'Temprorary Data'!$A:$G,5,FALSE)</f>
        <v>3</v>
      </c>
      <c r="O454" s="9">
        <f>VLOOKUP($A454,'Temprorary Data'!$A:$G,6,FALSE)</f>
        <v>54</v>
      </c>
      <c r="P454" s="9">
        <f>VLOOKUP($A454,'Temprorary Data'!$A:$G,7,FALSE)</f>
        <v>57</v>
      </c>
      <c r="Q454" t="b">
        <f t="shared" si="63"/>
        <v>1</v>
      </c>
      <c r="R454" t="str">
        <f t="shared" si="64"/>
        <v>January</v>
      </c>
      <c r="S454" t="str">
        <f t="shared" si="65"/>
        <v>Thursday</v>
      </c>
      <c r="T454" t="str">
        <f t="shared" si="66"/>
        <v>Weekday</v>
      </c>
      <c r="U454" t="str">
        <f t="shared" si="67"/>
        <v>Spring</v>
      </c>
      <c r="V454" t="str">
        <f t="shared" si="68"/>
        <v>Mist</v>
      </c>
      <c r="W454" t="str">
        <f t="shared" si="69"/>
        <v>Off Peak</v>
      </c>
      <c r="X454" t="str">
        <f t="shared" si="70"/>
        <v>Low</v>
      </c>
      <c r="Y454" t="str">
        <f t="shared" si="71"/>
        <v>Medium</v>
      </c>
    </row>
    <row r="455" spans="1:25" ht="15.75" thickBot="1">
      <c r="A455" s="1">
        <v>454</v>
      </c>
      <c r="B455" s="2">
        <v>40563</v>
      </c>
      <c r="C455" s="1">
        <v>1</v>
      </c>
      <c r="D455" s="1">
        <v>0</v>
      </c>
      <c r="E455" s="1">
        <v>1</v>
      </c>
      <c r="F455" s="1">
        <v>22</v>
      </c>
      <c r="G455" s="3" t="b">
        <v>0</v>
      </c>
      <c r="H455" s="1">
        <v>4</v>
      </c>
      <c r="I455" s="1">
        <v>2</v>
      </c>
      <c r="J455" s="7">
        <v>0.24</v>
      </c>
      <c r="K455" s="8">
        <f>VLOOKUP($A455,'Temprorary Data'!$A:$G,2,FALSE)</f>
        <v>0.21210000000000001</v>
      </c>
      <c r="L455" s="8">
        <f>VLOOKUP($A455,'Temprorary Data'!$A:$G,3,FALSE)</f>
        <v>0.65</v>
      </c>
      <c r="M455" s="8">
        <f>VLOOKUP($A455,'Temprorary Data'!$A:$G,4,FALSE)</f>
        <v>0.28360000000000002</v>
      </c>
      <c r="N455" s="9">
        <f>VLOOKUP($A455,'Temprorary Data'!$A:$G,5,FALSE)</f>
        <v>0</v>
      </c>
      <c r="O455" s="9">
        <f>VLOOKUP($A455,'Temprorary Data'!$A:$G,6,FALSE)</f>
        <v>56</v>
      </c>
      <c r="P455" s="9">
        <f>VLOOKUP($A455,'Temprorary Data'!$A:$G,7,FALSE)</f>
        <v>56</v>
      </c>
      <c r="Q455" t="b">
        <f t="shared" si="63"/>
        <v>1</v>
      </c>
      <c r="R455" t="str">
        <f t="shared" si="64"/>
        <v>January</v>
      </c>
      <c r="S455" t="str">
        <f t="shared" si="65"/>
        <v>Thursday</v>
      </c>
      <c r="T455" t="str">
        <f t="shared" si="66"/>
        <v>Weekday</v>
      </c>
      <c r="U455" t="str">
        <f t="shared" si="67"/>
        <v>Spring</v>
      </c>
      <c r="V455" t="str">
        <f t="shared" si="68"/>
        <v>Mist</v>
      </c>
      <c r="W455" t="str">
        <f t="shared" si="69"/>
        <v>Off Peak</v>
      </c>
      <c r="X455" t="str">
        <f t="shared" si="70"/>
        <v>Low</v>
      </c>
      <c r="Y455" t="str">
        <f t="shared" si="71"/>
        <v>Medium</v>
      </c>
    </row>
    <row r="456" spans="1:25" ht="15.75" thickBot="1">
      <c r="A456" s="1">
        <v>455</v>
      </c>
      <c r="B456" s="2">
        <v>40563</v>
      </c>
      <c r="C456" s="1">
        <v>1</v>
      </c>
      <c r="D456" s="1">
        <v>0</v>
      </c>
      <c r="E456" s="1">
        <v>1</v>
      </c>
      <c r="F456" s="1">
        <v>23</v>
      </c>
      <c r="G456" s="3" t="b">
        <v>0</v>
      </c>
      <c r="H456" s="1">
        <v>4</v>
      </c>
      <c r="I456" s="1">
        <v>2</v>
      </c>
      <c r="J456" s="7">
        <v>0.24</v>
      </c>
      <c r="K456" s="8">
        <f>VLOOKUP($A456,'Temprorary Data'!$A:$G,2,FALSE)</f>
        <v>0.21210000000000001</v>
      </c>
      <c r="L456" s="8">
        <f>VLOOKUP($A456,'Temprorary Data'!$A:$G,3,FALSE)</f>
        <v>0.65</v>
      </c>
      <c r="M456" s="8">
        <f>VLOOKUP($A456,'Temprorary Data'!$A:$G,4,FALSE)</f>
        <v>0.32840000000000003</v>
      </c>
      <c r="N456" s="9">
        <f>VLOOKUP($A456,'Temprorary Data'!$A:$G,5,FALSE)</f>
        <v>3</v>
      </c>
      <c r="O456" s="9">
        <f>VLOOKUP($A456,'Temprorary Data'!$A:$G,6,FALSE)</f>
        <v>28</v>
      </c>
      <c r="P456" s="9">
        <f>VLOOKUP($A456,'Temprorary Data'!$A:$G,7,FALSE)</f>
        <v>31</v>
      </c>
      <c r="Q456" t="b">
        <f t="shared" si="63"/>
        <v>1</v>
      </c>
      <c r="R456" t="str">
        <f t="shared" si="64"/>
        <v>January</v>
      </c>
      <c r="S456" t="str">
        <f t="shared" si="65"/>
        <v>Thursday</v>
      </c>
      <c r="T456" t="str">
        <f t="shared" si="66"/>
        <v>Weekday</v>
      </c>
      <c r="U456" t="str">
        <f t="shared" si="67"/>
        <v>Spring</v>
      </c>
      <c r="V456" t="str">
        <f t="shared" si="68"/>
        <v>Mist</v>
      </c>
      <c r="W456" t="str">
        <f t="shared" si="69"/>
        <v>Off Peak</v>
      </c>
      <c r="X456" t="str">
        <f t="shared" si="70"/>
        <v>Low</v>
      </c>
      <c r="Y456" t="str">
        <f t="shared" si="71"/>
        <v>Medium</v>
      </c>
    </row>
    <row r="457" spans="1:25" ht="15.75" thickBot="1">
      <c r="A457" s="1">
        <v>456</v>
      </c>
      <c r="B457" s="2">
        <v>40564</v>
      </c>
      <c r="C457" s="1">
        <v>1</v>
      </c>
      <c r="D457" s="1">
        <v>0</v>
      </c>
      <c r="E457" s="1">
        <v>1</v>
      </c>
      <c r="F457" s="1">
        <v>0</v>
      </c>
      <c r="G457" s="3" t="b">
        <v>0</v>
      </c>
      <c r="H457" s="1">
        <v>5</v>
      </c>
      <c r="I457" s="1">
        <v>2</v>
      </c>
      <c r="J457" s="7">
        <v>0.24</v>
      </c>
      <c r="K457" s="8">
        <f>VLOOKUP($A457,'Temprorary Data'!$A:$G,2,FALSE)</f>
        <v>0.2273</v>
      </c>
      <c r="L457" s="8">
        <f>VLOOKUP($A457,'Temprorary Data'!$A:$G,3,FALSE)</f>
        <v>0.7</v>
      </c>
      <c r="M457" s="8">
        <f>VLOOKUP($A457,'Temprorary Data'!$A:$G,4,FALSE)</f>
        <v>0.25369999999999998</v>
      </c>
      <c r="N457" s="9">
        <f>VLOOKUP($A457,'Temprorary Data'!$A:$G,5,FALSE)</f>
        <v>1</v>
      </c>
      <c r="O457" s="9">
        <f>VLOOKUP($A457,'Temprorary Data'!$A:$G,6,FALSE)</f>
        <v>20</v>
      </c>
      <c r="P457" s="9">
        <f>VLOOKUP($A457,'Temprorary Data'!$A:$G,7,FALSE)</f>
        <v>21</v>
      </c>
      <c r="Q457" t="b">
        <f t="shared" si="63"/>
        <v>1</v>
      </c>
      <c r="R457" t="str">
        <f t="shared" si="64"/>
        <v>January</v>
      </c>
      <c r="S457" t="str">
        <f t="shared" si="65"/>
        <v>Friday</v>
      </c>
      <c r="T457" t="str">
        <f t="shared" si="66"/>
        <v>Weekday</v>
      </c>
      <c r="U457" t="str">
        <f t="shared" si="67"/>
        <v>Spring</v>
      </c>
      <c r="V457" t="str">
        <f t="shared" si="68"/>
        <v>Mist</v>
      </c>
      <c r="W457" t="str">
        <f t="shared" si="69"/>
        <v>Off Peak</v>
      </c>
      <c r="X457" t="str">
        <f t="shared" si="70"/>
        <v>Low</v>
      </c>
      <c r="Y457" t="str">
        <f t="shared" si="71"/>
        <v>High</v>
      </c>
    </row>
    <row r="458" spans="1:25" ht="15.75" thickBot="1">
      <c r="A458" s="1">
        <v>457</v>
      </c>
      <c r="B458" s="2">
        <v>40564</v>
      </c>
      <c r="C458" s="1">
        <v>1</v>
      </c>
      <c r="D458" s="1">
        <v>0</v>
      </c>
      <c r="E458" s="1">
        <v>1</v>
      </c>
      <c r="F458" s="1">
        <v>1</v>
      </c>
      <c r="G458" s="3" t="b">
        <v>0</v>
      </c>
      <c r="H458" s="1">
        <v>5</v>
      </c>
      <c r="I458" s="1">
        <v>2</v>
      </c>
      <c r="J458" s="7">
        <v>0.24</v>
      </c>
      <c r="K458" s="8">
        <f>VLOOKUP($A458,'Temprorary Data'!$A:$G,2,FALSE)</f>
        <v>0.2273</v>
      </c>
      <c r="L458" s="8">
        <f>VLOOKUP($A458,'Temprorary Data'!$A:$G,3,FALSE)</f>
        <v>0.7</v>
      </c>
      <c r="M458" s="8">
        <f>VLOOKUP($A458,'Temprorary Data'!$A:$G,4,FALSE)</f>
        <v>0.25369999999999998</v>
      </c>
      <c r="N458" s="9">
        <f>VLOOKUP($A458,'Temprorary Data'!$A:$G,5,FALSE)</f>
        <v>0</v>
      </c>
      <c r="O458" s="9">
        <f>VLOOKUP($A458,'Temprorary Data'!$A:$G,6,FALSE)</f>
        <v>6</v>
      </c>
      <c r="P458" s="9">
        <f>VLOOKUP($A458,'Temprorary Data'!$A:$G,7,FALSE)</f>
        <v>6</v>
      </c>
      <c r="Q458" t="b">
        <f t="shared" si="63"/>
        <v>1</v>
      </c>
      <c r="R458" t="str">
        <f t="shared" si="64"/>
        <v>January</v>
      </c>
      <c r="S458" t="str">
        <f t="shared" si="65"/>
        <v>Friday</v>
      </c>
      <c r="T458" t="str">
        <f t="shared" si="66"/>
        <v>Weekday</v>
      </c>
      <c r="U458" t="str">
        <f t="shared" si="67"/>
        <v>Spring</v>
      </c>
      <c r="V458" t="str">
        <f t="shared" si="68"/>
        <v>Mist</v>
      </c>
      <c r="W458" t="str">
        <f t="shared" si="69"/>
        <v>Off Peak</v>
      </c>
      <c r="X458" t="str">
        <f t="shared" si="70"/>
        <v>Low</v>
      </c>
      <c r="Y458" t="str">
        <f t="shared" si="71"/>
        <v>High</v>
      </c>
    </row>
    <row r="459" spans="1:25" ht="15.75" thickBot="1">
      <c r="A459" s="1">
        <v>458</v>
      </c>
      <c r="B459" s="2">
        <v>40564</v>
      </c>
      <c r="C459" s="1">
        <v>1</v>
      </c>
      <c r="D459" s="1">
        <v>0</v>
      </c>
      <c r="E459" s="1">
        <v>1</v>
      </c>
      <c r="F459" s="1">
        <v>2</v>
      </c>
      <c r="G459" s="3" t="b">
        <v>0</v>
      </c>
      <c r="H459" s="1">
        <v>5</v>
      </c>
      <c r="I459" s="1">
        <v>3</v>
      </c>
      <c r="J459" s="7">
        <v>0.24</v>
      </c>
      <c r="K459" s="8">
        <f>VLOOKUP($A459,'Temprorary Data'!$A:$G,2,FALSE)</f>
        <v>0.2424</v>
      </c>
      <c r="L459" s="8">
        <f>VLOOKUP($A459,'Temprorary Data'!$A:$G,3,FALSE)</f>
        <v>0.75</v>
      </c>
      <c r="M459" s="8">
        <f>VLOOKUP($A459,'Temprorary Data'!$A:$G,4,FALSE)</f>
        <v>0.16420000000000001</v>
      </c>
      <c r="N459" s="9">
        <f>VLOOKUP($A459,'Temprorary Data'!$A:$G,5,FALSE)</f>
        <v>0</v>
      </c>
      <c r="O459" s="9">
        <f>VLOOKUP($A459,'Temprorary Data'!$A:$G,6,FALSE)</f>
        <v>2</v>
      </c>
      <c r="P459" s="9">
        <f>VLOOKUP($A459,'Temprorary Data'!$A:$G,7,FALSE)</f>
        <v>2</v>
      </c>
      <c r="Q459" t="b">
        <f t="shared" si="63"/>
        <v>1</v>
      </c>
      <c r="R459" t="str">
        <f t="shared" si="64"/>
        <v>January</v>
      </c>
      <c r="S459" t="str">
        <f t="shared" si="65"/>
        <v>Friday</v>
      </c>
      <c r="T459" t="str">
        <f t="shared" si="66"/>
        <v>Weekday</v>
      </c>
      <c r="U459" t="str">
        <f t="shared" si="67"/>
        <v>Spring</v>
      </c>
      <c r="V459" t="str">
        <f t="shared" si="68"/>
        <v>Light Rain</v>
      </c>
      <c r="W459" t="str">
        <f t="shared" si="69"/>
        <v>Off Peak</v>
      </c>
      <c r="X459" t="str">
        <f t="shared" si="70"/>
        <v>Low</v>
      </c>
      <c r="Y459" t="str">
        <f t="shared" si="71"/>
        <v>High</v>
      </c>
    </row>
    <row r="460" spans="1:25" ht="15.75" thickBot="1">
      <c r="A460" s="1">
        <v>459</v>
      </c>
      <c r="B460" s="2">
        <v>40564</v>
      </c>
      <c r="C460" s="1">
        <v>1</v>
      </c>
      <c r="D460" s="1">
        <v>0</v>
      </c>
      <c r="E460" s="1">
        <v>1</v>
      </c>
      <c r="F460" s="1">
        <v>3</v>
      </c>
      <c r="G460" s="3" t="b">
        <v>0</v>
      </c>
      <c r="H460" s="1">
        <v>5</v>
      </c>
      <c r="I460" s="1">
        <v>3</v>
      </c>
      <c r="J460" s="7">
        <v>0.22</v>
      </c>
      <c r="K460" s="8">
        <f>VLOOKUP($A460,'Temprorary Data'!$A:$G,2,FALSE)</f>
        <v>0.21210000000000001</v>
      </c>
      <c r="L460" s="8">
        <f>VLOOKUP($A460,'Temprorary Data'!$A:$G,3,FALSE)</f>
        <v>0.8</v>
      </c>
      <c r="M460" s="8">
        <f>VLOOKUP($A460,'Temprorary Data'!$A:$G,4,FALSE)</f>
        <v>0.29849999999999999</v>
      </c>
      <c r="N460" s="9">
        <f>VLOOKUP($A460,'Temprorary Data'!$A:$G,5,FALSE)</f>
        <v>0</v>
      </c>
      <c r="O460" s="9">
        <f>VLOOKUP($A460,'Temprorary Data'!$A:$G,6,FALSE)</f>
        <v>1</v>
      </c>
      <c r="P460" s="9">
        <f>VLOOKUP($A460,'Temprorary Data'!$A:$G,7,FALSE)</f>
        <v>1</v>
      </c>
      <c r="Q460" t="b">
        <f t="shared" si="63"/>
        <v>1</v>
      </c>
      <c r="R460" t="str">
        <f t="shared" si="64"/>
        <v>January</v>
      </c>
      <c r="S460" t="str">
        <f t="shared" si="65"/>
        <v>Friday</v>
      </c>
      <c r="T460" t="str">
        <f t="shared" si="66"/>
        <v>Weekday</v>
      </c>
      <c r="U460" t="str">
        <f t="shared" si="67"/>
        <v>Spring</v>
      </c>
      <c r="V460" t="str">
        <f t="shared" si="68"/>
        <v>Light Rain</v>
      </c>
      <c r="W460" t="str">
        <f t="shared" si="69"/>
        <v>Off Peak</v>
      </c>
      <c r="X460" t="str">
        <f t="shared" si="70"/>
        <v>Low</v>
      </c>
      <c r="Y460" t="str">
        <f t="shared" si="71"/>
        <v>High</v>
      </c>
    </row>
    <row r="461" spans="1:25" ht="15.75" thickBot="1">
      <c r="A461" s="1">
        <v>460</v>
      </c>
      <c r="B461" s="2">
        <v>40564</v>
      </c>
      <c r="C461" s="1">
        <v>1</v>
      </c>
      <c r="D461" s="1">
        <v>0</v>
      </c>
      <c r="E461" s="1">
        <v>1</v>
      </c>
      <c r="F461" s="1">
        <v>4</v>
      </c>
      <c r="G461" s="3" t="b">
        <v>0</v>
      </c>
      <c r="H461" s="1">
        <v>5</v>
      </c>
      <c r="I461" s="1">
        <v>2</v>
      </c>
      <c r="J461" s="7">
        <v>0.22</v>
      </c>
      <c r="K461" s="8">
        <f>VLOOKUP($A461,'Temprorary Data'!$A:$G,2,FALSE)</f>
        <v>0.2576</v>
      </c>
      <c r="L461" s="8">
        <f>VLOOKUP($A461,'Temprorary Data'!$A:$G,3,FALSE)</f>
        <v>0.87</v>
      </c>
      <c r="M461" s="8">
        <f>VLOOKUP($A461,'Temprorary Data'!$A:$G,4,FALSE)</f>
        <v>8.9599999999999999E-2</v>
      </c>
      <c r="N461" s="9">
        <f>VLOOKUP($A461,'Temprorary Data'!$A:$G,5,FALSE)</f>
        <v>0</v>
      </c>
      <c r="O461" s="9">
        <f>VLOOKUP($A461,'Temprorary Data'!$A:$G,6,FALSE)</f>
        <v>1</v>
      </c>
      <c r="P461" s="9">
        <f>VLOOKUP($A461,'Temprorary Data'!$A:$G,7,FALSE)</f>
        <v>1</v>
      </c>
      <c r="Q461" t="b">
        <f t="shared" si="63"/>
        <v>1</v>
      </c>
      <c r="R461" t="str">
        <f t="shared" si="64"/>
        <v>January</v>
      </c>
      <c r="S461" t="str">
        <f t="shared" si="65"/>
        <v>Friday</v>
      </c>
      <c r="T461" t="str">
        <f t="shared" si="66"/>
        <v>Weekday</v>
      </c>
      <c r="U461" t="str">
        <f t="shared" si="67"/>
        <v>Spring</v>
      </c>
      <c r="V461" t="str">
        <f t="shared" si="68"/>
        <v>Mist</v>
      </c>
      <c r="W461" t="str">
        <f t="shared" si="69"/>
        <v>Off Peak</v>
      </c>
      <c r="X461" t="str">
        <f t="shared" si="70"/>
        <v>Low</v>
      </c>
      <c r="Y461" t="str">
        <f t="shared" si="71"/>
        <v>High</v>
      </c>
    </row>
    <row r="462" spans="1:25" ht="15.75" thickBot="1">
      <c r="A462" s="1">
        <v>461</v>
      </c>
      <c r="B462" s="2">
        <v>40564</v>
      </c>
      <c r="C462" s="1">
        <v>1</v>
      </c>
      <c r="D462" s="1">
        <v>0</v>
      </c>
      <c r="E462" s="1">
        <v>1</v>
      </c>
      <c r="F462" s="1">
        <v>5</v>
      </c>
      <c r="G462" s="3" t="b">
        <v>0</v>
      </c>
      <c r="H462" s="1">
        <v>5</v>
      </c>
      <c r="I462" s="1">
        <v>1</v>
      </c>
      <c r="J462" s="7">
        <v>0.24</v>
      </c>
      <c r="K462" s="8">
        <f>VLOOKUP($A462,'Temprorary Data'!$A:$G,2,FALSE)</f>
        <v>0.19700000000000001</v>
      </c>
      <c r="L462" s="8">
        <f>VLOOKUP($A462,'Temprorary Data'!$A:$G,3,FALSE)</f>
        <v>0.6</v>
      </c>
      <c r="M462" s="8">
        <f>VLOOKUP($A462,'Temprorary Data'!$A:$G,4,FALSE)</f>
        <v>0.41789999999999999</v>
      </c>
      <c r="N462" s="9">
        <f>VLOOKUP($A462,'Temprorary Data'!$A:$G,5,FALSE)</f>
        <v>1</v>
      </c>
      <c r="O462" s="9">
        <f>VLOOKUP($A462,'Temprorary Data'!$A:$G,6,FALSE)</f>
        <v>4</v>
      </c>
      <c r="P462" s="9">
        <f>VLOOKUP($A462,'Temprorary Data'!$A:$G,7,FALSE)</f>
        <v>5</v>
      </c>
      <c r="Q462" t="b">
        <f t="shared" si="63"/>
        <v>1</v>
      </c>
      <c r="R462" t="str">
        <f t="shared" si="64"/>
        <v>January</v>
      </c>
      <c r="S462" t="str">
        <f t="shared" si="65"/>
        <v>Friday</v>
      </c>
      <c r="T462" t="str">
        <f t="shared" si="66"/>
        <v>Weekday</v>
      </c>
      <c r="U462" t="str">
        <f t="shared" si="67"/>
        <v>Spring</v>
      </c>
      <c r="V462" t="str">
        <f t="shared" si="68"/>
        <v>Clear</v>
      </c>
      <c r="W462" t="str">
        <f t="shared" si="69"/>
        <v>Off Peak</v>
      </c>
      <c r="X462" t="str">
        <f t="shared" si="70"/>
        <v>Low</v>
      </c>
      <c r="Y462" t="str">
        <f t="shared" si="71"/>
        <v>Medium</v>
      </c>
    </row>
    <row r="463" spans="1:25" ht="15.75" thickBot="1">
      <c r="A463" s="1">
        <v>462</v>
      </c>
      <c r="B463" s="2">
        <v>40564</v>
      </c>
      <c r="C463" s="1">
        <v>1</v>
      </c>
      <c r="D463" s="1">
        <v>0</v>
      </c>
      <c r="E463" s="1">
        <v>1</v>
      </c>
      <c r="F463" s="1">
        <v>6</v>
      </c>
      <c r="G463" s="3" t="b">
        <v>0</v>
      </c>
      <c r="H463" s="1">
        <v>5</v>
      </c>
      <c r="I463" s="1">
        <v>1</v>
      </c>
      <c r="J463" s="7">
        <v>0.22</v>
      </c>
      <c r="K463" s="8">
        <f>VLOOKUP($A463,'Temprorary Data'!$A:$G,2,FALSE)</f>
        <v>0.21210000000000001</v>
      </c>
      <c r="L463" s="8">
        <f>VLOOKUP($A463,'Temprorary Data'!$A:$G,3,FALSE)</f>
        <v>0.55000000000000004</v>
      </c>
      <c r="M463" s="8">
        <f>VLOOKUP($A463,'Temprorary Data'!$A:$G,4,FALSE)</f>
        <v>0.25369999999999998</v>
      </c>
      <c r="N463" s="9">
        <f>VLOOKUP($A463,'Temprorary Data'!$A:$G,5,FALSE)</f>
        <v>0</v>
      </c>
      <c r="O463" s="9">
        <f>VLOOKUP($A463,'Temprorary Data'!$A:$G,6,FALSE)</f>
        <v>27</v>
      </c>
      <c r="P463" s="9">
        <f>VLOOKUP($A463,'Temprorary Data'!$A:$G,7,FALSE)</f>
        <v>27</v>
      </c>
      <c r="Q463" t="b">
        <f t="shared" si="63"/>
        <v>1</v>
      </c>
      <c r="R463" t="str">
        <f t="shared" si="64"/>
        <v>January</v>
      </c>
      <c r="S463" t="str">
        <f t="shared" si="65"/>
        <v>Friday</v>
      </c>
      <c r="T463" t="str">
        <f t="shared" si="66"/>
        <v>Weekday</v>
      </c>
      <c r="U463" t="str">
        <f t="shared" si="67"/>
        <v>Spring</v>
      </c>
      <c r="V463" t="str">
        <f t="shared" si="68"/>
        <v>Clear</v>
      </c>
      <c r="W463" t="str">
        <f t="shared" si="69"/>
        <v>Off Peak</v>
      </c>
      <c r="X463" t="str">
        <f t="shared" si="70"/>
        <v>Low</v>
      </c>
      <c r="Y463" t="str">
        <f t="shared" si="71"/>
        <v>Medium</v>
      </c>
    </row>
    <row r="464" spans="1:25" ht="15.75" thickBot="1">
      <c r="A464" s="1">
        <v>463</v>
      </c>
      <c r="B464" s="2">
        <v>40564</v>
      </c>
      <c r="C464" s="1">
        <v>1</v>
      </c>
      <c r="D464" s="1">
        <v>0</v>
      </c>
      <c r="E464" s="1">
        <v>1</v>
      </c>
      <c r="F464" s="1">
        <v>7</v>
      </c>
      <c r="G464" s="3" t="b">
        <v>0</v>
      </c>
      <c r="H464" s="1">
        <v>5</v>
      </c>
      <c r="I464" s="1">
        <v>1</v>
      </c>
      <c r="J464" s="7">
        <v>0.2</v>
      </c>
      <c r="K464" s="8">
        <f>VLOOKUP($A464,'Temprorary Data'!$A:$G,2,FALSE)</f>
        <v>0.18179999999999999</v>
      </c>
      <c r="L464" s="8">
        <f>VLOOKUP($A464,'Temprorary Data'!$A:$G,3,FALSE)</f>
        <v>0.51</v>
      </c>
      <c r="M464" s="8">
        <f>VLOOKUP($A464,'Temprorary Data'!$A:$G,4,FALSE)</f>
        <v>0.28360000000000002</v>
      </c>
      <c r="N464" s="9">
        <f>VLOOKUP($A464,'Temprorary Data'!$A:$G,5,FALSE)</f>
        <v>2</v>
      </c>
      <c r="O464" s="9">
        <f>VLOOKUP($A464,'Temprorary Data'!$A:$G,6,FALSE)</f>
        <v>66</v>
      </c>
      <c r="P464" s="9">
        <f>VLOOKUP($A464,'Temprorary Data'!$A:$G,7,FALSE)</f>
        <v>68</v>
      </c>
      <c r="Q464" t="b">
        <f t="shared" si="63"/>
        <v>1</v>
      </c>
      <c r="R464" t="str">
        <f t="shared" si="64"/>
        <v>January</v>
      </c>
      <c r="S464" t="str">
        <f t="shared" si="65"/>
        <v>Friday</v>
      </c>
      <c r="T464" t="str">
        <f t="shared" si="66"/>
        <v>Weekday</v>
      </c>
      <c r="U464" t="str">
        <f t="shared" si="67"/>
        <v>Spring</v>
      </c>
      <c r="V464" t="str">
        <f t="shared" si="68"/>
        <v>Clear</v>
      </c>
      <c r="W464" t="str">
        <f t="shared" si="69"/>
        <v>Morning Peak</v>
      </c>
      <c r="X464" t="str">
        <f t="shared" si="70"/>
        <v>Low</v>
      </c>
      <c r="Y464" t="str">
        <f t="shared" si="71"/>
        <v>Medium</v>
      </c>
    </row>
    <row r="465" spans="1:25" ht="15.75" thickBot="1">
      <c r="A465" s="1">
        <v>464</v>
      </c>
      <c r="B465" s="2">
        <v>40564</v>
      </c>
      <c r="C465" s="1">
        <v>1</v>
      </c>
      <c r="D465" s="1">
        <v>0</v>
      </c>
      <c r="E465" s="1">
        <v>1</v>
      </c>
      <c r="F465" s="1">
        <v>8</v>
      </c>
      <c r="G465" s="3" t="b">
        <v>0</v>
      </c>
      <c r="H465" s="1">
        <v>5</v>
      </c>
      <c r="I465" s="1">
        <v>1</v>
      </c>
      <c r="J465" s="7">
        <v>0.2</v>
      </c>
      <c r="K465" s="8">
        <f>VLOOKUP($A465,'Temprorary Data'!$A:$G,2,FALSE)</f>
        <v>0.18179999999999999</v>
      </c>
      <c r="L465" s="8">
        <f>VLOOKUP($A465,'Temprorary Data'!$A:$G,3,FALSE)</f>
        <v>0.47</v>
      </c>
      <c r="M465" s="8">
        <f>VLOOKUP($A465,'Temprorary Data'!$A:$G,4,FALSE)</f>
        <v>0.32840000000000003</v>
      </c>
      <c r="N465" s="9">
        <f>VLOOKUP($A465,'Temprorary Data'!$A:$G,5,FALSE)</f>
        <v>7</v>
      </c>
      <c r="O465" s="9">
        <f>VLOOKUP($A465,'Temprorary Data'!$A:$G,6,FALSE)</f>
        <v>210</v>
      </c>
      <c r="P465" s="9">
        <f>VLOOKUP($A465,'Temprorary Data'!$A:$G,7,FALSE)</f>
        <v>217</v>
      </c>
      <c r="Q465" t="b">
        <f t="shared" si="63"/>
        <v>1</v>
      </c>
      <c r="R465" t="str">
        <f t="shared" si="64"/>
        <v>January</v>
      </c>
      <c r="S465" t="str">
        <f t="shared" si="65"/>
        <v>Friday</v>
      </c>
      <c r="T465" t="str">
        <f t="shared" si="66"/>
        <v>Weekday</v>
      </c>
      <c r="U465" t="str">
        <f t="shared" si="67"/>
        <v>Spring</v>
      </c>
      <c r="V465" t="str">
        <f t="shared" si="68"/>
        <v>Clear</v>
      </c>
      <c r="W465" t="str">
        <f t="shared" si="69"/>
        <v>Morning Peak</v>
      </c>
      <c r="X465" t="str">
        <f t="shared" si="70"/>
        <v>Low</v>
      </c>
      <c r="Y465" t="str">
        <f t="shared" si="71"/>
        <v>Medium</v>
      </c>
    </row>
    <row r="466" spans="1:25" ht="15.75" thickBot="1">
      <c r="A466" s="1">
        <v>465</v>
      </c>
      <c r="B466" s="2">
        <v>40564</v>
      </c>
      <c r="C466" s="1">
        <v>1</v>
      </c>
      <c r="D466" s="1">
        <v>0</v>
      </c>
      <c r="E466" s="1">
        <v>1</v>
      </c>
      <c r="F466" s="1">
        <v>9</v>
      </c>
      <c r="G466" s="3" t="b">
        <v>0</v>
      </c>
      <c r="H466" s="1">
        <v>5</v>
      </c>
      <c r="I466" s="1">
        <v>1</v>
      </c>
      <c r="J466" s="7">
        <v>0.2</v>
      </c>
      <c r="K466" s="8">
        <f>VLOOKUP($A466,'Temprorary Data'!$A:$G,2,FALSE)</f>
        <v>0.18179999999999999</v>
      </c>
      <c r="L466" s="8">
        <f>VLOOKUP($A466,'Temprorary Data'!$A:$G,3,FALSE)</f>
        <v>0.51</v>
      </c>
      <c r="M466" s="8">
        <f>VLOOKUP($A466,'Temprorary Data'!$A:$G,4,FALSE)</f>
        <v>0.35820000000000002</v>
      </c>
      <c r="N466" s="9">
        <f>VLOOKUP($A466,'Temprorary Data'!$A:$G,5,FALSE)</f>
        <v>7</v>
      </c>
      <c r="O466" s="9">
        <f>VLOOKUP($A466,'Temprorary Data'!$A:$G,6,FALSE)</f>
        <v>159</v>
      </c>
      <c r="P466" s="9">
        <f>VLOOKUP($A466,'Temprorary Data'!$A:$G,7,FALSE)</f>
        <v>166</v>
      </c>
      <c r="Q466" t="b">
        <f t="shared" si="63"/>
        <v>1</v>
      </c>
      <c r="R466" t="str">
        <f t="shared" si="64"/>
        <v>January</v>
      </c>
      <c r="S466" t="str">
        <f t="shared" si="65"/>
        <v>Friday</v>
      </c>
      <c r="T466" t="str">
        <f t="shared" si="66"/>
        <v>Weekday</v>
      </c>
      <c r="U466" t="str">
        <f t="shared" si="67"/>
        <v>Spring</v>
      </c>
      <c r="V466" t="str">
        <f t="shared" si="68"/>
        <v>Clear</v>
      </c>
      <c r="W466" t="str">
        <f t="shared" si="69"/>
        <v>Morning Peak</v>
      </c>
      <c r="X466" t="str">
        <f t="shared" si="70"/>
        <v>Low</v>
      </c>
      <c r="Y466" t="str">
        <f t="shared" si="71"/>
        <v>Medium</v>
      </c>
    </row>
    <row r="467" spans="1:25" ht="15.75" thickBot="1">
      <c r="A467" s="1">
        <v>466</v>
      </c>
      <c r="B467" s="2">
        <v>40564</v>
      </c>
      <c r="C467" s="1">
        <v>1</v>
      </c>
      <c r="D467" s="1">
        <v>0</v>
      </c>
      <c r="E467" s="1">
        <v>1</v>
      </c>
      <c r="F467" s="1">
        <v>10</v>
      </c>
      <c r="G467" s="3" t="b">
        <v>0</v>
      </c>
      <c r="H467" s="1">
        <v>5</v>
      </c>
      <c r="I467" s="1">
        <v>1</v>
      </c>
      <c r="J467" s="7">
        <v>0.2</v>
      </c>
      <c r="K467" s="8">
        <f>VLOOKUP($A467,'Temprorary Data'!$A:$G,2,FALSE)</f>
        <v>0.16669999999999999</v>
      </c>
      <c r="L467" s="8">
        <f>VLOOKUP($A467,'Temprorary Data'!$A:$G,3,FALSE)</f>
        <v>0.47</v>
      </c>
      <c r="M467" s="8">
        <f>VLOOKUP($A467,'Temprorary Data'!$A:$G,4,FALSE)</f>
        <v>0.4627</v>
      </c>
      <c r="N467" s="9">
        <f>VLOOKUP($A467,'Temprorary Data'!$A:$G,5,FALSE)</f>
        <v>6</v>
      </c>
      <c r="O467" s="9">
        <f>VLOOKUP($A467,'Temprorary Data'!$A:$G,6,FALSE)</f>
        <v>57</v>
      </c>
      <c r="P467" s="9">
        <f>VLOOKUP($A467,'Temprorary Data'!$A:$G,7,FALSE)</f>
        <v>63</v>
      </c>
      <c r="Q467" t="b">
        <f t="shared" si="63"/>
        <v>1</v>
      </c>
      <c r="R467" t="str">
        <f t="shared" si="64"/>
        <v>January</v>
      </c>
      <c r="S467" t="str">
        <f t="shared" si="65"/>
        <v>Friday</v>
      </c>
      <c r="T467" t="str">
        <f t="shared" si="66"/>
        <v>Weekday</v>
      </c>
      <c r="U467" t="str">
        <f t="shared" si="67"/>
        <v>Spring</v>
      </c>
      <c r="V467" t="str">
        <f t="shared" si="68"/>
        <v>Clear</v>
      </c>
      <c r="W467" t="str">
        <f t="shared" si="69"/>
        <v>Off Peak</v>
      </c>
      <c r="X467" t="str">
        <f t="shared" si="70"/>
        <v>Low</v>
      </c>
      <c r="Y467" t="str">
        <f t="shared" si="71"/>
        <v>Medium</v>
      </c>
    </row>
    <row r="468" spans="1:25" ht="15.75" thickBot="1">
      <c r="A468" s="1">
        <v>467</v>
      </c>
      <c r="B468" s="2">
        <v>40564</v>
      </c>
      <c r="C468" s="1">
        <v>1</v>
      </c>
      <c r="D468" s="1">
        <v>0</v>
      </c>
      <c r="E468" s="1">
        <v>1</v>
      </c>
      <c r="F468" s="1">
        <v>11</v>
      </c>
      <c r="G468" s="3" t="b">
        <v>0</v>
      </c>
      <c r="H468" s="1">
        <v>5</v>
      </c>
      <c r="I468" s="1">
        <v>1</v>
      </c>
      <c r="J468" s="7">
        <v>0.22</v>
      </c>
      <c r="K468" s="8">
        <f>VLOOKUP($A468,'Temprorary Data'!$A:$G,2,FALSE)</f>
        <v>0.18179999999999999</v>
      </c>
      <c r="L468" s="8">
        <f>VLOOKUP($A468,'Temprorary Data'!$A:$G,3,FALSE)</f>
        <v>0.41</v>
      </c>
      <c r="M468" s="8">
        <f>VLOOKUP($A468,'Temprorary Data'!$A:$G,4,FALSE)</f>
        <v>0.4627</v>
      </c>
      <c r="N468" s="9">
        <f>VLOOKUP($A468,'Temprorary Data'!$A:$G,5,FALSE)</f>
        <v>6</v>
      </c>
      <c r="O468" s="9">
        <f>VLOOKUP($A468,'Temprorary Data'!$A:$G,6,FALSE)</f>
        <v>53</v>
      </c>
      <c r="P468" s="9">
        <f>VLOOKUP($A468,'Temprorary Data'!$A:$G,7,FALSE)</f>
        <v>59</v>
      </c>
      <c r="Q468" t="b">
        <f t="shared" si="63"/>
        <v>1</v>
      </c>
      <c r="R468" t="str">
        <f t="shared" si="64"/>
        <v>January</v>
      </c>
      <c r="S468" t="str">
        <f t="shared" si="65"/>
        <v>Friday</v>
      </c>
      <c r="T468" t="str">
        <f t="shared" si="66"/>
        <v>Weekday</v>
      </c>
      <c r="U468" t="str">
        <f t="shared" si="67"/>
        <v>Spring</v>
      </c>
      <c r="V468" t="str">
        <f t="shared" si="68"/>
        <v>Clear</v>
      </c>
      <c r="W468" t="str">
        <f t="shared" si="69"/>
        <v>Off Peak</v>
      </c>
      <c r="X468" t="str">
        <f t="shared" si="70"/>
        <v>Low</v>
      </c>
      <c r="Y468" t="str">
        <f t="shared" si="71"/>
        <v>Medium</v>
      </c>
    </row>
    <row r="469" spans="1:25" ht="15.75" thickBot="1">
      <c r="A469" s="1">
        <v>468</v>
      </c>
      <c r="B469" s="2">
        <v>40564</v>
      </c>
      <c r="C469" s="1">
        <v>1</v>
      </c>
      <c r="D469" s="1">
        <v>0</v>
      </c>
      <c r="E469" s="1">
        <v>1</v>
      </c>
      <c r="F469" s="1">
        <v>12</v>
      </c>
      <c r="G469" s="3" t="b">
        <v>0</v>
      </c>
      <c r="H469" s="1">
        <v>5</v>
      </c>
      <c r="I469" s="1">
        <v>1</v>
      </c>
      <c r="J469" s="7">
        <v>0.22</v>
      </c>
      <c r="K469" s="8">
        <f>VLOOKUP($A469,'Temprorary Data'!$A:$G,2,FALSE)</f>
        <v>0.18179999999999999</v>
      </c>
      <c r="L469" s="8">
        <f>VLOOKUP($A469,'Temprorary Data'!$A:$G,3,FALSE)</f>
        <v>0.27</v>
      </c>
      <c r="M469" s="8">
        <f>VLOOKUP($A469,'Temprorary Data'!$A:$G,4,FALSE)</f>
        <v>0.58209999999999995</v>
      </c>
      <c r="N469" s="9">
        <f>VLOOKUP($A469,'Temprorary Data'!$A:$G,5,FALSE)</f>
        <v>11</v>
      </c>
      <c r="O469" s="9">
        <f>VLOOKUP($A469,'Temprorary Data'!$A:$G,6,FALSE)</f>
        <v>67</v>
      </c>
      <c r="P469" s="9">
        <f>VLOOKUP($A469,'Temprorary Data'!$A:$G,7,FALSE)</f>
        <v>78</v>
      </c>
      <c r="Q469" t="b">
        <f t="shared" si="63"/>
        <v>1</v>
      </c>
      <c r="R469" t="str">
        <f t="shared" si="64"/>
        <v>January</v>
      </c>
      <c r="S469" t="str">
        <f t="shared" si="65"/>
        <v>Friday</v>
      </c>
      <c r="T469" t="str">
        <f t="shared" si="66"/>
        <v>Weekday</v>
      </c>
      <c r="U469" t="str">
        <f t="shared" si="67"/>
        <v>Spring</v>
      </c>
      <c r="V469" t="str">
        <f t="shared" si="68"/>
        <v>Clear</v>
      </c>
      <c r="W469" t="str">
        <f t="shared" si="69"/>
        <v>Off Peak</v>
      </c>
      <c r="X469" t="str">
        <f t="shared" si="70"/>
        <v>Low</v>
      </c>
      <c r="Y469" t="str">
        <f t="shared" si="71"/>
        <v>Low</v>
      </c>
    </row>
    <row r="470" spans="1:25" ht="15.75" thickBot="1">
      <c r="A470" s="1">
        <v>469</v>
      </c>
      <c r="B470" s="2">
        <v>40564</v>
      </c>
      <c r="C470" s="1">
        <v>1</v>
      </c>
      <c r="D470" s="1">
        <v>0</v>
      </c>
      <c r="E470" s="1">
        <v>1</v>
      </c>
      <c r="F470" s="1">
        <v>13</v>
      </c>
      <c r="G470" s="3" t="b">
        <v>0</v>
      </c>
      <c r="H470" s="1">
        <v>5</v>
      </c>
      <c r="I470" s="1">
        <v>1</v>
      </c>
      <c r="J470" s="7">
        <v>0.2</v>
      </c>
      <c r="K470" s="8">
        <f>VLOOKUP($A470,'Temprorary Data'!$A:$G,2,FALSE)</f>
        <v>0.1515</v>
      </c>
      <c r="L470" s="8">
        <f>VLOOKUP($A470,'Temprorary Data'!$A:$G,3,FALSE)</f>
        <v>0.21</v>
      </c>
      <c r="M470" s="8">
        <f>VLOOKUP($A470,'Temprorary Data'!$A:$G,4,FALSE)</f>
        <v>0.58209999999999995</v>
      </c>
      <c r="N470" s="9">
        <f>VLOOKUP($A470,'Temprorary Data'!$A:$G,5,FALSE)</f>
        <v>8</v>
      </c>
      <c r="O470" s="9">
        <f>VLOOKUP($A470,'Temprorary Data'!$A:$G,6,FALSE)</f>
        <v>65</v>
      </c>
      <c r="P470" s="9">
        <f>VLOOKUP($A470,'Temprorary Data'!$A:$G,7,FALSE)</f>
        <v>73</v>
      </c>
      <c r="Q470" t="b">
        <f t="shared" si="63"/>
        <v>1</v>
      </c>
      <c r="R470" t="str">
        <f t="shared" si="64"/>
        <v>January</v>
      </c>
      <c r="S470" t="str">
        <f t="shared" si="65"/>
        <v>Friday</v>
      </c>
      <c r="T470" t="str">
        <f t="shared" si="66"/>
        <v>Weekday</v>
      </c>
      <c r="U470" t="str">
        <f t="shared" si="67"/>
        <v>Spring</v>
      </c>
      <c r="V470" t="str">
        <f t="shared" si="68"/>
        <v>Clear</v>
      </c>
      <c r="W470" t="str">
        <f t="shared" si="69"/>
        <v>Off Peak</v>
      </c>
      <c r="X470" t="str">
        <f t="shared" si="70"/>
        <v>Low</v>
      </c>
      <c r="Y470" t="str">
        <f t="shared" si="71"/>
        <v>Low</v>
      </c>
    </row>
    <row r="471" spans="1:25" ht="15.75" thickBot="1">
      <c r="A471" s="1">
        <v>470</v>
      </c>
      <c r="B471" s="2">
        <v>40564</v>
      </c>
      <c r="C471" s="1">
        <v>1</v>
      </c>
      <c r="D471" s="1">
        <v>0</v>
      </c>
      <c r="E471" s="1">
        <v>1</v>
      </c>
      <c r="F471" s="1">
        <v>14</v>
      </c>
      <c r="G471" s="3" t="b">
        <v>0</v>
      </c>
      <c r="H471" s="1">
        <v>5</v>
      </c>
      <c r="I471" s="1">
        <v>1</v>
      </c>
      <c r="J471" s="7">
        <v>0.2</v>
      </c>
      <c r="K471" s="8">
        <f>VLOOKUP($A471,'Temprorary Data'!$A:$G,2,FALSE)</f>
        <v>0.1515</v>
      </c>
      <c r="L471" s="8">
        <f>VLOOKUP($A471,'Temprorary Data'!$A:$G,3,FALSE)</f>
        <v>0.25</v>
      </c>
      <c r="M471" s="8">
        <f>VLOOKUP($A471,'Temprorary Data'!$A:$G,4,FALSE)</f>
        <v>0.52239999999999998</v>
      </c>
      <c r="N471" s="9">
        <f>VLOOKUP($A471,'Temprorary Data'!$A:$G,5,FALSE)</f>
        <v>6</v>
      </c>
      <c r="O471" s="9">
        <f>VLOOKUP($A471,'Temprorary Data'!$A:$G,6,FALSE)</f>
        <v>56</v>
      </c>
      <c r="P471" s="9">
        <f>VLOOKUP($A471,'Temprorary Data'!$A:$G,7,FALSE)</f>
        <v>62</v>
      </c>
      <c r="Q471" t="b">
        <f t="shared" si="63"/>
        <v>1</v>
      </c>
      <c r="R471" t="str">
        <f t="shared" si="64"/>
        <v>January</v>
      </c>
      <c r="S471" t="str">
        <f t="shared" si="65"/>
        <v>Friday</v>
      </c>
      <c r="T471" t="str">
        <f t="shared" si="66"/>
        <v>Weekday</v>
      </c>
      <c r="U471" t="str">
        <f t="shared" si="67"/>
        <v>Spring</v>
      </c>
      <c r="V471" t="str">
        <f t="shared" si="68"/>
        <v>Clear</v>
      </c>
      <c r="W471" t="str">
        <f t="shared" si="69"/>
        <v>Off Peak</v>
      </c>
      <c r="X471" t="str">
        <f t="shared" si="70"/>
        <v>Low</v>
      </c>
      <c r="Y471" t="str">
        <f t="shared" si="71"/>
        <v>Low</v>
      </c>
    </row>
    <row r="472" spans="1:25" ht="15.75" thickBot="1">
      <c r="A472" s="1">
        <v>471</v>
      </c>
      <c r="B472" s="2">
        <v>40564</v>
      </c>
      <c r="C472" s="1">
        <v>1</v>
      </c>
      <c r="D472" s="1">
        <v>0</v>
      </c>
      <c r="E472" s="1">
        <v>1</v>
      </c>
      <c r="F472" s="1">
        <v>15</v>
      </c>
      <c r="G472" s="3" t="b">
        <v>0</v>
      </c>
      <c r="H472" s="1">
        <v>5</v>
      </c>
      <c r="I472" s="1">
        <v>1</v>
      </c>
      <c r="J472" s="7">
        <v>0.16</v>
      </c>
      <c r="K472" s="8">
        <f>VLOOKUP($A472,'Temprorary Data'!$A:$G,2,FALSE)</f>
        <v>0.1212</v>
      </c>
      <c r="L472" s="8">
        <f>VLOOKUP($A472,'Temprorary Data'!$A:$G,3,FALSE)</f>
        <v>0.26</v>
      </c>
      <c r="M472" s="8">
        <f>VLOOKUP($A472,'Temprorary Data'!$A:$G,4,FALSE)</f>
        <v>0.44779999999999998</v>
      </c>
      <c r="N472" s="9">
        <f>VLOOKUP($A472,'Temprorary Data'!$A:$G,5,FALSE)</f>
        <v>4</v>
      </c>
      <c r="O472" s="9">
        <f>VLOOKUP($A472,'Temprorary Data'!$A:$G,6,FALSE)</f>
        <v>61</v>
      </c>
      <c r="P472" s="9">
        <f>VLOOKUP($A472,'Temprorary Data'!$A:$G,7,FALSE)</f>
        <v>65</v>
      </c>
      <c r="Q472" t="b">
        <f t="shared" si="63"/>
        <v>1</v>
      </c>
      <c r="R472" t="str">
        <f t="shared" si="64"/>
        <v>January</v>
      </c>
      <c r="S472" t="str">
        <f t="shared" si="65"/>
        <v>Friday</v>
      </c>
      <c r="T472" t="str">
        <f t="shared" si="66"/>
        <v>Weekday</v>
      </c>
      <c r="U472" t="str">
        <f t="shared" si="67"/>
        <v>Spring</v>
      </c>
      <c r="V472" t="str">
        <f t="shared" si="68"/>
        <v>Clear</v>
      </c>
      <c r="W472" t="str">
        <f t="shared" si="69"/>
        <v>Off Peak</v>
      </c>
      <c r="X472" t="str">
        <f t="shared" si="70"/>
        <v>Low</v>
      </c>
      <c r="Y472" t="str">
        <f t="shared" si="71"/>
        <v>Low</v>
      </c>
    </row>
    <row r="473" spans="1:25" ht="15.75" thickBot="1">
      <c r="A473" s="1">
        <v>472</v>
      </c>
      <c r="B473" s="2">
        <v>40564</v>
      </c>
      <c r="C473" s="1">
        <v>1</v>
      </c>
      <c r="D473" s="1">
        <v>0</v>
      </c>
      <c r="E473" s="1">
        <v>1</v>
      </c>
      <c r="F473" s="1">
        <v>16</v>
      </c>
      <c r="G473" s="3" t="b">
        <v>0</v>
      </c>
      <c r="H473" s="1">
        <v>5</v>
      </c>
      <c r="I473" s="1">
        <v>1</v>
      </c>
      <c r="J473" s="7">
        <v>0.16</v>
      </c>
      <c r="K473" s="8">
        <f>VLOOKUP($A473,'Temprorary Data'!$A:$G,2,FALSE)</f>
        <v>0.13639999999999999</v>
      </c>
      <c r="L473" s="8">
        <f>VLOOKUP($A473,'Temprorary Data'!$A:$G,3,FALSE)</f>
        <v>0.26</v>
      </c>
      <c r="M473" s="8">
        <f>VLOOKUP($A473,'Temprorary Data'!$A:$G,4,FALSE)</f>
        <v>0.35820000000000002</v>
      </c>
      <c r="N473" s="9">
        <f>VLOOKUP($A473,'Temprorary Data'!$A:$G,5,FALSE)</f>
        <v>0</v>
      </c>
      <c r="O473" s="9">
        <f>VLOOKUP($A473,'Temprorary Data'!$A:$G,6,FALSE)</f>
        <v>97</v>
      </c>
      <c r="P473" s="9">
        <f>VLOOKUP($A473,'Temprorary Data'!$A:$G,7,FALSE)</f>
        <v>97</v>
      </c>
      <c r="Q473" t="b">
        <f t="shared" si="63"/>
        <v>1</v>
      </c>
      <c r="R473" t="str">
        <f t="shared" si="64"/>
        <v>January</v>
      </c>
      <c r="S473" t="str">
        <f t="shared" si="65"/>
        <v>Friday</v>
      </c>
      <c r="T473" t="str">
        <f t="shared" si="66"/>
        <v>Weekday</v>
      </c>
      <c r="U473" t="str">
        <f t="shared" si="67"/>
        <v>Spring</v>
      </c>
      <c r="V473" t="str">
        <f t="shared" si="68"/>
        <v>Clear</v>
      </c>
      <c r="W473" t="str">
        <f t="shared" si="69"/>
        <v>Off Peak</v>
      </c>
      <c r="X473" t="str">
        <f t="shared" si="70"/>
        <v>Low</v>
      </c>
      <c r="Y473" t="str">
        <f t="shared" si="71"/>
        <v>Low</v>
      </c>
    </row>
    <row r="474" spans="1:25" ht="15.75" thickBot="1">
      <c r="A474" s="1">
        <v>473</v>
      </c>
      <c r="B474" s="2">
        <v>40564</v>
      </c>
      <c r="C474" s="1">
        <v>1</v>
      </c>
      <c r="D474" s="1">
        <v>0</v>
      </c>
      <c r="E474" s="1">
        <v>1</v>
      </c>
      <c r="F474" s="1">
        <v>17</v>
      </c>
      <c r="G474" s="3" t="b">
        <v>0</v>
      </c>
      <c r="H474" s="1">
        <v>5</v>
      </c>
      <c r="I474" s="1">
        <v>1</v>
      </c>
      <c r="J474" s="7">
        <v>0.14000000000000001</v>
      </c>
      <c r="K474" s="8">
        <f>VLOOKUP($A474,'Temprorary Data'!$A:$G,2,FALSE)</f>
        <v>0.1212</v>
      </c>
      <c r="L474" s="8">
        <f>VLOOKUP($A474,'Temprorary Data'!$A:$G,3,FALSE)</f>
        <v>0.28000000000000003</v>
      </c>
      <c r="M474" s="8">
        <f>VLOOKUP($A474,'Temprorary Data'!$A:$G,4,FALSE)</f>
        <v>0.35820000000000002</v>
      </c>
      <c r="N474" s="9">
        <f>VLOOKUP($A474,'Temprorary Data'!$A:$G,5,FALSE)</f>
        <v>10</v>
      </c>
      <c r="O474" s="9">
        <f>VLOOKUP($A474,'Temprorary Data'!$A:$G,6,FALSE)</f>
        <v>151</v>
      </c>
      <c r="P474" s="9">
        <f>VLOOKUP($A474,'Temprorary Data'!$A:$G,7,FALSE)</f>
        <v>161</v>
      </c>
      <c r="Q474" t="b">
        <f t="shared" si="63"/>
        <v>1</v>
      </c>
      <c r="R474" t="str">
        <f t="shared" si="64"/>
        <v>January</v>
      </c>
      <c r="S474" t="str">
        <f t="shared" si="65"/>
        <v>Friday</v>
      </c>
      <c r="T474" t="str">
        <f t="shared" si="66"/>
        <v>Weekday</v>
      </c>
      <c r="U474" t="str">
        <f t="shared" si="67"/>
        <v>Spring</v>
      </c>
      <c r="V474" t="str">
        <f t="shared" si="68"/>
        <v>Clear</v>
      </c>
      <c r="W474" t="str">
        <f t="shared" si="69"/>
        <v>Evening Peak</v>
      </c>
      <c r="X474" t="str">
        <f t="shared" si="70"/>
        <v>Low</v>
      </c>
      <c r="Y474" t="str">
        <f t="shared" si="71"/>
        <v>Low</v>
      </c>
    </row>
    <row r="475" spans="1:25" ht="15.75" thickBot="1">
      <c r="A475" s="1">
        <v>474</v>
      </c>
      <c r="B475" s="2">
        <v>40564</v>
      </c>
      <c r="C475" s="1">
        <v>1</v>
      </c>
      <c r="D475" s="1">
        <v>0</v>
      </c>
      <c r="E475" s="1">
        <v>1</v>
      </c>
      <c r="F475" s="1">
        <v>18</v>
      </c>
      <c r="G475" s="3" t="b">
        <v>0</v>
      </c>
      <c r="H475" s="1">
        <v>5</v>
      </c>
      <c r="I475" s="1">
        <v>1</v>
      </c>
      <c r="J475" s="7">
        <v>0.12</v>
      </c>
      <c r="K475" s="8">
        <f>VLOOKUP($A475,'Temprorary Data'!$A:$G,2,FALSE)</f>
        <v>0.1212</v>
      </c>
      <c r="L475" s="8">
        <f>VLOOKUP($A475,'Temprorary Data'!$A:$G,3,FALSE)</f>
        <v>0.3</v>
      </c>
      <c r="M475" s="8">
        <f>VLOOKUP($A475,'Temprorary Data'!$A:$G,4,FALSE)</f>
        <v>0.25369999999999998</v>
      </c>
      <c r="N475" s="9">
        <f>VLOOKUP($A475,'Temprorary Data'!$A:$G,5,FALSE)</f>
        <v>1</v>
      </c>
      <c r="O475" s="9">
        <f>VLOOKUP($A475,'Temprorary Data'!$A:$G,6,FALSE)</f>
        <v>119</v>
      </c>
      <c r="P475" s="9">
        <f>VLOOKUP($A475,'Temprorary Data'!$A:$G,7,FALSE)</f>
        <v>120</v>
      </c>
      <c r="Q475" t="b">
        <f t="shared" si="63"/>
        <v>1</v>
      </c>
      <c r="R475" t="str">
        <f t="shared" si="64"/>
        <v>January</v>
      </c>
      <c r="S475" t="str">
        <f t="shared" si="65"/>
        <v>Friday</v>
      </c>
      <c r="T475" t="str">
        <f t="shared" si="66"/>
        <v>Weekday</v>
      </c>
      <c r="U475" t="str">
        <f t="shared" si="67"/>
        <v>Spring</v>
      </c>
      <c r="V475" t="str">
        <f t="shared" si="68"/>
        <v>Clear</v>
      </c>
      <c r="W475" t="str">
        <f t="shared" si="69"/>
        <v>Evening Peak</v>
      </c>
      <c r="X475" t="str">
        <f t="shared" si="70"/>
        <v>Low</v>
      </c>
      <c r="Y475" t="str">
        <f t="shared" si="71"/>
        <v>Low</v>
      </c>
    </row>
    <row r="476" spans="1:25" ht="15.75" thickBot="1">
      <c r="A476" s="1">
        <v>475</v>
      </c>
      <c r="B476" s="2">
        <v>40564</v>
      </c>
      <c r="C476" s="1">
        <v>1</v>
      </c>
      <c r="D476" s="1">
        <v>0</v>
      </c>
      <c r="E476" s="1">
        <v>1</v>
      </c>
      <c r="F476" s="1">
        <v>19</v>
      </c>
      <c r="G476" s="3" t="b">
        <v>0</v>
      </c>
      <c r="H476" s="1">
        <v>5</v>
      </c>
      <c r="I476" s="1">
        <v>1</v>
      </c>
      <c r="J476" s="7">
        <v>0.12</v>
      </c>
      <c r="K476" s="8">
        <f>VLOOKUP($A476,'Temprorary Data'!$A:$G,2,FALSE)</f>
        <v>0.1061</v>
      </c>
      <c r="L476" s="8">
        <f>VLOOKUP($A476,'Temprorary Data'!$A:$G,3,FALSE)</f>
        <v>0.3</v>
      </c>
      <c r="M476" s="8">
        <f>VLOOKUP($A476,'Temprorary Data'!$A:$G,4,FALSE)</f>
        <v>0.32840000000000003</v>
      </c>
      <c r="N476" s="9">
        <f>VLOOKUP($A476,'Temprorary Data'!$A:$G,5,FALSE)</f>
        <v>3</v>
      </c>
      <c r="O476" s="9">
        <f>VLOOKUP($A476,'Temprorary Data'!$A:$G,6,FALSE)</f>
        <v>93</v>
      </c>
      <c r="P476" s="9">
        <f>VLOOKUP($A476,'Temprorary Data'!$A:$G,7,FALSE)</f>
        <v>96</v>
      </c>
      <c r="Q476" t="b">
        <f t="shared" si="63"/>
        <v>1</v>
      </c>
      <c r="R476" t="str">
        <f t="shared" si="64"/>
        <v>January</v>
      </c>
      <c r="S476" t="str">
        <f t="shared" si="65"/>
        <v>Friday</v>
      </c>
      <c r="T476" t="str">
        <f t="shared" si="66"/>
        <v>Weekday</v>
      </c>
      <c r="U476" t="str">
        <f t="shared" si="67"/>
        <v>Spring</v>
      </c>
      <c r="V476" t="str">
        <f t="shared" si="68"/>
        <v>Clear</v>
      </c>
      <c r="W476" t="str">
        <f t="shared" si="69"/>
        <v>Evening Peak</v>
      </c>
      <c r="X476" t="str">
        <f t="shared" si="70"/>
        <v>Low</v>
      </c>
      <c r="Y476" t="str">
        <f t="shared" si="71"/>
        <v>Low</v>
      </c>
    </row>
    <row r="477" spans="1:25" ht="15.75" thickBot="1">
      <c r="A477" s="1">
        <v>476</v>
      </c>
      <c r="B477" s="2">
        <v>40564</v>
      </c>
      <c r="C477" s="1">
        <v>1</v>
      </c>
      <c r="D477" s="1">
        <v>0</v>
      </c>
      <c r="E477" s="1">
        <v>1</v>
      </c>
      <c r="F477" s="1">
        <v>20</v>
      </c>
      <c r="G477" s="3" t="b">
        <v>0</v>
      </c>
      <c r="H477" s="1">
        <v>5</v>
      </c>
      <c r="I477" s="1">
        <v>1</v>
      </c>
      <c r="J477" s="7">
        <v>0.1</v>
      </c>
      <c r="K477" s="8">
        <f>VLOOKUP($A477,'Temprorary Data'!$A:$G,2,FALSE)</f>
        <v>7.5800000000000006E-2</v>
      </c>
      <c r="L477" s="8">
        <f>VLOOKUP($A477,'Temprorary Data'!$A:$G,3,FALSE)</f>
        <v>0.33</v>
      </c>
      <c r="M477" s="8">
        <f>VLOOKUP($A477,'Temprorary Data'!$A:$G,4,FALSE)</f>
        <v>0.41789999999999999</v>
      </c>
      <c r="N477" s="9">
        <f>VLOOKUP($A477,'Temprorary Data'!$A:$G,5,FALSE)</f>
        <v>1</v>
      </c>
      <c r="O477" s="9">
        <f>VLOOKUP($A477,'Temprorary Data'!$A:$G,6,FALSE)</f>
        <v>52</v>
      </c>
      <c r="P477" s="9">
        <f>VLOOKUP($A477,'Temprorary Data'!$A:$G,7,FALSE)</f>
        <v>53</v>
      </c>
      <c r="Q477" t="b">
        <f t="shared" si="63"/>
        <v>1</v>
      </c>
      <c r="R477" t="str">
        <f t="shared" si="64"/>
        <v>January</v>
      </c>
      <c r="S477" t="str">
        <f t="shared" si="65"/>
        <v>Friday</v>
      </c>
      <c r="T477" t="str">
        <f t="shared" si="66"/>
        <v>Weekday</v>
      </c>
      <c r="U477" t="str">
        <f t="shared" si="67"/>
        <v>Spring</v>
      </c>
      <c r="V477" t="str">
        <f t="shared" si="68"/>
        <v>Clear</v>
      </c>
      <c r="W477" t="str">
        <f t="shared" si="69"/>
        <v>Evening Peak</v>
      </c>
      <c r="X477" t="str">
        <f t="shared" si="70"/>
        <v>Low</v>
      </c>
      <c r="Y477" t="str">
        <f t="shared" si="71"/>
        <v>Low</v>
      </c>
    </row>
    <row r="478" spans="1:25" ht="15.75" thickBot="1">
      <c r="A478" s="1">
        <v>477</v>
      </c>
      <c r="B478" s="2">
        <v>40564</v>
      </c>
      <c r="C478" s="1">
        <v>1</v>
      </c>
      <c r="D478" s="1">
        <v>0</v>
      </c>
      <c r="E478" s="1">
        <v>1</v>
      </c>
      <c r="F478" s="1">
        <v>21</v>
      </c>
      <c r="G478" s="3" t="b">
        <v>0</v>
      </c>
      <c r="H478" s="1">
        <v>5</v>
      </c>
      <c r="I478" s="1">
        <v>1</v>
      </c>
      <c r="J478" s="7">
        <v>0.08</v>
      </c>
      <c r="K478" s="8">
        <f>VLOOKUP($A478,'Temprorary Data'!$A:$G,2,FALSE)</f>
        <v>7.5800000000000006E-2</v>
      </c>
      <c r="L478" s="8">
        <f>VLOOKUP($A478,'Temprorary Data'!$A:$G,3,FALSE)</f>
        <v>0.38</v>
      </c>
      <c r="M478" s="8">
        <f>VLOOKUP($A478,'Temprorary Data'!$A:$G,4,FALSE)</f>
        <v>0.28360000000000002</v>
      </c>
      <c r="N478" s="9">
        <f>VLOOKUP($A478,'Temprorary Data'!$A:$G,5,FALSE)</f>
        <v>0</v>
      </c>
      <c r="O478" s="9">
        <f>VLOOKUP($A478,'Temprorary Data'!$A:$G,6,FALSE)</f>
        <v>41</v>
      </c>
      <c r="P478" s="9">
        <f>VLOOKUP($A478,'Temprorary Data'!$A:$G,7,FALSE)</f>
        <v>41</v>
      </c>
      <c r="Q478" t="b">
        <f t="shared" si="63"/>
        <v>1</v>
      </c>
      <c r="R478" t="str">
        <f t="shared" si="64"/>
        <v>January</v>
      </c>
      <c r="S478" t="str">
        <f t="shared" si="65"/>
        <v>Friday</v>
      </c>
      <c r="T478" t="str">
        <f t="shared" si="66"/>
        <v>Weekday</v>
      </c>
      <c r="U478" t="str">
        <f t="shared" si="67"/>
        <v>Spring</v>
      </c>
      <c r="V478" t="str">
        <f t="shared" si="68"/>
        <v>Clear</v>
      </c>
      <c r="W478" t="str">
        <f t="shared" si="69"/>
        <v>Off Peak</v>
      </c>
      <c r="X478" t="str">
        <f t="shared" si="70"/>
        <v>Low</v>
      </c>
      <c r="Y478" t="str">
        <f t="shared" si="71"/>
        <v>Low</v>
      </c>
    </row>
    <row r="479" spans="1:25" ht="15.75" thickBot="1">
      <c r="A479" s="1">
        <v>478</v>
      </c>
      <c r="B479" s="2">
        <v>40564</v>
      </c>
      <c r="C479" s="1">
        <v>1</v>
      </c>
      <c r="D479" s="1">
        <v>0</v>
      </c>
      <c r="E479" s="1">
        <v>1</v>
      </c>
      <c r="F479" s="1">
        <v>22</v>
      </c>
      <c r="G479" s="3" t="b">
        <v>0</v>
      </c>
      <c r="H479" s="1">
        <v>5</v>
      </c>
      <c r="I479" s="1">
        <v>1</v>
      </c>
      <c r="J479" s="7">
        <v>0.06</v>
      </c>
      <c r="K479" s="8">
        <f>VLOOKUP($A479,'Temprorary Data'!$A:$G,2,FALSE)</f>
        <v>3.0300000000000001E-2</v>
      </c>
      <c r="L479" s="8">
        <f>VLOOKUP($A479,'Temprorary Data'!$A:$G,3,FALSE)</f>
        <v>0.41</v>
      </c>
      <c r="M479" s="8">
        <f>VLOOKUP($A479,'Temprorary Data'!$A:$G,4,FALSE)</f>
        <v>0.3881</v>
      </c>
      <c r="N479" s="9">
        <f>VLOOKUP($A479,'Temprorary Data'!$A:$G,5,FALSE)</f>
        <v>1</v>
      </c>
      <c r="O479" s="9">
        <f>VLOOKUP($A479,'Temprorary Data'!$A:$G,6,FALSE)</f>
        <v>33</v>
      </c>
      <c r="P479" s="9">
        <f>VLOOKUP($A479,'Temprorary Data'!$A:$G,7,FALSE)</f>
        <v>34</v>
      </c>
      <c r="Q479" t="b">
        <f t="shared" si="63"/>
        <v>1</v>
      </c>
      <c r="R479" t="str">
        <f t="shared" si="64"/>
        <v>January</v>
      </c>
      <c r="S479" t="str">
        <f t="shared" si="65"/>
        <v>Friday</v>
      </c>
      <c r="T479" t="str">
        <f t="shared" si="66"/>
        <v>Weekday</v>
      </c>
      <c r="U479" t="str">
        <f t="shared" si="67"/>
        <v>Spring</v>
      </c>
      <c r="V479" t="str">
        <f t="shared" si="68"/>
        <v>Clear</v>
      </c>
      <c r="W479" t="str">
        <f t="shared" si="69"/>
        <v>Off Peak</v>
      </c>
      <c r="X479" t="str">
        <f t="shared" si="70"/>
        <v>Low</v>
      </c>
      <c r="Y479" t="str">
        <f t="shared" si="71"/>
        <v>Medium</v>
      </c>
    </row>
    <row r="480" spans="1:25" ht="15.75" thickBot="1">
      <c r="A480" s="1">
        <v>479</v>
      </c>
      <c r="B480" s="2">
        <v>40564</v>
      </c>
      <c r="C480" s="1">
        <v>1</v>
      </c>
      <c r="D480" s="1">
        <v>0</v>
      </c>
      <c r="E480" s="1">
        <v>1</v>
      </c>
      <c r="F480" s="1">
        <v>23</v>
      </c>
      <c r="G480" s="3" t="b">
        <v>0</v>
      </c>
      <c r="H480" s="1">
        <v>5</v>
      </c>
      <c r="I480" s="1">
        <v>1</v>
      </c>
      <c r="J480" s="7">
        <v>0.06</v>
      </c>
      <c r="K480" s="8">
        <f>VLOOKUP($A480,'Temprorary Data'!$A:$G,2,FALSE)</f>
        <v>4.5499999999999999E-2</v>
      </c>
      <c r="L480" s="8">
        <f>VLOOKUP($A480,'Temprorary Data'!$A:$G,3,FALSE)</f>
        <v>0.38</v>
      </c>
      <c r="M480" s="8">
        <f>VLOOKUP($A480,'Temprorary Data'!$A:$G,4,FALSE)</f>
        <v>0.32840000000000003</v>
      </c>
      <c r="N480" s="9">
        <f>VLOOKUP($A480,'Temprorary Data'!$A:$G,5,FALSE)</f>
        <v>0</v>
      </c>
      <c r="O480" s="9">
        <f>VLOOKUP($A480,'Temprorary Data'!$A:$G,6,FALSE)</f>
        <v>27</v>
      </c>
      <c r="P480" s="9">
        <f>VLOOKUP($A480,'Temprorary Data'!$A:$G,7,FALSE)</f>
        <v>27</v>
      </c>
      <c r="Q480" t="b">
        <f t="shared" si="63"/>
        <v>1</v>
      </c>
      <c r="R480" t="str">
        <f t="shared" si="64"/>
        <v>January</v>
      </c>
      <c r="S480" t="str">
        <f t="shared" si="65"/>
        <v>Friday</v>
      </c>
      <c r="T480" t="str">
        <f t="shared" si="66"/>
        <v>Weekday</v>
      </c>
      <c r="U480" t="str">
        <f t="shared" si="67"/>
        <v>Spring</v>
      </c>
      <c r="V480" t="str">
        <f t="shared" si="68"/>
        <v>Clear</v>
      </c>
      <c r="W480" t="str">
        <f t="shared" si="69"/>
        <v>Off Peak</v>
      </c>
      <c r="X480" t="str">
        <f t="shared" si="70"/>
        <v>Low</v>
      </c>
      <c r="Y480" t="str">
        <f t="shared" si="71"/>
        <v>Low</v>
      </c>
    </row>
    <row r="481" spans="1:25" ht="15.75" thickBot="1">
      <c r="A481" s="1">
        <v>480</v>
      </c>
      <c r="B481" s="2">
        <v>40565</v>
      </c>
      <c r="C481" s="1">
        <v>1</v>
      </c>
      <c r="D481" s="1">
        <v>0</v>
      </c>
      <c r="E481" s="1">
        <v>1</v>
      </c>
      <c r="F481" s="1">
        <v>0</v>
      </c>
      <c r="G481" s="3" t="b">
        <v>0</v>
      </c>
      <c r="H481" s="1">
        <v>6</v>
      </c>
      <c r="I481" s="1">
        <v>1</v>
      </c>
      <c r="J481" s="7">
        <v>0.04</v>
      </c>
      <c r="K481" s="8">
        <f>VLOOKUP($A481,'Temprorary Data'!$A:$G,2,FALSE)</f>
        <v>3.0300000000000001E-2</v>
      </c>
      <c r="L481" s="8">
        <f>VLOOKUP($A481,'Temprorary Data'!$A:$G,3,FALSE)</f>
        <v>0.45</v>
      </c>
      <c r="M481" s="8">
        <f>VLOOKUP($A481,'Temprorary Data'!$A:$G,4,FALSE)</f>
        <v>0.25369999999999998</v>
      </c>
      <c r="N481" s="9">
        <f>VLOOKUP($A481,'Temprorary Data'!$A:$G,5,FALSE)</f>
        <v>0</v>
      </c>
      <c r="O481" s="9">
        <f>VLOOKUP($A481,'Temprorary Data'!$A:$G,6,FALSE)</f>
        <v>13</v>
      </c>
      <c r="P481" s="9">
        <f>VLOOKUP($A481,'Temprorary Data'!$A:$G,7,FALSE)</f>
        <v>13</v>
      </c>
      <c r="Q481" t="b">
        <f t="shared" si="63"/>
        <v>1</v>
      </c>
      <c r="R481" t="str">
        <f t="shared" si="64"/>
        <v>January</v>
      </c>
      <c r="S481" t="str">
        <f t="shared" si="65"/>
        <v>Saturday</v>
      </c>
      <c r="T481" t="str">
        <f t="shared" si="66"/>
        <v>Weekend</v>
      </c>
      <c r="U481" t="str">
        <f t="shared" si="67"/>
        <v>Spring</v>
      </c>
      <c r="V481" t="str">
        <f t="shared" si="68"/>
        <v>Clear</v>
      </c>
      <c r="W481" t="str">
        <f t="shared" si="69"/>
        <v>Off Peak</v>
      </c>
      <c r="X481" t="str">
        <f t="shared" si="70"/>
        <v>Low</v>
      </c>
      <c r="Y481" t="str">
        <f t="shared" si="71"/>
        <v>Medium</v>
      </c>
    </row>
    <row r="482" spans="1:25" ht="15.75" thickBot="1">
      <c r="A482" s="1">
        <v>481</v>
      </c>
      <c r="B482" s="2">
        <v>40565</v>
      </c>
      <c r="C482" s="1">
        <v>1</v>
      </c>
      <c r="D482" s="1">
        <v>0</v>
      </c>
      <c r="E482" s="1">
        <v>1</v>
      </c>
      <c r="F482" s="1">
        <v>1</v>
      </c>
      <c r="G482" s="3" t="b">
        <v>0</v>
      </c>
      <c r="H482" s="1">
        <v>6</v>
      </c>
      <c r="I482" s="1">
        <v>2</v>
      </c>
      <c r="J482" s="7">
        <v>0.04</v>
      </c>
      <c r="K482" s="8">
        <f>VLOOKUP($A482,'Temprorary Data'!$A:$G,2,FALSE)</f>
        <v>0</v>
      </c>
      <c r="L482" s="8">
        <f>VLOOKUP($A482,'Temprorary Data'!$A:$G,3,FALSE)</f>
        <v>0.41</v>
      </c>
      <c r="M482" s="8">
        <f>VLOOKUP($A482,'Temprorary Data'!$A:$G,4,FALSE)</f>
        <v>0.3881</v>
      </c>
      <c r="N482" s="9">
        <f>VLOOKUP($A482,'Temprorary Data'!$A:$G,5,FALSE)</f>
        <v>3</v>
      </c>
      <c r="O482" s="9">
        <f>VLOOKUP($A482,'Temprorary Data'!$A:$G,6,FALSE)</f>
        <v>9</v>
      </c>
      <c r="P482" s="9">
        <f>VLOOKUP($A482,'Temprorary Data'!$A:$G,7,FALSE)</f>
        <v>12</v>
      </c>
      <c r="Q482" t="b">
        <f t="shared" si="63"/>
        <v>1</v>
      </c>
      <c r="R482" t="str">
        <f t="shared" si="64"/>
        <v>January</v>
      </c>
      <c r="S482" t="str">
        <f t="shared" si="65"/>
        <v>Saturday</v>
      </c>
      <c r="T482" t="str">
        <f t="shared" si="66"/>
        <v>Weekend</v>
      </c>
      <c r="U482" t="str">
        <f t="shared" si="67"/>
        <v>Spring</v>
      </c>
      <c r="V482" t="str">
        <f t="shared" si="68"/>
        <v>Mist</v>
      </c>
      <c r="W482" t="str">
        <f t="shared" si="69"/>
        <v>Off Peak</v>
      </c>
      <c r="X482" t="str">
        <f t="shared" si="70"/>
        <v>Low</v>
      </c>
      <c r="Y482" t="str">
        <f t="shared" si="71"/>
        <v>Medium</v>
      </c>
    </row>
    <row r="483" spans="1:25" ht="15.75" thickBot="1">
      <c r="A483" s="1">
        <v>482</v>
      </c>
      <c r="B483" s="2">
        <v>40565</v>
      </c>
      <c r="C483" s="1">
        <v>1</v>
      </c>
      <c r="D483" s="1">
        <v>0</v>
      </c>
      <c r="E483" s="1">
        <v>1</v>
      </c>
      <c r="F483" s="1">
        <v>2</v>
      </c>
      <c r="G483" s="3" t="b">
        <v>0</v>
      </c>
      <c r="H483" s="1">
        <v>6</v>
      </c>
      <c r="I483" s="1">
        <v>2</v>
      </c>
      <c r="J483" s="7">
        <v>0.04</v>
      </c>
      <c r="K483" s="8">
        <f>VLOOKUP($A483,'Temprorary Data'!$A:$G,2,FALSE)</f>
        <v>3.0300000000000001E-2</v>
      </c>
      <c r="L483" s="8">
        <f>VLOOKUP($A483,'Temprorary Data'!$A:$G,3,FALSE)</f>
        <v>0.41</v>
      </c>
      <c r="M483" s="8">
        <f>VLOOKUP($A483,'Temprorary Data'!$A:$G,4,FALSE)</f>
        <v>0.25369999999999998</v>
      </c>
      <c r="N483" s="9">
        <f>VLOOKUP($A483,'Temprorary Data'!$A:$G,5,FALSE)</f>
        <v>0</v>
      </c>
      <c r="O483" s="9">
        <f>VLOOKUP($A483,'Temprorary Data'!$A:$G,6,FALSE)</f>
        <v>11</v>
      </c>
      <c r="P483" s="9">
        <f>VLOOKUP($A483,'Temprorary Data'!$A:$G,7,FALSE)</f>
        <v>11</v>
      </c>
      <c r="Q483" t="b">
        <f t="shared" si="63"/>
        <v>1</v>
      </c>
      <c r="R483" t="str">
        <f t="shared" si="64"/>
        <v>January</v>
      </c>
      <c r="S483" t="str">
        <f t="shared" si="65"/>
        <v>Saturday</v>
      </c>
      <c r="T483" t="str">
        <f t="shared" si="66"/>
        <v>Weekend</v>
      </c>
      <c r="U483" t="str">
        <f t="shared" si="67"/>
        <v>Spring</v>
      </c>
      <c r="V483" t="str">
        <f t="shared" si="68"/>
        <v>Mist</v>
      </c>
      <c r="W483" t="str">
        <f t="shared" si="69"/>
        <v>Off Peak</v>
      </c>
      <c r="X483" t="str">
        <f t="shared" si="70"/>
        <v>Low</v>
      </c>
      <c r="Y483" t="str">
        <f t="shared" si="71"/>
        <v>Medium</v>
      </c>
    </row>
    <row r="484" spans="1:25" ht="15.75" thickBot="1">
      <c r="A484" s="1">
        <v>483</v>
      </c>
      <c r="B484" s="2">
        <v>40565</v>
      </c>
      <c r="C484" s="1">
        <v>1</v>
      </c>
      <c r="D484" s="1">
        <v>0</v>
      </c>
      <c r="E484" s="1">
        <v>1</v>
      </c>
      <c r="F484" s="1">
        <v>3</v>
      </c>
      <c r="G484" s="3" t="b">
        <v>0</v>
      </c>
      <c r="H484" s="1">
        <v>6</v>
      </c>
      <c r="I484" s="1">
        <v>2</v>
      </c>
      <c r="J484" s="7">
        <v>0.04</v>
      </c>
      <c r="K484" s="8">
        <f>VLOOKUP($A484,'Temprorary Data'!$A:$G,2,FALSE)</f>
        <v>3.0300000000000001E-2</v>
      </c>
      <c r="L484" s="8">
        <f>VLOOKUP($A484,'Temprorary Data'!$A:$G,3,FALSE)</f>
        <v>0.41</v>
      </c>
      <c r="M484" s="8">
        <f>VLOOKUP($A484,'Temprorary Data'!$A:$G,4,FALSE)</f>
        <v>0.28360000000000002</v>
      </c>
      <c r="N484" s="9">
        <f>VLOOKUP($A484,'Temprorary Data'!$A:$G,5,FALSE)</f>
        <v>1</v>
      </c>
      <c r="O484" s="9">
        <f>VLOOKUP($A484,'Temprorary Data'!$A:$G,6,FALSE)</f>
        <v>6</v>
      </c>
      <c r="P484" s="9">
        <f>VLOOKUP($A484,'Temprorary Data'!$A:$G,7,FALSE)</f>
        <v>7</v>
      </c>
      <c r="Q484" t="b">
        <f t="shared" si="63"/>
        <v>1</v>
      </c>
      <c r="R484" t="str">
        <f t="shared" si="64"/>
        <v>January</v>
      </c>
      <c r="S484" t="str">
        <f t="shared" si="65"/>
        <v>Saturday</v>
      </c>
      <c r="T484" t="str">
        <f t="shared" si="66"/>
        <v>Weekend</v>
      </c>
      <c r="U484" t="str">
        <f t="shared" si="67"/>
        <v>Spring</v>
      </c>
      <c r="V484" t="str">
        <f t="shared" si="68"/>
        <v>Mist</v>
      </c>
      <c r="W484" t="str">
        <f t="shared" si="69"/>
        <v>Off Peak</v>
      </c>
      <c r="X484" t="str">
        <f t="shared" si="70"/>
        <v>Low</v>
      </c>
      <c r="Y484" t="str">
        <f t="shared" si="71"/>
        <v>Medium</v>
      </c>
    </row>
    <row r="485" spans="1:25" ht="15.75" thickBot="1">
      <c r="A485" s="1">
        <v>484</v>
      </c>
      <c r="B485" s="2">
        <v>40565</v>
      </c>
      <c r="C485" s="1">
        <v>1</v>
      </c>
      <c r="D485" s="1">
        <v>0</v>
      </c>
      <c r="E485" s="1">
        <v>1</v>
      </c>
      <c r="F485" s="1">
        <v>4</v>
      </c>
      <c r="G485" s="3" t="b">
        <v>0</v>
      </c>
      <c r="H485" s="1">
        <v>6</v>
      </c>
      <c r="I485" s="1">
        <v>2</v>
      </c>
      <c r="J485" s="7">
        <v>0.02</v>
      </c>
      <c r="K485" s="8">
        <f>VLOOKUP($A485,'Temprorary Data'!$A:$G,2,FALSE)</f>
        <v>1.52E-2</v>
      </c>
      <c r="L485" s="8">
        <f>VLOOKUP($A485,'Temprorary Data'!$A:$G,3,FALSE)</f>
        <v>0.48</v>
      </c>
      <c r="M485" s="8">
        <f>VLOOKUP($A485,'Temprorary Data'!$A:$G,4,FALSE)</f>
        <v>0.29849999999999999</v>
      </c>
      <c r="N485" s="9">
        <f>VLOOKUP($A485,'Temprorary Data'!$A:$G,5,FALSE)</f>
        <v>0</v>
      </c>
      <c r="O485" s="9">
        <f>VLOOKUP($A485,'Temprorary Data'!$A:$G,6,FALSE)</f>
        <v>3</v>
      </c>
      <c r="P485" s="9">
        <f>VLOOKUP($A485,'Temprorary Data'!$A:$G,7,FALSE)</f>
        <v>3</v>
      </c>
      <c r="Q485" t="b">
        <f t="shared" si="63"/>
        <v>1</v>
      </c>
      <c r="R485" t="str">
        <f t="shared" si="64"/>
        <v>January</v>
      </c>
      <c r="S485" t="str">
        <f t="shared" si="65"/>
        <v>Saturday</v>
      </c>
      <c r="T485" t="str">
        <f t="shared" si="66"/>
        <v>Weekend</v>
      </c>
      <c r="U485" t="str">
        <f t="shared" si="67"/>
        <v>Spring</v>
      </c>
      <c r="V485" t="str">
        <f t="shared" si="68"/>
        <v>Mist</v>
      </c>
      <c r="W485" t="str">
        <f t="shared" si="69"/>
        <v>Off Peak</v>
      </c>
      <c r="X485" t="str">
        <f t="shared" si="70"/>
        <v>Low</v>
      </c>
      <c r="Y485" t="str">
        <f t="shared" si="71"/>
        <v>Medium</v>
      </c>
    </row>
    <row r="486" spans="1:25" ht="15.75" thickBot="1">
      <c r="A486" s="1">
        <v>485</v>
      </c>
      <c r="B486" s="2">
        <v>40565</v>
      </c>
      <c r="C486" s="1">
        <v>1</v>
      </c>
      <c r="D486" s="1">
        <v>0</v>
      </c>
      <c r="E486" s="1">
        <v>1</v>
      </c>
      <c r="F486" s="1">
        <v>6</v>
      </c>
      <c r="G486" s="3" t="b">
        <v>0</v>
      </c>
      <c r="H486" s="1">
        <v>6</v>
      </c>
      <c r="I486" s="1">
        <v>2</v>
      </c>
      <c r="J486" s="7">
        <v>0.02</v>
      </c>
      <c r="K486" s="8">
        <f>VLOOKUP($A486,'Temprorary Data'!$A:$G,2,FALSE)</f>
        <v>3.0300000000000001E-2</v>
      </c>
      <c r="L486" s="8">
        <f>VLOOKUP($A486,'Temprorary Data'!$A:$G,3,FALSE)</f>
        <v>0.44</v>
      </c>
      <c r="M486" s="8">
        <f>VLOOKUP($A486,'Temprorary Data'!$A:$G,4,FALSE)</f>
        <v>0.22389999999999999</v>
      </c>
      <c r="N486" s="9">
        <f>VLOOKUP($A486,'Temprorary Data'!$A:$G,5,FALSE)</f>
        <v>0</v>
      </c>
      <c r="O486" s="9">
        <f>VLOOKUP($A486,'Temprorary Data'!$A:$G,6,FALSE)</f>
        <v>2</v>
      </c>
      <c r="P486" s="9">
        <f>VLOOKUP($A486,'Temprorary Data'!$A:$G,7,FALSE)</f>
        <v>2</v>
      </c>
      <c r="Q486" t="b">
        <f t="shared" si="63"/>
        <v>1</v>
      </c>
      <c r="R486" t="str">
        <f t="shared" si="64"/>
        <v>January</v>
      </c>
      <c r="S486" t="str">
        <f t="shared" si="65"/>
        <v>Saturday</v>
      </c>
      <c r="T486" t="str">
        <f t="shared" si="66"/>
        <v>Weekend</v>
      </c>
      <c r="U486" t="str">
        <f t="shared" si="67"/>
        <v>Spring</v>
      </c>
      <c r="V486" t="str">
        <f t="shared" si="68"/>
        <v>Mist</v>
      </c>
      <c r="W486" t="str">
        <f t="shared" si="69"/>
        <v>Off Peak</v>
      </c>
      <c r="X486" t="str">
        <f t="shared" si="70"/>
        <v>Low</v>
      </c>
      <c r="Y486" t="str">
        <f t="shared" si="71"/>
        <v>Medium</v>
      </c>
    </row>
    <row r="487" spans="1:25" ht="15.75" thickBot="1">
      <c r="A487" s="1">
        <v>486</v>
      </c>
      <c r="B487" s="2">
        <v>40565</v>
      </c>
      <c r="C487" s="1">
        <v>1</v>
      </c>
      <c r="D487" s="1">
        <v>0</v>
      </c>
      <c r="E487" s="1">
        <v>1</v>
      </c>
      <c r="F487" s="1">
        <v>7</v>
      </c>
      <c r="G487" s="3" t="b">
        <v>0</v>
      </c>
      <c r="H487" s="1">
        <v>6</v>
      </c>
      <c r="I487" s="1">
        <v>1</v>
      </c>
      <c r="J487" s="7">
        <v>0.02</v>
      </c>
      <c r="K487" s="8">
        <f>VLOOKUP($A487,'Temprorary Data'!$A:$G,2,FALSE)</f>
        <v>1.52E-2</v>
      </c>
      <c r="L487" s="8">
        <f>VLOOKUP($A487,'Temprorary Data'!$A:$G,3,FALSE)</f>
        <v>0.44</v>
      </c>
      <c r="M487" s="8">
        <f>VLOOKUP($A487,'Temprorary Data'!$A:$G,4,FALSE)</f>
        <v>0.28360000000000002</v>
      </c>
      <c r="N487" s="9">
        <f>VLOOKUP($A487,'Temprorary Data'!$A:$G,5,FALSE)</f>
        <v>0</v>
      </c>
      <c r="O487" s="9">
        <f>VLOOKUP($A487,'Temprorary Data'!$A:$G,6,FALSE)</f>
        <v>8</v>
      </c>
      <c r="P487" s="9">
        <f>VLOOKUP($A487,'Temprorary Data'!$A:$G,7,FALSE)</f>
        <v>8</v>
      </c>
      <c r="Q487" t="b">
        <f t="shared" si="63"/>
        <v>1</v>
      </c>
      <c r="R487" t="str">
        <f t="shared" si="64"/>
        <v>January</v>
      </c>
      <c r="S487" t="str">
        <f t="shared" si="65"/>
        <v>Saturday</v>
      </c>
      <c r="T487" t="str">
        <f t="shared" si="66"/>
        <v>Weekend</v>
      </c>
      <c r="U487" t="str">
        <f t="shared" si="67"/>
        <v>Spring</v>
      </c>
      <c r="V487" t="str">
        <f t="shared" si="68"/>
        <v>Clear</v>
      </c>
      <c r="W487" t="str">
        <f t="shared" si="69"/>
        <v>Morning Peak</v>
      </c>
      <c r="X487" t="str">
        <f t="shared" si="70"/>
        <v>Low</v>
      </c>
      <c r="Y487" t="str">
        <f t="shared" si="71"/>
        <v>Medium</v>
      </c>
    </row>
    <row r="488" spans="1:25" ht="15.75" thickBot="1">
      <c r="A488" s="1">
        <v>487</v>
      </c>
      <c r="B488" s="2">
        <v>40565</v>
      </c>
      <c r="C488" s="1">
        <v>1</v>
      </c>
      <c r="D488" s="1">
        <v>0</v>
      </c>
      <c r="E488" s="1">
        <v>1</v>
      </c>
      <c r="F488" s="1">
        <v>8</v>
      </c>
      <c r="G488" s="3" t="b">
        <v>0</v>
      </c>
      <c r="H488" s="1">
        <v>6</v>
      </c>
      <c r="I488" s="1">
        <v>1</v>
      </c>
      <c r="J488" s="7">
        <v>0.02</v>
      </c>
      <c r="K488" s="8">
        <f>VLOOKUP($A488,'Temprorary Data'!$A:$G,2,FALSE)</f>
        <v>0</v>
      </c>
      <c r="L488" s="8">
        <f>VLOOKUP($A488,'Temprorary Data'!$A:$G,3,FALSE)</f>
        <v>0.44</v>
      </c>
      <c r="M488" s="8">
        <f>VLOOKUP($A488,'Temprorary Data'!$A:$G,4,FALSE)</f>
        <v>0.32840000000000003</v>
      </c>
      <c r="N488" s="9">
        <f>VLOOKUP($A488,'Temprorary Data'!$A:$G,5,FALSE)</f>
        <v>1</v>
      </c>
      <c r="O488" s="9">
        <f>VLOOKUP($A488,'Temprorary Data'!$A:$G,6,FALSE)</f>
        <v>26</v>
      </c>
      <c r="P488" s="9">
        <f>VLOOKUP($A488,'Temprorary Data'!$A:$G,7,FALSE)</f>
        <v>27</v>
      </c>
      <c r="Q488" t="b">
        <f t="shared" si="63"/>
        <v>1</v>
      </c>
      <c r="R488" t="str">
        <f t="shared" si="64"/>
        <v>January</v>
      </c>
      <c r="S488" t="str">
        <f t="shared" si="65"/>
        <v>Saturday</v>
      </c>
      <c r="T488" t="str">
        <f t="shared" si="66"/>
        <v>Weekend</v>
      </c>
      <c r="U488" t="str">
        <f t="shared" si="67"/>
        <v>Spring</v>
      </c>
      <c r="V488" t="str">
        <f t="shared" si="68"/>
        <v>Clear</v>
      </c>
      <c r="W488" t="str">
        <f t="shared" si="69"/>
        <v>Morning Peak</v>
      </c>
      <c r="X488" t="str">
        <f t="shared" si="70"/>
        <v>Low</v>
      </c>
      <c r="Y488" t="str">
        <f t="shared" si="71"/>
        <v>Medium</v>
      </c>
    </row>
    <row r="489" spans="1:25" ht="15.75" thickBot="1">
      <c r="A489" s="1">
        <v>488</v>
      </c>
      <c r="B489" s="2">
        <v>40565</v>
      </c>
      <c r="C489" s="1">
        <v>1</v>
      </c>
      <c r="D489" s="1">
        <v>0</v>
      </c>
      <c r="E489" s="1">
        <v>1</v>
      </c>
      <c r="F489" s="1">
        <v>9</v>
      </c>
      <c r="G489" s="3" t="b">
        <v>0</v>
      </c>
      <c r="H489" s="1">
        <v>6</v>
      </c>
      <c r="I489" s="1">
        <v>1</v>
      </c>
      <c r="J489" s="7">
        <v>0.04</v>
      </c>
      <c r="K489" s="8">
        <f>VLOOKUP($A489,'Temprorary Data'!$A:$G,2,FALSE)</f>
        <v>3.0300000000000001E-2</v>
      </c>
      <c r="L489" s="8">
        <f>VLOOKUP($A489,'Temprorary Data'!$A:$G,3,FALSE)</f>
        <v>0.41</v>
      </c>
      <c r="M489" s="8">
        <f>VLOOKUP($A489,'Temprorary Data'!$A:$G,4,FALSE)</f>
        <v>0.25369999999999998</v>
      </c>
      <c r="N489" s="9">
        <f>VLOOKUP($A489,'Temprorary Data'!$A:$G,5,FALSE)</f>
        <v>3</v>
      </c>
      <c r="O489" s="9">
        <f>VLOOKUP($A489,'Temprorary Data'!$A:$G,6,FALSE)</f>
        <v>37</v>
      </c>
      <c r="P489" s="9">
        <f>VLOOKUP($A489,'Temprorary Data'!$A:$G,7,FALSE)</f>
        <v>40</v>
      </c>
      <c r="Q489" t="b">
        <f t="shared" si="63"/>
        <v>1</v>
      </c>
      <c r="R489" t="str">
        <f t="shared" si="64"/>
        <v>January</v>
      </c>
      <c r="S489" t="str">
        <f t="shared" si="65"/>
        <v>Saturday</v>
      </c>
      <c r="T489" t="str">
        <f t="shared" si="66"/>
        <v>Weekend</v>
      </c>
      <c r="U489" t="str">
        <f t="shared" si="67"/>
        <v>Spring</v>
      </c>
      <c r="V489" t="str">
        <f t="shared" si="68"/>
        <v>Clear</v>
      </c>
      <c r="W489" t="str">
        <f t="shared" si="69"/>
        <v>Morning Peak</v>
      </c>
      <c r="X489" t="str">
        <f t="shared" si="70"/>
        <v>Low</v>
      </c>
      <c r="Y489" t="str">
        <f t="shared" si="71"/>
        <v>Medium</v>
      </c>
    </row>
    <row r="490" spans="1:25" ht="15.75" thickBot="1">
      <c r="A490" s="1">
        <v>489</v>
      </c>
      <c r="B490" s="2">
        <v>40565</v>
      </c>
      <c r="C490" s="1">
        <v>1</v>
      </c>
      <c r="D490" s="1">
        <v>0</v>
      </c>
      <c r="E490" s="1">
        <v>1</v>
      </c>
      <c r="F490" s="1">
        <v>10</v>
      </c>
      <c r="G490" s="3" t="b">
        <v>0</v>
      </c>
      <c r="H490" s="1">
        <v>6</v>
      </c>
      <c r="I490" s="1">
        <v>2</v>
      </c>
      <c r="J490" s="7">
        <v>0.04</v>
      </c>
      <c r="K490" s="8">
        <f>VLOOKUP($A490,'Temprorary Data'!$A:$G,2,FALSE)</f>
        <v>6.0600000000000001E-2</v>
      </c>
      <c r="L490" s="8">
        <f>VLOOKUP($A490,'Temprorary Data'!$A:$G,3,FALSE)</f>
        <v>0.41</v>
      </c>
      <c r="M490" s="8">
        <f>VLOOKUP($A490,'Temprorary Data'!$A:$G,4,FALSE)</f>
        <v>0.16420000000000001</v>
      </c>
      <c r="N490" s="9">
        <f>VLOOKUP($A490,'Temprorary Data'!$A:$G,5,FALSE)</f>
        <v>3</v>
      </c>
      <c r="O490" s="9">
        <f>VLOOKUP($A490,'Temprorary Data'!$A:$G,6,FALSE)</f>
        <v>50</v>
      </c>
      <c r="P490" s="9">
        <f>VLOOKUP($A490,'Temprorary Data'!$A:$G,7,FALSE)</f>
        <v>53</v>
      </c>
      <c r="Q490" t="b">
        <f t="shared" si="63"/>
        <v>1</v>
      </c>
      <c r="R490" t="str">
        <f t="shared" si="64"/>
        <v>January</v>
      </c>
      <c r="S490" t="str">
        <f t="shared" si="65"/>
        <v>Saturday</v>
      </c>
      <c r="T490" t="str">
        <f t="shared" si="66"/>
        <v>Weekend</v>
      </c>
      <c r="U490" t="str">
        <f t="shared" si="67"/>
        <v>Spring</v>
      </c>
      <c r="V490" t="str">
        <f t="shared" si="68"/>
        <v>Mist</v>
      </c>
      <c r="W490" t="str">
        <f t="shared" si="69"/>
        <v>Off Peak</v>
      </c>
      <c r="X490" t="str">
        <f t="shared" si="70"/>
        <v>Low</v>
      </c>
      <c r="Y490" t="str">
        <f t="shared" si="71"/>
        <v>Medium</v>
      </c>
    </row>
    <row r="491" spans="1:25" ht="15.75" thickBot="1">
      <c r="A491" s="1">
        <v>490</v>
      </c>
      <c r="B491" s="2">
        <v>40565</v>
      </c>
      <c r="C491" s="1">
        <v>1</v>
      </c>
      <c r="D491" s="1">
        <v>0</v>
      </c>
      <c r="E491" s="1">
        <v>1</v>
      </c>
      <c r="F491" s="1">
        <v>11</v>
      </c>
      <c r="G491" s="3" t="b">
        <v>0</v>
      </c>
      <c r="H491" s="1">
        <v>6</v>
      </c>
      <c r="I491" s="1">
        <v>2</v>
      </c>
      <c r="J491" s="7">
        <v>0.06</v>
      </c>
      <c r="K491" s="8">
        <f>VLOOKUP($A491,'Temprorary Data'!$A:$G,2,FALSE)</f>
        <v>7.5800000000000006E-2</v>
      </c>
      <c r="L491" s="8">
        <f>VLOOKUP($A491,'Temprorary Data'!$A:$G,3,FALSE)</f>
        <v>0.38</v>
      </c>
      <c r="M491" s="8">
        <f>VLOOKUP($A491,'Temprorary Data'!$A:$G,4,FALSE)</f>
        <v>0.1343</v>
      </c>
      <c r="N491" s="9">
        <f>VLOOKUP($A491,'Temprorary Data'!$A:$G,5,FALSE)</f>
        <v>4</v>
      </c>
      <c r="O491" s="9">
        <f>VLOOKUP($A491,'Temprorary Data'!$A:$G,6,FALSE)</f>
        <v>59</v>
      </c>
      <c r="P491" s="9">
        <f>VLOOKUP($A491,'Temprorary Data'!$A:$G,7,FALSE)</f>
        <v>63</v>
      </c>
      <c r="Q491" t="b">
        <f t="shared" si="63"/>
        <v>1</v>
      </c>
      <c r="R491" t="str">
        <f t="shared" si="64"/>
        <v>January</v>
      </c>
      <c r="S491" t="str">
        <f t="shared" si="65"/>
        <v>Saturday</v>
      </c>
      <c r="T491" t="str">
        <f t="shared" si="66"/>
        <v>Weekend</v>
      </c>
      <c r="U491" t="str">
        <f t="shared" si="67"/>
        <v>Spring</v>
      </c>
      <c r="V491" t="str">
        <f t="shared" si="68"/>
        <v>Mist</v>
      </c>
      <c r="W491" t="str">
        <f t="shared" si="69"/>
        <v>Off Peak</v>
      </c>
      <c r="X491" t="str">
        <f t="shared" si="70"/>
        <v>Low</v>
      </c>
      <c r="Y491" t="str">
        <f t="shared" si="71"/>
        <v>Low</v>
      </c>
    </row>
    <row r="492" spans="1:25" ht="15.75" thickBot="1">
      <c r="A492" s="1">
        <v>491</v>
      </c>
      <c r="B492" s="2">
        <v>40565</v>
      </c>
      <c r="C492" s="1">
        <v>1</v>
      </c>
      <c r="D492" s="1">
        <v>0</v>
      </c>
      <c r="E492" s="1">
        <v>1</v>
      </c>
      <c r="F492" s="1">
        <v>12</v>
      </c>
      <c r="G492" s="3" t="b">
        <v>0</v>
      </c>
      <c r="H492" s="1">
        <v>6</v>
      </c>
      <c r="I492" s="1">
        <v>2</v>
      </c>
      <c r="J492" s="7">
        <v>0.06</v>
      </c>
      <c r="K492" s="8">
        <f>VLOOKUP($A492,'Temprorary Data'!$A:$G,2,FALSE)</f>
        <v>0.1061</v>
      </c>
      <c r="L492" s="8">
        <f>VLOOKUP($A492,'Temprorary Data'!$A:$G,3,FALSE)</f>
        <v>0.38</v>
      </c>
      <c r="M492" s="8">
        <f>VLOOKUP($A492,'Temprorary Data'!$A:$G,4,FALSE)</f>
        <v>0.1045</v>
      </c>
      <c r="N492" s="9">
        <f>VLOOKUP($A492,'Temprorary Data'!$A:$G,5,FALSE)</f>
        <v>10</v>
      </c>
      <c r="O492" s="9">
        <f>VLOOKUP($A492,'Temprorary Data'!$A:$G,6,FALSE)</f>
        <v>60</v>
      </c>
      <c r="P492" s="9">
        <f>VLOOKUP($A492,'Temprorary Data'!$A:$G,7,FALSE)</f>
        <v>70</v>
      </c>
      <c r="Q492" t="b">
        <f t="shared" si="63"/>
        <v>1</v>
      </c>
      <c r="R492" t="str">
        <f t="shared" si="64"/>
        <v>January</v>
      </c>
      <c r="S492" t="str">
        <f t="shared" si="65"/>
        <v>Saturday</v>
      </c>
      <c r="T492" t="str">
        <f t="shared" si="66"/>
        <v>Weekend</v>
      </c>
      <c r="U492" t="str">
        <f t="shared" si="67"/>
        <v>Spring</v>
      </c>
      <c r="V492" t="str">
        <f t="shared" si="68"/>
        <v>Mist</v>
      </c>
      <c r="W492" t="str">
        <f t="shared" si="69"/>
        <v>Off Peak</v>
      </c>
      <c r="X492" t="str">
        <f t="shared" si="70"/>
        <v>Low</v>
      </c>
      <c r="Y492" t="str">
        <f t="shared" si="71"/>
        <v>Low</v>
      </c>
    </row>
    <row r="493" spans="1:25" ht="15.75" thickBot="1">
      <c r="A493" s="1">
        <v>492</v>
      </c>
      <c r="B493" s="2">
        <v>40565</v>
      </c>
      <c r="C493" s="1">
        <v>1</v>
      </c>
      <c r="D493" s="1">
        <v>0</v>
      </c>
      <c r="E493" s="1">
        <v>1</v>
      </c>
      <c r="F493" s="1">
        <v>13</v>
      </c>
      <c r="G493" s="3" t="b">
        <v>0</v>
      </c>
      <c r="H493" s="1">
        <v>6</v>
      </c>
      <c r="I493" s="1">
        <v>1</v>
      </c>
      <c r="J493" s="7">
        <v>0.08</v>
      </c>
      <c r="K493" s="8">
        <f>VLOOKUP($A493,'Temprorary Data'!$A:$G,2,FALSE)</f>
        <v>0.16669999999999999</v>
      </c>
      <c r="L493" s="8">
        <f>VLOOKUP($A493,'Temprorary Data'!$A:$G,3,FALSE)</f>
        <v>0.35</v>
      </c>
      <c r="M493" s="8">
        <f>VLOOKUP($A493,'Temprorary Data'!$A:$G,4,FALSE)</f>
        <v>0</v>
      </c>
      <c r="N493" s="9">
        <f>VLOOKUP($A493,'Temprorary Data'!$A:$G,5,FALSE)</f>
        <v>12</v>
      </c>
      <c r="O493" s="9">
        <f>VLOOKUP($A493,'Temprorary Data'!$A:$G,6,FALSE)</f>
        <v>72</v>
      </c>
      <c r="P493" s="9">
        <f>VLOOKUP($A493,'Temprorary Data'!$A:$G,7,FALSE)</f>
        <v>84</v>
      </c>
      <c r="Q493" t="b">
        <f t="shared" si="63"/>
        <v>1</v>
      </c>
      <c r="R493" t="str">
        <f t="shared" si="64"/>
        <v>January</v>
      </c>
      <c r="S493" t="str">
        <f t="shared" si="65"/>
        <v>Saturday</v>
      </c>
      <c r="T493" t="str">
        <f t="shared" si="66"/>
        <v>Weekend</v>
      </c>
      <c r="U493" t="str">
        <f t="shared" si="67"/>
        <v>Spring</v>
      </c>
      <c r="V493" t="str">
        <f t="shared" si="68"/>
        <v>Clear</v>
      </c>
      <c r="W493" t="str">
        <f t="shared" si="69"/>
        <v>Off Peak</v>
      </c>
      <c r="X493" t="str">
        <f t="shared" si="70"/>
        <v>Low</v>
      </c>
      <c r="Y493" t="str">
        <f t="shared" si="71"/>
        <v>Low</v>
      </c>
    </row>
    <row r="494" spans="1:25" ht="15.75" thickBot="1">
      <c r="A494" s="1">
        <v>493</v>
      </c>
      <c r="B494" s="2">
        <v>40565</v>
      </c>
      <c r="C494" s="1">
        <v>1</v>
      </c>
      <c r="D494" s="1">
        <v>0</v>
      </c>
      <c r="E494" s="1">
        <v>1</v>
      </c>
      <c r="F494" s="1">
        <v>14</v>
      </c>
      <c r="G494" s="3" t="b">
        <v>0</v>
      </c>
      <c r="H494" s="1">
        <v>6</v>
      </c>
      <c r="I494" s="1">
        <v>1</v>
      </c>
      <c r="J494" s="7">
        <v>0.1</v>
      </c>
      <c r="K494" s="8">
        <f>VLOOKUP($A494,'Temprorary Data'!$A:$G,2,FALSE)</f>
        <v>0.13639999999999999</v>
      </c>
      <c r="L494" s="8">
        <f>VLOOKUP($A494,'Temprorary Data'!$A:$G,3,FALSE)</f>
        <v>0.33</v>
      </c>
      <c r="M494" s="8">
        <f>VLOOKUP($A494,'Temprorary Data'!$A:$G,4,FALSE)</f>
        <v>0.1045</v>
      </c>
      <c r="N494" s="9">
        <f>VLOOKUP($A494,'Temprorary Data'!$A:$G,5,FALSE)</f>
        <v>11</v>
      </c>
      <c r="O494" s="9">
        <f>VLOOKUP($A494,'Temprorary Data'!$A:$G,6,FALSE)</f>
        <v>64</v>
      </c>
      <c r="P494" s="9">
        <f>VLOOKUP($A494,'Temprorary Data'!$A:$G,7,FALSE)</f>
        <v>75</v>
      </c>
      <c r="Q494" t="b">
        <f t="shared" si="63"/>
        <v>1</v>
      </c>
      <c r="R494" t="str">
        <f t="shared" si="64"/>
        <v>January</v>
      </c>
      <c r="S494" t="str">
        <f t="shared" si="65"/>
        <v>Saturday</v>
      </c>
      <c r="T494" t="str">
        <f t="shared" si="66"/>
        <v>Weekend</v>
      </c>
      <c r="U494" t="str">
        <f t="shared" si="67"/>
        <v>Spring</v>
      </c>
      <c r="V494" t="str">
        <f t="shared" si="68"/>
        <v>Clear</v>
      </c>
      <c r="W494" t="str">
        <f t="shared" si="69"/>
        <v>Off Peak</v>
      </c>
      <c r="X494" t="str">
        <f t="shared" si="70"/>
        <v>Low</v>
      </c>
      <c r="Y494" t="str">
        <f t="shared" si="71"/>
        <v>Low</v>
      </c>
    </row>
    <row r="495" spans="1:25" ht="15.75" thickBot="1">
      <c r="A495" s="1">
        <v>494</v>
      </c>
      <c r="B495" s="2">
        <v>40565</v>
      </c>
      <c r="C495" s="1">
        <v>1</v>
      </c>
      <c r="D495" s="1">
        <v>0</v>
      </c>
      <c r="E495" s="1">
        <v>1</v>
      </c>
      <c r="F495" s="1">
        <v>15</v>
      </c>
      <c r="G495" s="3" t="b">
        <v>0</v>
      </c>
      <c r="H495" s="1">
        <v>6</v>
      </c>
      <c r="I495" s="1">
        <v>1</v>
      </c>
      <c r="J495" s="7">
        <v>0.12</v>
      </c>
      <c r="K495" s="8">
        <f>VLOOKUP($A495,'Temprorary Data'!$A:$G,2,FALSE)</f>
        <v>0.1515</v>
      </c>
      <c r="L495" s="8">
        <f>VLOOKUP($A495,'Temprorary Data'!$A:$G,3,FALSE)</f>
        <v>0.28000000000000003</v>
      </c>
      <c r="M495" s="8">
        <f>VLOOKUP($A495,'Temprorary Data'!$A:$G,4,FALSE)</f>
        <v>0</v>
      </c>
      <c r="N495" s="9">
        <f>VLOOKUP($A495,'Temprorary Data'!$A:$G,5,FALSE)</f>
        <v>10</v>
      </c>
      <c r="O495" s="9">
        <f>VLOOKUP($A495,'Temprorary Data'!$A:$G,6,FALSE)</f>
        <v>93</v>
      </c>
      <c r="P495" s="9">
        <f>VLOOKUP($A495,'Temprorary Data'!$A:$G,7,FALSE)</f>
        <v>103</v>
      </c>
      <c r="Q495" t="b">
        <f t="shared" si="63"/>
        <v>1</v>
      </c>
      <c r="R495" t="str">
        <f t="shared" si="64"/>
        <v>January</v>
      </c>
      <c r="S495" t="str">
        <f t="shared" si="65"/>
        <v>Saturday</v>
      </c>
      <c r="T495" t="str">
        <f t="shared" si="66"/>
        <v>Weekend</v>
      </c>
      <c r="U495" t="str">
        <f t="shared" si="67"/>
        <v>Spring</v>
      </c>
      <c r="V495" t="str">
        <f t="shared" si="68"/>
        <v>Clear</v>
      </c>
      <c r="W495" t="str">
        <f t="shared" si="69"/>
        <v>Off Peak</v>
      </c>
      <c r="X495" t="str">
        <f t="shared" si="70"/>
        <v>Low</v>
      </c>
      <c r="Y495" t="str">
        <f t="shared" si="71"/>
        <v>Low</v>
      </c>
    </row>
    <row r="496" spans="1:25" ht="15.75" thickBot="1">
      <c r="A496" s="1">
        <v>495</v>
      </c>
      <c r="B496" s="2">
        <v>40565</v>
      </c>
      <c r="C496" s="1">
        <v>1</v>
      </c>
      <c r="D496" s="1">
        <v>0</v>
      </c>
      <c r="E496" s="1">
        <v>1</v>
      </c>
      <c r="F496" s="1">
        <v>16</v>
      </c>
      <c r="G496" s="3" t="b">
        <v>0</v>
      </c>
      <c r="H496" s="1">
        <v>6</v>
      </c>
      <c r="I496" s="1">
        <v>1</v>
      </c>
      <c r="J496" s="7">
        <v>0.12</v>
      </c>
      <c r="K496" s="8">
        <f>VLOOKUP($A496,'Temprorary Data'!$A:$G,2,FALSE)</f>
        <v>0.13639999999999999</v>
      </c>
      <c r="L496" s="8">
        <f>VLOOKUP($A496,'Temprorary Data'!$A:$G,3,FALSE)</f>
        <v>0.28000000000000003</v>
      </c>
      <c r="M496" s="8">
        <f>VLOOKUP($A496,'Temprorary Data'!$A:$G,4,FALSE)</f>
        <v>0.19400000000000001</v>
      </c>
      <c r="N496" s="9">
        <f>VLOOKUP($A496,'Temprorary Data'!$A:$G,5,FALSE)</f>
        <v>11</v>
      </c>
      <c r="O496" s="9">
        <f>VLOOKUP($A496,'Temprorary Data'!$A:$G,6,FALSE)</f>
        <v>72</v>
      </c>
      <c r="P496" s="9">
        <f>VLOOKUP($A496,'Temprorary Data'!$A:$G,7,FALSE)</f>
        <v>83</v>
      </c>
      <c r="Q496" t="b">
        <f t="shared" si="63"/>
        <v>1</v>
      </c>
      <c r="R496" t="str">
        <f t="shared" si="64"/>
        <v>January</v>
      </c>
      <c r="S496" t="str">
        <f t="shared" si="65"/>
        <v>Saturday</v>
      </c>
      <c r="T496" t="str">
        <f t="shared" si="66"/>
        <v>Weekend</v>
      </c>
      <c r="U496" t="str">
        <f t="shared" si="67"/>
        <v>Spring</v>
      </c>
      <c r="V496" t="str">
        <f t="shared" si="68"/>
        <v>Clear</v>
      </c>
      <c r="W496" t="str">
        <f t="shared" si="69"/>
        <v>Off Peak</v>
      </c>
      <c r="X496" t="str">
        <f t="shared" si="70"/>
        <v>Low</v>
      </c>
      <c r="Y496" t="str">
        <f t="shared" si="71"/>
        <v>Low</v>
      </c>
    </row>
    <row r="497" spans="1:25" ht="15.75" thickBot="1">
      <c r="A497" s="1">
        <v>496</v>
      </c>
      <c r="B497" s="2">
        <v>40565</v>
      </c>
      <c r="C497" s="1">
        <v>1</v>
      </c>
      <c r="D497" s="1">
        <v>0</v>
      </c>
      <c r="E497" s="1">
        <v>1</v>
      </c>
      <c r="F497" s="1">
        <v>17</v>
      </c>
      <c r="G497" s="3" t="b">
        <v>0</v>
      </c>
      <c r="H497" s="1">
        <v>6</v>
      </c>
      <c r="I497" s="1">
        <v>1</v>
      </c>
      <c r="J497" s="7">
        <v>0.12</v>
      </c>
      <c r="K497" s="8">
        <f>VLOOKUP($A497,'Temprorary Data'!$A:$G,2,FALSE)</f>
        <v>0.19700000000000001</v>
      </c>
      <c r="L497" s="8">
        <f>VLOOKUP($A497,'Temprorary Data'!$A:$G,3,FALSE)</f>
        <v>0.28000000000000003</v>
      </c>
      <c r="M497" s="8">
        <f>VLOOKUP($A497,'Temprorary Data'!$A:$G,4,FALSE)</f>
        <v>0</v>
      </c>
      <c r="N497" s="9">
        <f>VLOOKUP($A497,'Temprorary Data'!$A:$G,5,FALSE)</f>
        <v>8</v>
      </c>
      <c r="O497" s="9">
        <f>VLOOKUP($A497,'Temprorary Data'!$A:$G,6,FALSE)</f>
        <v>59</v>
      </c>
      <c r="P497" s="9">
        <f>VLOOKUP($A497,'Temprorary Data'!$A:$G,7,FALSE)</f>
        <v>67</v>
      </c>
      <c r="Q497" t="b">
        <f t="shared" si="63"/>
        <v>1</v>
      </c>
      <c r="R497" t="str">
        <f t="shared" si="64"/>
        <v>January</v>
      </c>
      <c r="S497" t="str">
        <f t="shared" si="65"/>
        <v>Saturday</v>
      </c>
      <c r="T497" t="str">
        <f t="shared" si="66"/>
        <v>Weekend</v>
      </c>
      <c r="U497" t="str">
        <f t="shared" si="67"/>
        <v>Spring</v>
      </c>
      <c r="V497" t="str">
        <f t="shared" si="68"/>
        <v>Clear</v>
      </c>
      <c r="W497" t="str">
        <f t="shared" si="69"/>
        <v>Evening Peak</v>
      </c>
      <c r="X497" t="str">
        <f t="shared" si="70"/>
        <v>Low</v>
      </c>
      <c r="Y497" t="str">
        <f t="shared" si="71"/>
        <v>Low</v>
      </c>
    </row>
    <row r="498" spans="1:25" ht="15.75" thickBot="1">
      <c r="A498" s="1">
        <v>497</v>
      </c>
      <c r="B498" s="2">
        <v>40565</v>
      </c>
      <c r="C498" s="1">
        <v>1</v>
      </c>
      <c r="D498" s="1">
        <v>0</v>
      </c>
      <c r="E498" s="1">
        <v>1</v>
      </c>
      <c r="F498" s="1">
        <v>18</v>
      </c>
      <c r="G498" s="3" t="b">
        <v>0</v>
      </c>
      <c r="H498" s="1">
        <v>6</v>
      </c>
      <c r="I498" s="1">
        <v>1</v>
      </c>
      <c r="J498" s="7">
        <v>0.08</v>
      </c>
      <c r="K498" s="8">
        <f>VLOOKUP($A498,'Temprorary Data'!$A:$G,2,FALSE)</f>
        <v>9.0899999999999995E-2</v>
      </c>
      <c r="L498" s="8">
        <f>VLOOKUP($A498,'Temprorary Data'!$A:$G,3,FALSE)</f>
        <v>0.35</v>
      </c>
      <c r="M498" s="8">
        <f>VLOOKUP($A498,'Temprorary Data'!$A:$G,4,FALSE)</f>
        <v>0.19400000000000001</v>
      </c>
      <c r="N498" s="9">
        <f>VLOOKUP($A498,'Temprorary Data'!$A:$G,5,FALSE)</f>
        <v>0</v>
      </c>
      <c r="O498" s="9">
        <f>VLOOKUP($A498,'Temprorary Data'!$A:$G,6,FALSE)</f>
        <v>54</v>
      </c>
      <c r="P498" s="9">
        <f>VLOOKUP($A498,'Temprorary Data'!$A:$G,7,FALSE)</f>
        <v>54</v>
      </c>
      <c r="Q498" t="b">
        <f t="shared" si="63"/>
        <v>1</v>
      </c>
      <c r="R498" t="str">
        <f t="shared" si="64"/>
        <v>January</v>
      </c>
      <c r="S498" t="str">
        <f t="shared" si="65"/>
        <v>Saturday</v>
      </c>
      <c r="T498" t="str">
        <f t="shared" si="66"/>
        <v>Weekend</v>
      </c>
      <c r="U498" t="str">
        <f t="shared" si="67"/>
        <v>Spring</v>
      </c>
      <c r="V498" t="str">
        <f t="shared" si="68"/>
        <v>Clear</v>
      </c>
      <c r="W498" t="str">
        <f t="shared" si="69"/>
        <v>Evening Peak</v>
      </c>
      <c r="X498" t="str">
        <f t="shared" si="70"/>
        <v>Low</v>
      </c>
      <c r="Y498" t="str">
        <f t="shared" si="71"/>
        <v>Low</v>
      </c>
    </row>
    <row r="499" spans="1:25" ht="15.75" thickBot="1">
      <c r="A499" s="1">
        <v>498</v>
      </c>
      <c r="B499" s="2">
        <v>40565</v>
      </c>
      <c r="C499" s="1">
        <v>1</v>
      </c>
      <c r="D499" s="1">
        <v>0</v>
      </c>
      <c r="E499" s="1">
        <v>1</v>
      </c>
      <c r="F499" s="1">
        <v>19</v>
      </c>
      <c r="G499" s="3" t="b">
        <v>0</v>
      </c>
      <c r="H499" s="1">
        <v>6</v>
      </c>
      <c r="I499" s="1">
        <v>1</v>
      </c>
      <c r="J499" s="7">
        <v>0.08</v>
      </c>
      <c r="K499" s="8">
        <f>VLOOKUP($A499,'Temprorary Data'!$A:$G,2,FALSE)</f>
        <v>0.1061</v>
      </c>
      <c r="L499" s="8">
        <f>VLOOKUP($A499,'Temprorary Data'!$A:$G,3,FALSE)</f>
        <v>0.35</v>
      </c>
      <c r="M499" s="8">
        <f>VLOOKUP($A499,'Temprorary Data'!$A:$G,4,FALSE)</f>
        <v>0.1343</v>
      </c>
      <c r="N499" s="9">
        <f>VLOOKUP($A499,'Temprorary Data'!$A:$G,5,FALSE)</f>
        <v>6</v>
      </c>
      <c r="O499" s="9">
        <f>VLOOKUP($A499,'Temprorary Data'!$A:$G,6,FALSE)</f>
        <v>53</v>
      </c>
      <c r="P499" s="9">
        <f>VLOOKUP($A499,'Temprorary Data'!$A:$G,7,FALSE)</f>
        <v>59</v>
      </c>
      <c r="Q499" t="b">
        <f t="shared" si="63"/>
        <v>1</v>
      </c>
      <c r="R499" t="str">
        <f t="shared" si="64"/>
        <v>January</v>
      </c>
      <c r="S499" t="str">
        <f t="shared" si="65"/>
        <v>Saturday</v>
      </c>
      <c r="T499" t="str">
        <f t="shared" si="66"/>
        <v>Weekend</v>
      </c>
      <c r="U499" t="str">
        <f t="shared" si="67"/>
        <v>Spring</v>
      </c>
      <c r="V499" t="str">
        <f t="shared" si="68"/>
        <v>Clear</v>
      </c>
      <c r="W499" t="str">
        <f t="shared" si="69"/>
        <v>Evening Peak</v>
      </c>
      <c r="X499" t="str">
        <f t="shared" si="70"/>
        <v>Low</v>
      </c>
      <c r="Y499" t="str">
        <f t="shared" si="71"/>
        <v>Low</v>
      </c>
    </row>
    <row r="500" spans="1:25" ht="15.75" thickBot="1">
      <c r="A500" s="1">
        <v>499</v>
      </c>
      <c r="B500" s="2">
        <v>40565</v>
      </c>
      <c r="C500" s="1">
        <v>1</v>
      </c>
      <c r="D500" s="1">
        <v>0</v>
      </c>
      <c r="E500" s="1">
        <v>1</v>
      </c>
      <c r="F500" s="1">
        <v>20</v>
      </c>
      <c r="G500" s="3" t="b">
        <v>0</v>
      </c>
      <c r="H500" s="1">
        <v>6</v>
      </c>
      <c r="I500" s="1">
        <v>1</v>
      </c>
      <c r="J500" s="7">
        <v>0.06</v>
      </c>
      <c r="K500" s="8">
        <f>VLOOKUP($A500,'Temprorary Data'!$A:$G,2,FALSE)</f>
        <v>7.5800000000000006E-2</v>
      </c>
      <c r="L500" s="8">
        <f>VLOOKUP($A500,'Temprorary Data'!$A:$G,3,FALSE)</f>
        <v>0.45</v>
      </c>
      <c r="M500" s="8">
        <f>VLOOKUP($A500,'Temprorary Data'!$A:$G,4,FALSE)</f>
        <v>0.16420000000000001</v>
      </c>
      <c r="N500" s="9">
        <f>VLOOKUP($A500,'Temprorary Data'!$A:$G,5,FALSE)</f>
        <v>1</v>
      </c>
      <c r="O500" s="9">
        <f>VLOOKUP($A500,'Temprorary Data'!$A:$G,6,FALSE)</f>
        <v>44</v>
      </c>
      <c r="P500" s="9">
        <f>VLOOKUP($A500,'Temprorary Data'!$A:$G,7,FALSE)</f>
        <v>45</v>
      </c>
      <c r="Q500" t="b">
        <f t="shared" si="63"/>
        <v>1</v>
      </c>
      <c r="R500" t="str">
        <f t="shared" si="64"/>
        <v>January</v>
      </c>
      <c r="S500" t="str">
        <f t="shared" si="65"/>
        <v>Saturday</v>
      </c>
      <c r="T500" t="str">
        <f t="shared" si="66"/>
        <v>Weekend</v>
      </c>
      <c r="U500" t="str">
        <f t="shared" si="67"/>
        <v>Spring</v>
      </c>
      <c r="V500" t="str">
        <f t="shared" si="68"/>
        <v>Clear</v>
      </c>
      <c r="W500" t="str">
        <f t="shared" si="69"/>
        <v>Evening Peak</v>
      </c>
      <c r="X500" t="str">
        <f t="shared" si="70"/>
        <v>Low</v>
      </c>
      <c r="Y500" t="str">
        <f t="shared" si="71"/>
        <v>Medium</v>
      </c>
    </row>
    <row r="501" spans="1:25" ht="15.75" thickBot="1">
      <c r="A501" s="1">
        <v>500</v>
      </c>
      <c r="B501" s="2">
        <v>40565</v>
      </c>
      <c r="C501" s="1">
        <v>1</v>
      </c>
      <c r="D501" s="1">
        <v>0</v>
      </c>
      <c r="E501" s="1">
        <v>1</v>
      </c>
      <c r="F501" s="1">
        <v>21</v>
      </c>
      <c r="G501" s="3" t="b">
        <v>0</v>
      </c>
      <c r="H501" s="1">
        <v>6</v>
      </c>
      <c r="I501" s="1">
        <v>1</v>
      </c>
      <c r="J501" s="7">
        <v>0.06</v>
      </c>
      <c r="K501" s="8">
        <f>VLOOKUP($A501,'Temprorary Data'!$A:$G,2,FALSE)</f>
        <v>0.1061</v>
      </c>
      <c r="L501" s="8">
        <f>VLOOKUP($A501,'Temprorary Data'!$A:$G,3,FALSE)</f>
        <v>0.41</v>
      </c>
      <c r="M501" s="8">
        <f>VLOOKUP($A501,'Temprorary Data'!$A:$G,4,FALSE)</f>
        <v>8.9599999999999999E-2</v>
      </c>
      <c r="N501" s="9">
        <f>VLOOKUP($A501,'Temprorary Data'!$A:$G,5,FALSE)</f>
        <v>0</v>
      </c>
      <c r="O501" s="9">
        <f>VLOOKUP($A501,'Temprorary Data'!$A:$G,6,FALSE)</f>
        <v>39</v>
      </c>
      <c r="P501" s="9">
        <f>VLOOKUP($A501,'Temprorary Data'!$A:$G,7,FALSE)</f>
        <v>39</v>
      </c>
      <c r="Q501" t="b">
        <f t="shared" si="63"/>
        <v>1</v>
      </c>
      <c r="R501" t="str">
        <f t="shared" si="64"/>
        <v>January</v>
      </c>
      <c r="S501" t="str">
        <f t="shared" si="65"/>
        <v>Saturday</v>
      </c>
      <c r="T501" t="str">
        <f t="shared" si="66"/>
        <v>Weekend</v>
      </c>
      <c r="U501" t="str">
        <f t="shared" si="67"/>
        <v>Spring</v>
      </c>
      <c r="V501" t="str">
        <f t="shared" si="68"/>
        <v>Clear</v>
      </c>
      <c r="W501" t="str">
        <f t="shared" si="69"/>
        <v>Off Peak</v>
      </c>
      <c r="X501" t="str">
        <f t="shared" si="70"/>
        <v>Low</v>
      </c>
      <c r="Y501" t="str">
        <f t="shared" si="71"/>
        <v>Medium</v>
      </c>
    </row>
    <row r="502" spans="1:25" ht="15.75" thickBot="1">
      <c r="A502" s="1">
        <v>501</v>
      </c>
      <c r="B502" s="2">
        <v>40565</v>
      </c>
      <c r="C502" s="1">
        <v>1</v>
      </c>
      <c r="D502" s="1">
        <v>0</v>
      </c>
      <c r="E502" s="1">
        <v>1</v>
      </c>
      <c r="F502" s="1">
        <v>22</v>
      </c>
      <c r="G502" s="3" t="b">
        <v>0</v>
      </c>
      <c r="H502" s="1">
        <v>6</v>
      </c>
      <c r="I502" s="1">
        <v>1</v>
      </c>
      <c r="J502" s="7">
        <v>0.06</v>
      </c>
      <c r="K502" s="8">
        <f>VLOOKUP($A502,'Temprorary Data'!$A:$G,2,FALSE)</f>
        <v>0.1515</v>
      </c>
      <c r="L502" s="8">
        <f>VLOOKUP($A502,'Temprorary Data'!$A:$G,3,FALSE)</f>
        <v>0.49</v>
      </c>
      <c r="M502" s="8">
        <f>VLOOKUP($A502,'Temprorary Data'!$A:$G,4,FALSE)</f>
        <v>0</v>
      </c>
      <c r="N502" s="9">
        <f>VLOOKUP($A502,'Temprorary Data'!$A:$G,5,FALSE)</f>
        <v>7</v>
      </c>
      <c r="O502" s="9">
        <f>VLOOKUP($A502,'Temprorary Data'!$A:$G,6,FALSE)</f>
        <v>23</v>
      </c>
      <c r="P502" s="9">
        <f>VLOOKUP($A502,'Temprorary Data'!$A:$G,7,FALSE)</f>
        <v>30</v>
      </c>
      <c r="Q502" t="b">
        <f t="shared" si="63"/>
        <v>1</v>
      </c>
      <c r="R502" t="str">
        <f t="shared" si="64"/>
        <v>January</v>
      </c>
      <c r="S502" t="str">
        <f t="shared" si="65"/>
        <v>Saturday</v>
      </c>
      <c r="T502" t="str">
        <f t="shared" si="66"/>
        <v>Weekend</v>
      </c>
      <c r="U502" t="str">
        <f t="shared" si="67"/>
        <v>Spring</v>
      </c>
      <c r="V502" t="str">
        <f t="shared" si="68"/>
        <v>Clear</v>
      </c>
      <c r="W502" t="str">
        <f t="shared" si="69"/>
        <v>Off Peak</v>
      </c>
      <c r="X502" t="str">
        <f t="shared" si="70"/>
        <v>Low</v>
      </c>
      <c r="Y502" t="str">
        <f t="shared" si="71"/>
        <v>Medium</v>
      </c>
    </row>
    <row r="503" spans="1:25" ht="15.75" thickBot="1">
      <c r="A503" s="1">
        <v>502</v>
      </c>
      <c r="B503" s="2">
        <v>40565</v>
      </c>
      <c r="C503" s="1">
        <v>1</v>
      </c>
      <c r="D503" s="1">
        <v>0</v>
      </c>
      <c r="E503" s="1">
        <v>1</v>
      </c>
      <c r="F503" s="1">
        <v>23</v>
      </c>
      <c r="G503" s="3" t="b">
        <v>0</v>
      </c>
      <c r="H503" s="1">
        <v>6</v>
      </c>
      <c r="I503" s="1">
        <v>1</v>
      </c>
      <c r="J503" s="7">
        <v>0.04</v>
      </c>
      <c r="K503" s="8">
        <f>VLOOKUP($A503,'Temprorary Data'!$A:$G,2,FALSE)</f>
        <v>7.5800000000000006E-2</v>
      </c>
      <c r="L503" s="8">
        <f>VLOOKUP($A503,'Temprorary Data'!$A:$G,3,FALSE)</f>
        <v>0.56999999999999995</v>
      </c>
      <c r="M503" s="8">
        <f>VLOOKUP($A503,'Temprorary Data'!$A:$G,4,FALSE)</f>
        <v>0.1045</v>
      </c>
      <c r="N503" s="9">
        <f>VLOOKUP($A503,'Temprorary Data'!$A:$G,5,FALSE)</f>
        <v>2</v>
      </c>
      <c r="O503" s="9">
        <f>VLOOKUP($A503,'Temprorary Data'!$A:$G,6,FALSE)</f>
        <v>31</v>
      </c>
      <c r="P503" s="9">
        <f>VLOOKUP($A503,'Temprorary Data'!$A:$G,7,FALSE)</f>
        <v>33</v>
      </c>
      <c r="Q503" t="b">
        <f t="shared" si="63"/>
        <v>1</v>
      </c>
      <c r="R503" t="str">
        <f t="shared" si="64"/>
        <v>January</v>
      </c>
      <c r="S503" t="str">
        <f t="shared" si="65"/>
        <v>Saturday</v>
      </c>
      <c r="T503" t="str">
        <f t="shared" si="66"/>
        <v>Weekend</v>
      </c>
      <c r="U503" t="str">
        <f t="shared" si="67"/>
        <v>Spring</v>
      </c>
      <c r="V503" t="str">
        <f t="shared" si="68"/>
        <v>Clear</v>
      </c>
      <c r="W503" t="str">
        <f t="shared" si="69"/>
        <v>Off Peak</v>
      </c>
      <c r="X503" t="str">
        <f t="shared" si="70"/>
        <v>Low</v>
      </c>
      <c r="Y503" t="str">
        <f t="shared" si="71"/>
        <v>Medium</v>
      </c>
    </row>
    <row r="504" spans="1:25" ht="15.75" thickBot="1">
      <c r="A504" s="1">
        <v>503</v>
      </c>
      <c r="B504" s="2">
        <v>40566</v>
      </c>
      <c r="C504" s="1">
        <v>1</v>
      </c>
      <c r="D504" s="1">
        <v>0</v>
      </c>
      <c r="E504" s="1">
        <v>1</v>
      </c>
      <c r="F504" s="1">
        <v>0</v>
      </c>
      <c r="G504" s="3" t="b">
        <v>0</v>
      </c>
      <c r="H504" s="1">
        <v>0</v>
      </c>
      <c r="I504" s="1">
        <v>1</v>
      </c>
      <c r="J504" s="7">
        <v>0.04</v>
      </c>
      <c r="K504" s="8">
        <f>VLOOKUP($A504,'Temprorary Data'!$A:$G,2,FALSE)</f>
        <v>7.5800000000000006E-2</v>
      </c>
      <c r="L504" s="8">
        <f>VLOOKUP($A504,'Temprorary Data'!$A:$G,3,FALSE)</f>
        <v>0.56999999999999995</v>
      </c>
      <c r="M504" s="8">
        <f>VLOOKUP($A504,'Temprorary Data'!$A:$G,4,FALSE)</f>
        <v>0.1045</v>
      </c>
      <c r="N504" s="9">
        <f>VLOOKUP($A504,'Temprorary Data'!$A:$G,5,FALSE)</f>
        <v>2</v>
      </c>
      <c r="O504" s="9">
        <f>VLOOKUP($A504,'Temprorary Data'!$A:$G,6,FALSE)</f>
        <v>20</v>
      </c>
      <c r="P504" s="9">
        <f>VLOOKUP($A504,'Temprorary Data'!$A:$G,7,FALSE)</f>
        <v>22</v>
      </c>
      <c r="Q504" t="b">
        <f t="shared" si="63"/>
        <v>1</v>
      </c>
      <c r="R504" t="str">
        <f t="shared" si="64"/>
        <v>January</v>
      </c>
      <c r="S504" t="str">
        <f t="shared" si="65"/>
        <v>Sunday</v>
      </c>
      <c r="T504" t="str">
        <f t="shared" si="66"/>
        <v>Weekend</v>
      </c>
      <c r="U504" t="str">
        <f t="shared" si="67"/>
        <v>Spring</v>
      </c>
      <c r="V504" t="str">
        <f t="shared" si="68"/>
        <v>Clear</v>
      </c>
      <c r="W504" t="str">
        <f t="shared" si="69"/>
        <v>Off Peak</v>
      </c>
      <c r="X504" t="str">
        <f t="shared" si="70"/>
        <v>Low</v>
      </c>
      <c r="Y504" t="str">
        <f t="shared" si="71"/>
        <v>Medium</v>
      </c>
    </row>
    <row r="505" spans="1:25" ht="15.75" thickBot="1">
      <c r="A505" s="1">
        <v>504</v>
      </c>
      <c r="B505" s="2">
        <v>40566</v>
      </c>
      <c r="C505" s="1">
        <v>1</v>
      </c>
      <c r="D505" s="1">
        <v>0</v>
      </c>
      <c r="E505" s="1">
        <v>1</v>
      </c>
      <c r="F505" s="1">
        <v>1</v>
      </c>
      <c r="G505" s="3" t="b">
        <v>0</v>
      </c>
      <c r="H505" s="1">
        <v>0</v>
      </c>
      <c r="I505" s="1">
        <v>1</v>
      </c>
      <c r="J505" s="7">
        <v>0.04</v>
      </c>
      <c r="K505" s="8">
        <f>VLOOKUP($A505,'Temprorary Data'!$A:$G,2,FALSE)</f>
        <v>7.5800000000000006E-2</v>
      </c>
      <c r="L505" s="8">
        <f>VLOOKUP($A505,'Temprorary Data'!$A:$G,3,FALSE)</f>
        <v>0.56999999999999995</v>
      </c>
      <c r="M505" s="8">
        <f>VLOOKUP($A505,'Temprorary Data'!$A:$G,4,FALSE)</f>
        <v>0.1045</v>
      </c>
      <c r="N505" s="9">
        <f>VLOOKUP($A505,'Temprorary Data'!$A:$G,5,FALSE)</f>
        <v>1</v>
      </c>
      <c r="O505" s="9">
        <f>VLOOKUP($A505,'Temprorary Data'!$A:$G,6,FALSE)</f>
        <v>12</v>
      </c>
      <c r="P505" s="9">
        <f>VLOOKUP($A505,'Temprorary Data'!$A:$G,7,FALSE)</f>
        <v>13</v>
      </c>
      <c r="Q505" t="b">
        <f t="shared" si="63"/>
        <v>1</v>
      </c>
      <c r="R505" t="str">
        <f t="shared" si="64"/>
        <v>January</v>
      </c>
      <c r="S505" t="str">
        <f t="shared" si="65"/>
        <v>Sunday</v>
      </c>
      <c r="T505" t="str">
        <f t="shared" si="66"/>
        <v>Weekend</v>
      </c>
      <c r="U505" t="str">
        <f t="shared" si="67"/>
        <v>Spring</v>
      </c>
      <c r="V505" t="str">
        <f t="shared" si="68"/>
        <v>Clear</v>
      </c>
      <c r="W505" t="str">
        <f t="shared" si="69"/>
        <v>Off Peak</v>
      </c>
      <c r="X505" t="str">
        <f t="shared" si="70"/>
        <v>Low</v>
      </c>
      <c r="Y505" t="str">
        <f t="shared" si="71"/>
        <v>Medium</v>
      </c>
    </row>
    <row r="506" spans="1:25" ht="15.75" thickBot="1">
      <c r="A506" s="1">
        <v>505</v>
      </c>
      <c r="B506" s="2">
        <v>40566</v>
      </c>
      <c r="C506" s="1">
        <v>1</v>
      </c>
      <c r="D506" s="1">
        <v>0</v>
      </c>
      <c r="E506" s="1">
        <v>1</v>
      </c>
      <c r="F506" s="1">
        <v>2</v>
      </c>
      <c r="G506" s="3" t="b">
        <v>0</v>
      </c>
      <c r="H506" s="1">
        <v>0</v>
      </c>
      <c r="I506" s="1">
        <v>1</v>
      </c>
      <c r="J506" s="7">
        <v>0.02</v>
      </c>
      <c r="K506" s="8">
        <f>VLOOKUP($A506,'Temprorary Data'!$A:$G,2,FALSE)</f>
        <v>6.0600000000000001E-2</v>
      </c>
      <c r="L506" s="8">
        <f>VLOOKUP($A506,'Temprorary Data'!$A:$G,3,FALSE)</f>
        <v>0.62</v>
      </c>
      <c r="M506" s="8">
        <f>VLOOKUP($A506,'Temprorary Data'!$A:$G,4,FALSE)</f>
        <v>0.1343</v>
      </c>
      <c r="N506" s="9">
        <f>VLOOKUP($A506,'Temprorary Data'!$A:$G,5,FALSE)</f>
        <v>3</v>
      </c>
      <c r="O506" s="9">
        <f>VLOOKUP($A506,'Temprorary Data'!$A:$G,6,FALSE)</f>
        <v>15</v>
      </c>
      <c r="P506" s="9">
        <f>VLOOKUP($A506,'Temprorary Data'!$A:$G,7,FALSE)</f>
        <v>18</v>
      </c>
      <c r="Q506" t="b">
        <f t="shared" si="63"/>
        <v>1</v>
      </c>
      <c r="R506" t="str">
        <f t="shared" si="64"/>
        <v>January</v>
      </c>
      <c r="S506" t="str">
        <f t="shared" si="65"/>
        <v>Sunday</v>
      </c>
      <c r="T506" t="str">
        <f t="shared" si="66"/>
        <v>Weekend</v>
      </c>
      <c r="U506" t="str">
        <f t="shared" si="67"/>
        <v>Spring</v>
      </c>
      <c r="V506" t="str">
        <f t="shared" si="68"/>
        <v>Clear</v>
      </c>
      <c r="W506" t="str">
        <f t="shared" si="69"/>
        <v>Off Peak</v>
      </c>
      <c r="X506" t="str">
        <f t="shared" si="70"/>
        <v>Low</v>
      </c>
      <c r="Y506" t="str">
        <f t="shared" si="71"/>
        <v>Medium</v>
      </c>
    </row>
    <row r="507" spans="1:25" ht="15.75" thickBot="1">
      <c r="A507" s="1">
        <v>506</v>
      </c>
      <c r="B507" s="2">
        <v>40566</v>
      </c>
      <c r="C507" s="1">
        <v>1</v>
      </c>
      <c r="D507" s="1">
        <v>0</v>
      </c>
      <c r="E507" s="1">
        <v>1</v>
      </c>
      <c r="F507" s="1">
        <v>3</v>
      </c>
      <c r="G507" s="3" t="b">
        <v>0</v>
      </c>
      <c r="H507" s="1">
        <v>0</v>
      </c>
      <c r="I507" s="1">
        <v>1</v>
      </c>
      <c r="J507" s="7">
        <v>0.02</v>
      </c>
      <c r="K507" s="8">
        <f>VLOOKUP($A507,'Temprorary Data'!$A:$G,2,FALSE)</f>
        <v>6.0600000000000001E-2</v>
      </c>
      <c r="L507" s="8">
        <f>VLOOKUP($A507,'Temprorary Data'!$A:$G,3,FALSE)</f>
        <v>0.62</v>
      </c>
      <c r="M507" s="8">
        <f>VLOOKUP($A507,'Temprorary Data'!$A:$G,4,FALSE)</f>
        <v>0.1343</v>
      </c>
      <c r="N507" s="9">
        <f>VLOOKUP($A507,'Temprorary Data'!$A:$G,5,FALSE)</f>
        <v>1</v>
      </c>
      <c r="O507" s="9">
        <f>VLOOKUP($A507,'Temprorary Data'!$A:$G,6,FALSE)</f>
        <v>4</v>
      </c>
      <c r="P507" s="9">
        <f>VLOOKUP($A507,'Temprorary Data'!$A:$G,7,FALSE)</f>
        <v>5</v>
      </c>
      <c r="Q507" t="b">
        <f t="shared" si="63"/>
        <v>1</v>
      </c>
      <c r="R507" t="str">
        <f t="shared" si="64"/>
        <v>January</v>
      </c>
      <c r="S507" t="str">
        <f t="shared" si="65"/>
        <v>Sunday</v>
      </c>
      <c r="T507" t="str">
        <f t="shared" si="66"/>
        <v>Weekend</v>
      </c>
      <c r="U507" t="str">
        <f t="shared" si="67"/>
        <v>Spring</v>
      </c>
      <c r="V507" t="str">
        <f t="shared" si="68"/>
        <v>Clear</v>
      </c>
      <c r="W507" t="str">
        <f t="shared" si="69"/>
        <v>Off Peak</v>
      </c>
      <c r="X507" t="str">
        <f t="shared" si="70"/>
        <v>Low</v>
      </c>
      <c r="Y507" t="str">
        <f t="shared" si="71"/>
        <v>Medium</v>
      </c>
    </row>
    <row r="508" spans="1:25" ht="15.75" thickBot="1">
      <c r="A508" s="1">
        <v>507</v>
      </c>
      <c r="B508" s="2">
        <v>40566</v>
      </c>
      <c r="C508" s="1">
        <v>1</v>
      </c>
      <c r="D508" s="1">
        <v>0</v>
      </c>
      <c r="E508" s="1">
        <v>1</v>
      </c>
      <c r="F508" s="1">
        <v>5</v>
      </c>
      <c r="G508" s="3" t="b">
        <v>0</v>
      </c>
      <c r="H508" s="1">
        <v>0</v>
      </c>
      <c r="I508" s="1">
        <v>2</v>
      </c>
      <c r="J508" s="7">
        <v>0.04</v>
      </c>
      <c r="K508" s="8">
        <f>VLOOKUP($A508,'Temprorary Data'!$A:$G,2,FALSE)</f>
        <v>7.5800000000000006E-2</v>
      </c>
      <c r="L508" s="8">
        <f>VLOOKUP($A508,'Temprorary Data'!$A:$G,3,FALSE)</f>
        <v>0.56999999999999995</v>
      </c>
      <c r="M508" s="8">
        <f>VLOOKUP($A508,'Temprorary Data'!$A:$G,4,FALSE)</f>
        <v>0.1045</v>
      </c>
      <c r="N508" s="9">
        <f>VLOOKUP($A508,'Temprorary Data'!$A:$G,5,FALSE)</f>
        <v>0</v>
      </c>
      <c r="O508" s="9">
        <f>VLOOKUP($A508,'Temprorary Data'!$A:$G,6,FALSE)</f>
        <v>3</v>
      </c>
      <c r="P508" s="9">
        <f>VLOOKUP($A508,'Temprorary Data'!$A:$G,7,FALSE)</f>
        <v>3</v>
      </c>
      <c r="Q508" t="b">
        <f t="shared" si="63"/>
        <v>1</v>
      </c>
      <c r="R508" t="str">
        <f t="shared" si="64"/>
        <v>January</v>
      </c>
      <c r="S508" t="str">
        <f t="shared" si="65"/>
        <v>Sunday</v>
      </c>
      <c r="T508" t="str">
        <f t="shared" si="66"/>
        <v>Weekend</v>
      </c>
      <c r="U508" t="str">
        <f t="shared" si="67"/>
        <v>Spring</v>
      </c>
      <c r="V508" t="str">
        <f t="shared" si="68"/>
        <v>Mist</v>
      </c>
      <c r="W508" t="str">
        <f t="shared" si="69"/>
        <v>Off Peak</v>
      </c>
      <c r="X508" t="str">
        <f t="shared" si="70"/>
        <v>Low</v>
      </c>
      <c r="Y508" t="str">
        <f t="shared" si="71"/>
        <v>Medium</v>
      </c>
    </row>
    <row r="509" spans="1:25" ht="15.75" thickBot="1">
      <c r="A509" s="1">
        <v>508</v>
      </c>
      <c r="B509" s="2">
        <v>40566</v>
      </c>
      <c r="C509" s="1">
        <v>1</v>
      </c>
      <c r="D509" s="1">
        <v>0</v>
      </c>
      <c r="E509" s="1">
        <v>1</v>
      </c>
      <c r="F509" s="1">
        <v>6</v>
      </c>
      <c r="G509" s="3" t="b">
        <v>0</v>
      </c>
      <c r="H509" s="1">
        <v>0</v>
      </c>
      <c r="I509" s="1">
        <v>2</v>
      </c>
      <c r="J509" s="7">
        <v>0.04</v>
      </c>
      <c r="K509" s="8">
        <f>VLOOKUP($A509,'Temprorary Data'!$A:$G,2,FALSE)</f>
        <v>7.5800000000000006E-2</v>
      </c>
      <c r="L509" s="8">
        <f>VLOOKUP($A509,'Temprorary Data'!$A:$G,3,FALSE)</f>
        <v>0.56999999999999995</v>
      </c>
      <c r="M509" s="8">
        <f>VLOOKUP($A509,'Temprorary Data'!$A:$G,4,FALSE)</f>
        <v>0.1045</v>
      </c>
      <c r="N509" s="9">
        <f>VLOOKUP($A509,'Temprorary Data'!$A:$G,5,FALSE)</f>
        <v>0</v>
      </c>
      <c r="O509" s="9">
        <f>VLOOKUP($A509,'Temprorary Data'!$A:$G,6,FALSE)</f>
        <v>1</v>
      </c>
      <c r="P509" s="9">
        <f>VLOOKUP($A509,'Temprorary Data'!$A:$G,7,FALSE)</f>
        <v>1</v>
      </c>
      <c r="Q509" t="b">
        <f t="shared" si="63"/>
        <v>1</v>
      </c>
      <c r="R509" t="str">
        <f t="shared" si="64"/>
        <v>January</v>
      </c>
      <c r="S509" t="str">
        <f t="shared" si="65"/>
        <v>Sunday</v>
      </c>
      <c r="T509" t="str">
        <f t="shared" si="66"/>
        <v>Weekend</v>
      </c>
      <c r="U509" t="str">
        <f t="shared" si="67"/>
        <v>Spring</v>
      </c>
      <c r="V509" t="str">
        <f t="shared" si="68"/>
        <v>Mist</v>
      </c>
      <c r="W509" t="str">
        <f t="shared" si="69"/>
        <v>Off Peak</v>
      </c>
      <c r="X509" t="str">
        <f t="shared" si="70"/>
        <v>Low</v>
      </c>
      <c r="Y509" t="str">
        <f t="shared" si="71"/>
        <v>Medium</v>
      </c>
    </row>
    <row r="510" spans="1:25" ht="15.75" thickBot="1">
      <c r="A510" s="1">
        <v>509</v>
      </c>
      <c r="B510" s="2">
        <v>40566</v>
      </c>
      <c r="C510" s="1">
        <v>1</v>
      </c>
      <c r="D510" s="1">
        <v>0</v>
      </c>
      <c r="E510" s="1">
        <v>1</v>
      </c>
      <c r="F510" s="1">
        <v>7</v>
      </c>
      <c r="G510" s="3" t="b">
        <v>0</v>
      </c>
      <c r="H510" s="1">
        <v>0</v>
      </c>
      <c r="I510" s="1">
        <v>1</v>
      </c>
      <c r="J510" s="7">
        <v>0.08</v>
      </c>
      <c r="K510" s="8">
        <f>VLOOKUP($A510,'Temprorary Data'!$A:$G,2,FALSE)</f>
        <v>0.1061</v>
      </c>
      <c r="L510" s="8">
        <f>VLOOKUP($A510,'Temprorary Data'!$A:$G,3,FALSE)</f>
        <v>0.57999999999999996</v>
      </c>
      <c r="M510" s="8">
        <f>VLOOKUP($A510,'Temprorary Data'!$A:$G,4,FALSE)</f>
        <v>0.16420000000000001</v>
      </c>
      <c r="N510" s="9">
        <f>VLOOKUP($A510,'Temprorary Data'!$A:$G,5,FALSE)</f>
        <v>1</v>
      </c>
      <c r="O510" s="9">
        <f>VLOOKUP($A510,'Temprorary Data'!$A:$G,6,FALSE)</f>
        <v>1</v>
      </c>
      <c r="P510" s="9">
        <f>VLOOKUP($A510,'Temprorary Data'!$A:$G,7,FALSE)</f>
        <v>2</v>
      </c>
      <c r="Q510" t="b">
        <f t="shared" si="63"/>
        <v>1</v>
      </c>
      <c r="R510" t="str">
        <f t="shared" si="64"/>
        <v>January</v>
      </c>
      <c r="S510" t="str">
        <f t="shared" si="65"/>
        <v>Sunday</v>
      </c>
      <c r="T510" t="str">
        <f t="shared" si="66"/>
        <v>Weekend</v>
      </c>
      <c r="U510" t="str">
        <f t="shared" si="67"/>
        <v>Spring</v>
      </c>
      <c r="V510" t="str">
        <f t="shared" si="68"/>
        <v>Clear</v>
      </c>
      <c r="W510" t="str">
        <f t="shared" si="69"/>
        <v>Morning Peak</v>
      </c>
      <c r="X510" t="str">
        <f t="shared" si="70"/>
        <v>Low</v>
      </c>
      <c r="Y510" t="str">
        <f t="shared" si="71"/>
        <v>Medium</v>
      </c>
    </row>
    <row r="511" spans="1:25" ht="15.75" thickBot="1">
      <c r="A511" s="1">
        <v>510</v>
      </c>
      <c r="B511" s="2">
        <v>40566</v>
      </c>
      <c r="C511" s="1">
        <v>1</v>
      </c>
      <c r="D511" s="1">
        <v>0</v>
      </c>
      <c r="E511" s="1">
        <v>1</v>
      </c>
      <c r="F511" s="1">
        <v>8</v>
      </c>
      <c r="G511" s="3" t="b">
        <v>0</v>
      </c>
      <c r="H511" s="1">
        <v>0</v>
      </c>
      <c r="I511" s="1">
        <v>1</v>
      </c>
      <c r="J511" s="7">
        <v>0.06</v>
      </c>
      <c r="K511" s="8">
        <f>VLOOKUP($A511,'Temprorary Data'!$A:$G,2,FALSE)</f>
        <v>7.5800000000000006E-2</v>
      </c>
      <c r="L511" s="8">
        <f>VLOOKUP($A511,'Temprorary Data'!$A:$G,3,FALSE)</f>
        <v>0.62</v>
      </c>
      <c r="M511" s="8">
        <f>VLOOKUP($A511,'Temprorary Data'!$A:$G,4,FALSE)</f>
        <v>0.16420000000000001</v>
      </c>
      <c r="N511" s="9">
        <f>VLOOKUP($A511,'Temprorary Data'!$A:$G,5,FALSE)</f>
        <v>2</v>
      </c>
      <c r="O511" s="9">
        <f>VLOOKUP($A511,'Temprorary Data'!$A:$G,6,FALSE)</f>
        <v>17</v>
      </c>
      <c r="P511" s="9">
        <f>VLOOKUP($A511,'Temprorary Data'!$A:$G,7,FALSE)</f>
        <v>19</v>
      </c>
      <c r="Q511" t="b">
        <f t="shared" si="63"/>
        <v>1</v>
      </c>
      <c r="R511" t="str">
        <f t="shared" si="64"/>
        <v>January</v>
      </c>
      <c r="S511" t="str">
        <f t="shared" si="65"/>
        <v>Sunday</v>
      </c>
      <c r="T511" t="str">
        <f t="shared" si="66"/>
        <v>Weekend</v>
      </c>
      <c r="U511" t="str">
        <f t="shared" si="67"/>
        <v>Spring</v>
      </c>
      <c r="V511" t="str">
        <f t="shared" si="68"/>
        <v>Clear</v>
      </c>
      <c r="W511" t="str">
        <f t="shared" si="69"/>
        <v>Morning Peak</v>
      </c>
      <c r="X511" t="str">
        <f t="shared" si="70"/>
        <v>Low</v>
      </c>
      <c r="Y511" t="str">
        <f t="shared" si="71"/>
        <v>Medium</v>
      </c>
    </row>
    <row r="512" spans="1:25" ht="15.75" thickBot="1">
      <c r="A512" s="1">
        <v>511</v>
      </c>
      <c r="B512" s="2">
        <v>40566</v>
      </c>
      <c r="C512" s="1">
        <v>1</v>
      </c>
      <c r="D512" s="1">
        <v>0</v>
      </c>
      <c r="E512" s="1">
        <v>1</v>
      </c>
      <c r="F512" s="1">
        <v>9</v>
      </c>
      <c r="G512" s="3" t="b">
        <v>0</v>
      </c>
      <c r="H512" s="1">
        <v>0</v>
      </c>
      <c r="I512" s="1">
        <v>1</v>
      </c>
      <c r="J512" s="7">
        <v>0.1</v>
      </c>
      <c r="K512" s="8">
        <f>VLOOKUP($A512,'Temprorary Data'!$A:$G,2,FALSE)</f>
        <v>7.5800000000000006E-2</v>
      </c>
      <c r="L512" s="8">
        <f>VLOOKUP($A512,'Temprorary Data'!$A:$G,3,FALSE)</f>
        <v>0.54</v>
      </c>
      <c r="M512" s="8">
        <f>VLOOKUP($A512,'Temprorary Data'!$A:$G,4,FALSE)</f>
        <v>0.35820000000000002</v>
      </c>
      <c r="N512" s="9">
        <f>VLOOKUP($A512,'Temprorary Data'!$A:$G,5,FALSE)</f>
        <v>3</v>
      </c>
      <c r="O512" s="9">
        <f>VLOOKUP($A512,'Temprorary Data'!$A:$G,6,FALSE)</f>
        <v>25</v>
      </c>
      <c r="P512" s="9">
        <f>VLOOKUP($A512,'Temprorary Data'!$A:$G,7,FALSE)</f>
        <v>28</v>
      </c>
      <c r="Q512" t="b">
        <f t="shared" si="63"/>
        <v>1</v>
      </c>
      <c r="R512" t="str">
        <f t="shared" si="64"/>
        <v>January</v>
      </c>
      <c r="S512" t="str">
        <f t="shared" si="65"/>
        <v>Sunday</v>
      </c>
      <c r="T512" t="str">
        <f t="shared" si="66"/>
        <v>Weekend</v>
      </c>
      <c r="U512" t="str">
        <f t="shared" si="67"/>
        <v>Spring</v>
      </c>
      <c r="V512" t="str">
        <f t="shared" si="68"/>
        <v>Clear</v>
      </c>
      <c r="W512" t="str">
        <f t="shared" si="69"/>
        <v>Morning Peak</v>
      </c>
      <c r="X512" t="str">
        <f t="shared" si="70"/>
        <v>Low</v>
      </c>
      <c r="Y512" t="str">
        <f t="shared" si="71"/>
        <v>Medium</v>
      </c>
    </row>
    <row r="513" spans="1:25" ht="15.75" thickBot="1">
      <c r="A513" s="1">
        <v>512</v>
      </c>
      <c r="B513" s="2">
        <v>40566</v>
      </c>
      <c r="C513" s="1">
        <v>1</v>
      </c>
      <c r="D513" s="1">
        <v>0</v>
      </c>
      <c r="E513" s="1">
        <v>1</v>
      </c>
      <c r="F513" s="1">
        <v>10</v>
      </c>
      <c r="G513" s="3" t="b">
        <v>0</v>
      </c>
      <c r="H513" s="1">
        <v>0</v>
      </c>
      <c r="I513" s="1">
        <v>1</v>
      </c>
      <c r="J513" s="7">
        <v>0.14000000000000001</v>
      </c>
      <c r="K513" s="8">
        <f>VLOOKUP($A513,'Temprorary Data'!$A:$G,2,FALSE)</f>
        <v>0.1061</v>
      </c>
      <c r="L513" s="8">
        <f>VLOOKUP($A513,'Temprorary Data'!$A:$G,3,FALSE)</f>
        <v>0.46</v>
      </c>
      <c r="M513" s="8">
        <f>VLOOKUP($A513,'Temprorary Data'!$A:$G,4,FALSE)</f>
        <v>0.3881</v>
      </c>
      <c r="N513" s="9">
        <f>VLOOKUP($A513,'Temprorary Data'!$A:$G,5,FALSE)</f>
        <v>7</v>
      </c>
      <c r="O513" s="9">
        <f>VLOOKUP($A513,'Temprorary Data'!$A:$G,6,FALSE)</f>
        <v>51</v>
      </c>
      <c r="P513" s="9">
        <f>VLOOKUP($A513,'Temprorary Data'!$A:$G,7,FALSE)</f>
        <v>58</v>
      </c>
      <c r="Q513" t="b">
        <f t="shared" si="63"/>
        <v>1</v>
      </c>
      <c r="R513" t="str">
        <f t="shared" si="64"/>
        <v>January</v>
      </c>
      <c r="S513" t="str">
        <f t="shared" si="65"/>
        <v>Sunday</v>
      </c>
      <c r="T513" t="str">
        <f t="shared" si="66"/>
        <v>Weekend</v>
      </c>
      <c r="U513" t="str">
        <f t="shared" si="67"/>
        <v>Spring</v>
      </c>
      <c r="V513" t="str">
        <f t="shared" si="68"/>
        <v>Clear</v>
      </c>
      <c r="W513" t="str">
        <f t="shared" si="69"/>
        <v>Off Peak</v>
      </c>
      <c r="X513" t="str">
        <f t="shared" si="70"/>
        <v>Low</v>
      </c>
      <c r="Y513" t="str">
        <f t="shared" si="71"/>
        <v>Medium</v>
      </c>
    </row>
    <row r="514" spans="1:25" ht="15.75" thickBot="1">
      <c r="A514" s="1">
        <v>513</v>
      </c>
      <c r="B514" s="2">
        <v>40566</v>
      </c>
      <c r="C514" s="1">
        <v>1</v>
      </c>
      <c r="D514" s="1">
        <v>0</v>
      </c>
      <c r="E514" s="1">
        <v>1</v>
      </c>
      <c r="F514" s="1">
        <v>11</v>
      </c>
      <c r="G514" s="3" t="b">
        <v>0</v>
      </c>
      <c r="H514" s="1">
        <v>0</v>
      </c>
      <c r="I514" s="1">
        <v>1</v>
      </c>
      <c r="J514" s="7">
        <v>0.14000000000000001</v>
      </c>
      <c r="K514" s="8">
        <f>VLOOKUP($A514,'Temprorary Data'!$A:$G,2,FALSE)</f>
        <v>0.13639999999999999</v>
      </c>
      <c r="L514" s="8">
        <f>VLOOKUP($A514,'Temprorary Data'!$A:$G,3,FALSE)</f>
        <v>0.43</v>
      </c>
      <c r="M514" s="8">
        <f>VLOOKUP($A514,'Temprorary Data'!$A:$G,4,FALSE)</f>
        <v>0.22389999999999999</v>
      </c>
      <c r="N514" s="9">
        <f>VLOOKUP($A514,'Temprorary Data'!$A:$G,5,FALSE)</f>
        <v>22</v>
      </c>
      <c r="O514" s="9">
        <f>VLOOKUP($A514,'Temprorary Data'!$A:$G,6,FALSE)</f>
        <v>77</v>
      </c>
      <c r="P514" s="9">
        <f>VLOOKUP($A514,'Temprorary Data'!$A:$G,7,FALSE)</f>
        <v>99</v>
      </c>
      <c r="Q514" t="b">
        <f t="shared" si="63"/>
        <v>1</v>
      </c>
      <c r="R514" t="str">
        <f t="shared" si="64"/>
        <v>January</v>
      </c>
      <c r="S514" t="str">
        <f t="shared" si="65"/>
        <v>Sunday</v>
      </c>
      <c r="T514" t="str">
        <f t="shared" si="66"/>
        <v>Weekend</v>
      </c>
      <c r="U514" t="str">
        <f t="shared" si="67"/>
        <v>Spring</v>
      </c>
      <c r="V514" t="str">
        <f t="shared" si="68"/>
        <v>Clear</v>
      </c>
      <c r="W514" t="str">
        <f t="shared" si="69"/>
        <v>Off Peak</v>
      </c>
      <c r="X514" t="str">
        <f t="shared" si="70"/>
        <v>Low</v>
      </c>
      <c r="Y514" t="str">
        <f t="shared" si="71"/>
        <v>Medium</v>
      </c>
    </row>
    <row r="515" spans="1:25" ht="15.75" thickBot="1">
      <c r="A515" s="1">
        <v>514</v>
      </c>
      <c r="B515" s="2">
        <v>40566</v>
      </c>
      <c r="C515" s="1">
        <v>1</v>
      </c>
      <c r="D515" s="1">
        <v>0</v>
      </c>
      <c r="E515" s="1">
        <v>1</v>
      </c>
      <c r="F515" s="1">
        <v>12</v>
      </c>
      <c r="G515" s="3" t="b">
        <v>0</v>
      </c>
      <c r="H515" s="1">
        <v>0</v>
      </c>
      <c r="I515" s="1">
        <v>1</v>
      </c>
      <c r="J515" s="7">
        <v>0.16</v>
      </c>
      <c r="K515" s="8">
        <f>VLOOKUP($A515,'Temprorary Data'!$A:$G,2,FALSE)</f>
        <v>0.1212</v>
      </c>
      <c r="L515" s="8">
        <f>VLOOKUP($A515,'Temprorary Data'!$A:$G,3,FALSE)</f>
        <v>0.37</v>
      </c>
      <c r="M515" s="8">
        <f>VLOOKUP($A515,'Temprorary Data'!$A:$G,4,FALSE)</f>
        <v>0.4627</v>
      </c>
      <c r="N515" s="9">
        <f>VLOOKUP($A515,'Temprorary Data'!$A:$G,5,FALSE)</f>
        <v>24</v>
      </c>
      <c r="O515" s="9">
        <f>VLOOKUP($A515,'Temprorary Data'!$A:$G,6,FALSE)</f>
        <v>92</v>
      </c>
      <c r="P515" s="9">
        <f>VLOOKUP($A515,'Temprorary Data'!$A:$G,7,FALSE)</f>
        <v>116</v>
      </c>
      <c r="Q515" t="b">
        <f t="shared" ref="Q515:Q578" si="72">N515+O515=P515</f>
        <v>1</v>
      </c>
      <c r="R515" t="str">
        <f t="shared" ref="R515:R578" si="73">TEXT(B515,"mmmm")</f>
        <v>January</v>
      </c>
      <c r="S515" t="str">
        <f t="shared" ref="S515:S578" si="74">TEXT(B515,"dddd")</f>
        <v>Sunday</v>
      </c>
      <c r="T515" t="str">
        <f t="shared" ref="T515:T578" si="75">IF(OR(H515=0,H515=6),"Weekend","Weekday")</f>
        <v>Weekend</v>
      </c>
      <c r="U515" t="str">
        <f t="shared" ref="U515:U578" si="76">IF(C515=1,"Spring",IF(C515=2,"Summer",IF(C515=3,"Fall","Winter")))</f>
        <v>Spring</v>
      </c>
      <c r="V515" t="str">
        <f t="shared" ref="V515:V578" si="77">IF(I515=1,"Clear",IF(I515=2,"Mist",IF(I515=3,"Light Rain","Heavy Rain")))</f>
        <v>Clear</v>
      </c>
      <c r="W515" t="str">
        <f t="shared" ref="W515:W578" si="78">IF(AND(F515&gt;=7,F515&lt;=9),"Morning Peak",IF(AND(F515&gt;=17,F515&lt;=20),"Evening Peak","Off Peak"))</f>
        <v>Off Peak</v>
      </c>
      <c r="X515" t="str">
        <f t="shared" ref="X515:X578" si="79">IF(J515&lt;0.3,"Low",IF(J515&lt;0.6,"Medium","High"))</f>
        <v>Low</v>
      </c>
      <c r="Y515" t="str">
        <f t="shared" ref="Y515:Y578" si="80">IF(L515&lt;0.4,"Low",IF(L515&lt;0.7,"Medium","High"))</f>
        <v>Low</v>
      </c>
    </row>
    <row r="516" spans="1:25" ht="15.75" thickBot="1">
      <c r="A516" s="1">
        <v>515</v>
      </c>
      <c r="B516" s="2">
        <v>40566</v>
      </c>
      <c r="C516" s="1">
        <v>1</v>
      </c>
      <c r="D516" s="1">
        <v>0</v>
      </c>
      <c r="E516" s="1">
        <v>1</v>
      </c>
      <c r="F516" s="1">
        <v>13</v>
      </c>
      <c r="G516" s="3" t="b">
        <v>0</v>
      </c>
      <c r="H516" s="1">
        <v>0</v>
      </c>
      <c r="I516" s="1">
        <v>1</v>
      </c>
      <c r="J516" s="7">
        <v>0.14000000000000001</v>
      </c>
      <c r="K516" s="8">
        <f>VLOOKUP($A516,'Temprorary Data'!$A:$G,2,FALSE)</f>
        <v>0.1061</v>
      </c>
      <c r="L516" s="8">
        <f>VLOOKUP($A516,'Temprorary Data'!$A:$G,3,FALSE)</f>
        <v>0.33</v>
      </c>
      <c r="M516" s="8">
        <f>VLOOKUP($A516,'Temprorary Data'!$A:$G,4,FALSE)</f>
        <v>0.3881</v>
      </c>
      <c r="N516" s="9">
        <f>VLOOKUP($A516,'Temprorary Data'!$A:$G,5,FALSE)</f>
        <v>12</v>
      </c>
      <c r="O516" s="9">
        <f>VLOOKUP($A516,'Temprorary Data'!$A:$G,6,FALSE)</f>
        <v>75</v>
      </c>
      <c r="P516" s="9">
        <f>VLOOKUP($A516,'Temprorary Data'!$A:$G,7,FALSE)</f>
        <v>87</v>
      </c>
      <c r="Q516" t="b">
        <f t="shared" si="72"/>
        <v>1</v>
      </c>
      <c r="R516" t="str">
        <f t="shared" si="73"/>
        <v>January</v>
      </c>
      <c r="S516" t="str">
        <f t="shared" si="74"/>
        <v>Sunday</v>
      </c>
      <c r="T516" t="str">
        <f t="shared" si="75"/>
        <v>Weekend</v>
      </c>
      <c r="U516" t="str">
        <f t="shared" si="76"/>
        <v>Spring</v>
      </c>
      <c r="V516" t="str">
        <f t="shared" si="77"/>
        <v>Clear</v>
      </c>
      <c r="W516" t="str">
        <f t="shared" si="78"/>
        <v>Off Peak</v>
      </c>
      <c r="X516" t="str">
        <f t="shared" si="79"/>
        <v>Low</v>
      </c>
      <c r="Y516" t="str">
        <f t="shared" si="80"/>
        <v>Low</v>
      </c>
    </row>
    <row r="517" spans="1:25" ht="15.75" thickBot="1">
      <c r="A517" s="1">
        <v>516</v>
      </c>
      <c r="B517" s="2">
        <v>40566</v>
      </c>
      <c r="C517" s="1">
        <v>1</v>
      </c>
      <c r="D517" s="1">
        <v>0</v>
      </c>
      <c r="E517" s="1">
        <v>1</v>
      </c>
      <c r="F517" s="1">
        <v>14</v>
      </c>
      <c r="G517" s="3" t="b">
        <v>0</v>
      </c>
      <c r="H517" s="1">
        <v>0</v>
      </c>
      <c r="I517" s="1">
        <v>1</v>
      </c>
      <c r="J517" s="7">
        <v>0.16</v>
      </c>
      <c r="K517" s="8">
        <f>VLOOKUP($A517,'Temprorary Data'!$A:$G,2,FALSE)</f>
        <v>0.13639999999999999</v>
      </c>
      <c r="L517" s="8">
        <f>VLOOKUP($A517,'Temprorary Data'!$A:$G,3,FALSE)</f>
        <v>0.28000000000000003</v>
      </c>
      <c r="M517" s="8">
        <f>VLOOKUP($A517,'Temprorary Data'!$A:$G,4,FALSE)</f>
        <v>0.35820000000000002</v>
      </c>
      <c r="N517" s="9">
        <f>VLOOKUP($A517,'Temprorary Data'!$A:$G,5,FALSE)</f>
        <v>17</v>
      </c>
      <c r="O517" s="9">
        <f>VLOOKUP($A517,'Temprorary Data'!$A:$G,6,FALSE)</f>
        <v>93</v>
      </c>
      <c r="P517" s="9">
        <f>VLOOKUP($A517,'Temprorary Data'!$A:$G,7,FALSE)</f>
        <v>110</v>
      </c>
      <c r="Q517" t="b">
        <f t="shared" si="72"/>
        <v>1</v>
      </c>
      <c r="R517" t="str">
        <f t="shared" si="73"/>
        <v>January</v>
      </c>
      <c r="S517" t="str">
        <f t="shared" si="74"/>
        <v>Sunday</v>
      </c>
      <c r="T517" t="str">
        <f t="shared" si="75"/>
        <v>Weekend</v>
      </c>
      <c r="U517" t="str">
        <f t="shared" si="76"/>
        <v>Spring</v>
      </c>
      <c r="V517" t="str">
        <f t="shared" si="77"/>
        <v>Clear</v>
      </c>
      <c r="W517" t="str">
        <f t="shared" si="78"/>
        <v>Off Peak</v>
      </c>
      <c r="X517" t="str">
        <f t="shared" si="79"/>
        <v>Low</v>
      </c>
      <c r="Y517" t="str">
        <f t="shared" si="80"/>
        <v>Low</v>
      </c>
    </row>
    <row r="518" spans="1:25" ht="15.75" thickBot="1">
      <c r="A518" s="1">
        <v>517</v>
      </c>
      <c r="B518" s="2">
        <v>40566</v>
      </c>
      <c r="C518" s="1">
        <v>1</v>
      </c>
      <c r="D518" s="1">
        <v>0</v>
      </c>
      <c r="E518" s="1">
        <v>1</v>
      </c>
      <c r="F518" s="1">
        <v>15</v>
      </c>
      <c r="G518" s="3" t="b">
        <v>0</v>
      </c>
      <c r="H518" s="1">
        <v>0</v>
      </c>
      <c r="I518" s="1">
        <v>1</v>
      </c>
      <c r="J518" s="7">
        <v>0.16</v>
      </c>
      <c r="K518" s="8">
        <f>VLOOKUP($A518,'Temprorary Data'!$A:$G,2,FALSE)</f>
        <v>0.13639999999999999</v>
      </c>
      <c r="L518" s="8">
        <f>VLOOKUP($A518,'Temprorary Data'!$A:$G,3,FALSE)</f>
        <v>0.28000000000000003</v>
      </c>
      <c r="M518" s="8">
        <f>VLOOKUP($A518,'Temprorary Data'!$A:$G,4,FALSE)</f>
        <v>0.35820000000000002</v>
      </c>
      <c r="N518" s="9">
        <f>VLOOKUP($A518,'Temprorary Data'!$A:$G,5,FALSE)</f>
        <v>13</v>
      </c>
      <c r="O518" s="9">
        <f>VLOOKUP($A518,'Temprorary Data'!$A:$G,6,FALSE)</f>
        <v>64</v>
      </c>
      <c r="P518" s="9">
        <f>VLOOKUP($A518,'Temprorary Data'!$A:$G,7,FALSE)</f>
        <v>77</v>
      </c>
      <c r="Q518" t="b">
        <f t="shared" si="72"/>
        <v>1</v>
      </c>
      <c r="R518" t="str">
        <f t="shared" si="73"/>
        <v>January</v>
      </c>
      <c r="S518" t="str">
        <f t="shared" si="74"/>
        <v>Sunday</v>
      </c>
      <c r="T518" t="str">
        <f t="shared" si="75"/>
        <v>Weekend</v>
      </c>
      <c r="U518" t="str">
        <f t="shared" si="76"/>
        <v>Spring</v>
      </c>
      <c r="V518" t="str">
        <f t="shared" si="77"/>
        <v>Clear</v>
      </c>
      <c r="W518" t="str">
        <f t="shared" si="78"/>
        <v>Off Peak</v>
      </c>
      <c r="X518" t="str">
        <f t="shared" si="79"/>
        <v>Low</v>
      </c>
      <c r="Y518" t="str">
        <f t="shared" si="80"/>
        <v>Low</v>
      </c>
    </row>
    <row r="519" spans="1:25" ht="15.75" thickBot="1">
      <c r="A519" s="1">
        <v>518</v>
      </c>
      <c r="B519" s="2">
        <v>40566</v>
      </c>
      <c r="C519" s="1">
        <v>1</v>
      </c>
      <c r="D519" s="1">
        <v>0</v>
      </c>
      <c r="E519" s="1">
        <v>1</v>
      </c>
      <c r="F519" s="1">
        <v>16</v>
      </c>
      <c r="G519" s="3" t="b">
        <v>0</v>
      </c>
      <c r="H519" s="1">
        <v>0</v>
      </c>
      <c r="I519" s="1">
        <v>1</v>
      </c>
      <c r="J519" s="7">
        <v>0.16</v>
      </c>
      <c r="K519" s="8">
        <f>VLOOKUP($A519,'Temprorary Data'!$A:$G,2,FALSE)</f>
        <v>0.13639999999999999</v>
      </c>
      <c r="L519" s="8">
        <f>VLOOKUP($A519,'Temprorary Data'!$A:$G,3,FALSE)</f>
        <v>0.26</v>
      </c>
      <c r="M519" s="8">
        <f>VLOOKUP($A519,'Temprorary Data'!$A:$G,4,FALSE)</f>
        <v>0.32840000000000003</v>
      </c>
      <c r="N519" s="9">
        <f>VLOOKUP($A519,'Temprorary Data'!$A:$G,5,FALSE)</f>
        <v>9</v>
      </c>
      <c r="O519" s="9">
        <f>VLOOKUP($A519,'Temprorary Data'!$A:$G,6,FALSE)</f>
        <v>56</v>
      </c>
      <c r="P519" s="9">
        <f>VLOOKUP($A519,'Temprorary Data'!$A:$G,7,FALSE)</f>
        <v>65</v>
      </c>
      <c r="Q519" t="b">
        <f t="shared" si="72"/>
        <v>1</v>
      </c>
      <c r="R519" t="str">
        <f t="shared" si="73"/>
        <v>January</v>
      </c>
      <c r="S519" t="str">
        <f t="shared" si="74"/>
        <v>Sunday</v>
      </c>
      <c r="T519" t="str">
        <f t="shared" si="75"/>
        <v>Weekend</v>
      </c>
      <c r="U519" t="str">
        <f t="shared" si="76"/>
        <v>Spring</v>
      </c>
      <c r="V519" t="str">
        <f t="shared" si="77"/>
        <v>Clear</v>
      </c>
      <c r="W519" t="str">
        <f t="shared" si="78"/>
        <v>Off Peak</v>
      </c>
      <c r="X519" t="str">
        <f t="shared" si="79"/>
        <v>Low</v>
      </c>
      <c r="Y519" t="str">
        <f t="shared" si="80"/>
        <v>Low</v>
      </c>
    </row>
    <row r="520" spans="1:25" ht="15.75" thickBot="1">
      <c r="A520" s="1">
        <v>519</v>
      </c>
      <c r="B520" s="2">
        <v>40566</v>
      </c>
      <c r="C520" s="1">
        <v>1</v>
      </c>
      <c r="D520" s="1">
        <v>0</v>
      </c>
      <c r="E520" s="1">
        <v>1</v>
      </c>
      <c r="F520" s="1">
        <v>17</v>
      </c>
      <c r="G520" s="3" t="b">
        <v>0</v>
      </c>
      <c r="H520" s="1">
        <v>0</v>
      </c>
      <c r="I520" s="1">
        <v>1</v>
      </c>
      <c r="J520" s="7">
        <v>0.14000000000000001</v>
      </c>
      <c r="K520" s="8">
        <f>VLOOKUP($A520,'Temprorary Data'!$A:$G,2,FALSE)</f>
        <v>0.1061</v>
      </c>
      <c r="L520" s="8">
        <f>VLOOKUP($A520,'Temprorary Data'!$A:$G,3,FALSE)</f>
        <v>0.26</v>
      </c>
      <c r="M520" s="8">
        <f>VLOOKUP($A520,'Temprorary Data'!$A:$G,4,FALSE)</f>
        <v>0.3881</v>
      </c>
      <c r="N520" s="9">
        <f>VLOOKUP($A520,'Temprorary Data'!$A:$G,5,FALSE)</f>
        <v>5</v>
      </c>
      <c r="O520" s="9">
        <f>VLOOKUP($A520,'Temprorary Data'!$A:$G,6,FALSE)</f>
        <v>50</v>
      </c>
      <c r="P520" s="9">
        <f>VLOOKUP($A520,'Temprorary Data'!$A:$G,7,FALSE)</f>
        <v>55</v>
      </c>
      <c r="Q520" t="b">
        <f t="shared" si="72"/>
        <v>1</v>
      </c>
      <c r="R520" t="str">
        <f t="shared" si="73"/>
        <v>January</v>
      </c>
      <c r="S520" t="str">
        <f t="shared" si="74"/>
        <v>Sunday</v>
      </c>
      <c r="T520" t="str">
        <f t="shared" si="75"/>
        <v>Weekend</v>
      </c>
      <c r="U520" t="str">
        <f t="shared" si="76"/>
        <v>Spring</v>
      </c>
      <c r="V520" t="str">
        <f t="shared" si="77"/>
        <v>Clear</v>
      </c>
      <c r="W520" t="str">
        <f t="shared" si="78"/>
        <v>Evening Peak</v>
      </c>
      <c r="X520" t="str">
        <f t="shared" si="79"/>
        <v>Low</v>
      </c>
      <c r="Y520" t="str">
        <f t="shared" si="80"/>
        <v>Low</v>
      </c>
    </row>
    <row r="521" spans="1:25" ht="15.75" thickBot="1">
      <c r="A521" s="1">
        <v>520</v>
      </c>
      <c r="B521" s="2">
        <v>40566</v>
      </c>
      <c r="C521" s="1">
        <v>1</v>
      </c>
      <c r="D521" s="1">
        <v>0</v>
      </c>
      <c r="E521" s="1">
        <v>1</v>
      </c>
      <c r="F521" s="1">
        <v>18</v>
      </c>
      <c r="G521" s="3" t="b">
        <v>0</v>
      </c>
      <c r="H521" s="1">
        <v>0</v>
      </c>
      <c r="I521" s="1">
        <v>1</v>
      </c>
      <c r="J521" s="7">
        <v>0.12</v>
      </c>
      <c r="K521" s="8">
        <f>VLOOKUP($A521,'Temprorary Data'!$A:$G,2,FALSE)</f>
        <v>0.1212</v>
      </c>
      <c r="L521" s="8">
        <f>VLOOKUP($A521,'Temprorary Data'!$A:$G,3,FALSE)</f>
        <v>0.3</v>
      </c>
      <c r="M521" s="8">
        <f>VLOOKUP($A521,'Temprorary Data'!$A:$G,4,FALSE)</f>
        <v>0.25369999999999998</v>
      </c>
      <c r="N521" s="9">
        <f>VLOOKUP($A521,'Temprorary Data'!$A:$G,5,FALSE)</f>
        <v>5</v>
      </c>
      <c r="O521" s="9">
        <f>VLOOKUP($A521,'Temprorary Data'!$A:$G,6,FALSE)</f>
        <v>44</v>
      </c>
      <c r="P521" s="9">
        <f>VLOOKUP($A521,'Temprorary Data'!$A:$G,7,FALSE)</f>
        <v>49</v>
      </c>
      <c r="Q521" t="b">
        <f t="shared" si="72"/>
        <v>1</v>
      </c>
      <c r="R521" t="str">
        <f t="shared" si="73"/>
        <v>January</v>
      </c>
      <c r="S521" t="str">
        <f t="shared" si="74"/>
        <v>Sunday</v>
      </c>
      <c r="T521" t="str">
        <f t="shared" si="75"/>
        <v>Weekend</v>
      </c>
      <c r="U521" t="str">
        <f t="shared" si="76"/>
        <v>Spring</v>
      </c>
      <c r="V521" t="str">
        <f t="shared" si="77"/>
        <v>Clear</v>
      </c>
      <c r="W521" t="str">
        <f t="shared" si="78"/>
        <v>Evening Peak</v>
      </c>
      <c r="X521" t="str">
        <f t="shared" si="79"/>
        <v>Low</v>
      </c>
      <c r="Y521" t="str">
        <f t="shared" si="80"/>
        <v>Low</v>
      </c>
    </row>
    <row r="522" spans="1:25" ht="15.75" thickBot="1">
      <c r="A522" s="1">
        <v>521</v>
      </c>
      <c r="B522" s="2">
        <v>40566</v>
      </c>
      <c r="C522" s="1">
        <v>1</v>
      </c>
      <c r="D522" s="1">
        <v>0</v>
      </c>
      <c r="E522" s="1">
        <v>1</v>
      </c>
      <c r="F522" s="1">
        <v>19</v>
      </c>
      <c r="G522" s="3" t="b">
        <v>0</v>
      </c>
      <c r="H522" s="1">
        <v>0</v>
      </c>
      <c r="I522" s="1">
        <v>1</v>
      </c>
      <c r="J522" s="7">
        <v>0.12</v>
      </c>
      <c r="K522" s="8">
        <f>VLOOKUP($A522,'Temprorary Data'!$A:$G,2,FALSE)</f>
        <v>0.1212</v>
      </c>
      <c r="L522" s="8">
        <f>VLOOKUP($A522,'Temprorary Data'!$A:$G,3,FALSE)</f>
        <v>0.3</v>
      </c>
      <c r="M522" s="8">
        <f>VLOOKUP($A522,'Temprorary Data'!$A:$G,4,FALSE)</f>
        <v>0.28360000000000002</v>
      </c>
      <c r="N522" s="9">
        <f>VLOOKUP($A522,'Temprorary Data'!$A:$G,5,FALSE)</f>
        <v>5</v>
      </c>
      <c r="O522" s="9">
        <f>VLOOKUP($A522,'Temprorary Data'!$A:$G,6,FALSE)</f>
        <v>45</v>
      </c>
      <c r="P522" s="9">
        <f>VLOOKUP($A522,'Temprorary Data'!$A:$G,7,FALSE)</f>
        <v>50</v>
      </c>
      <c r="Q522" t="b">
        <f t="shared" si="72"/>
        <v>1</v>
      </c>
      <c r="R522" t="str">
        <f t="shared" si="73"/>
        <v>January</v>
      </c>
      <c r="S522" t="str">
        <f t="shared" si="74"/>
        <v>Sunday</v>
      </c>
      <c r="T522" t="str">
        <f t="shared" si="75"/>
        <v>Weekend</v>
      </c>
      <c r="U522" t="str">
        <f t="shared" si="76"/>
        <v>Spring</v>
      </c>
      <c r="V522" t="str">
        <f t="shared" si="77"/>
        <v>Clear</v>
      </c>
      <c r="W522" t="str">
        <f t="shared" si="78"/>
        <v>Evening Peak</v>
      </c>
      <c r="X522" t="str">
        <f t="shared" si="79"/>
        <v>Low</v>
      </c>
      <c r="Y522" t="str">
        <f t="shared" si="80"/>
        <v>Low</v>
      </c>
    </row>
    <row r="523" spans="1:25" ht="15.75" thickBot="1">
      <c r="A523" s="1">
        <v>522</v>
      </c>
      <c r="B523" s="2">
        <v>40566</v>
      </c>
      <c r="C523" s="1">
        <v>1</v>
      </c>
      <c r="D523" s="1">
        <v>0</v>
      </c>
      <c r="E523" s="1">
        <v>1</v>
      </c>
      <c r="F523" s="1">
        <v>20</v>
      </c>
      <c r="G523" s="3" t="b">
        <v>0</v>
      </c>
      <c r="H523" s="1">
        <v>0</v>
      </c>
      <c r="I523" s="1">
        <v>1</v>
      </c>
      <c r="J523" s="7">
        <v>0.1</v>
      </c>
      <c r="K523" s="8">
        <f>VLOOKUP($A523,'Temprorary Data'!$A:$G,2,FALSE)</f>
        <v>0.1061</v>
      </c>
      <c r="L523" s="8">
        <f>VLOOKUP($A523,'Temprorary Data'!$A:$G,3,FALSE)</f>
        <v>0.36</v>
      </c>
      <c r="M523" s="8">
        <f>VLOOKUP($A523,'Temprorary Data'!$A:$G,4,FALSE)</f>
        <v>0.25369999999999998</v>
      </c>
      <c r="N523" s="9">
        <f>VLOOKUP($A523,'Temprorary Data'!$A:$G,5,FALSE)</f>
        <v>4</v>
      </c>
      <c r="O523" s="9">
        <f>VLOOKUP($A523,'Temprorary Data'!$A:$G,6,FALSE)</f>
        <v>31</v>
      </c>
      <c r="P523" s="9">
        <f>VLOOKUP($A523,'Temprorary Data'!$A:$G,7,FALSE)</f>
        <v>35</v>
      </c>
      <c r="Q523" t="b">
        <f t="shared" si="72"/>
        <v>1</v>
      </c>
      <c r="R523" t="str">
        <f t="shared" si="73"/>
        <v>January</v>
      </c>
      <c r="S523" t="str">
        <f t="shared" si="74"/>
        <v>Sunday</v>
      </c>
      <c r="T523" t="str">
        <f t="shared" si="75"/>
        <v>Weekend</v>
      </c>
      <c r="U523" t="str">
        <f t="shared" si="76"/>
        <v>Spring</v>
      </c>
      <c r="V523" t="str">
        <f t="shared" si="77"/>
        <v>Clear</v>
      </c>
      <c r="W523" t="str">
        <f t="shared" si="78"/>
        <v>Evening Peak</v>
      </c>
      <c r="X523" t="str">
        <f t="shared" si="79"/>
        <v>Low</v>
      </c>
      <c r="Y523" t="str">
        <f t="shared" si="80"/>
        <v>Low</v>
      </c>
    </row>
    <row r="524" spans="1:25" ht="15.75" thickBot="1">
      <c r="A524" s="1">
        <v>523</v>
      </c>
      <c r="B524" s="2">
        <v>40566</v>
      </c>
      <c r="C524" s="1">
        <v>1</v>
      </c>
      <c r="D524" s="1">
        <v>0</v>
      </c>
      <c r="E524" s="1">
        <v>1</v>
      </c>
      <c r="F524" s="1">
        <v>21</v>
      </c>
      <c r="G524" s="3" t="b">
        <v>0</v>
      </c>
      <c r="H524" s="1">
        <v>0</v>
      </c>
      <c r="I524" s="1">
        <v>1</v>
      </c>
      <c r="J524" s="7">
        <v>0.1</v>
      </c>
      <c r="K524" s="8">
        <f>VLOOKUP($A524,'Temprorary Data'!$A:$G,2,FALSE)</f>
        <v>0.1061</v>
      </c>
      <c r="L524" s="8">
        <f>VLOOKUP($A524,'Temprorary Data'!$A:$G,3,FALSE)</f>
        <v>0.36</v>
      </c>
      <c r="M524" s="8">
        <f>VLOOKUP($A524,'Temprorary Data'!$A:$G,4,FALSE)</f>
        <v>0.19400000000000001</v>
      </c>
      <c r="N524" s="9">
        <f>VLOOKUP($A524,'Temprorary Data'!$A:$G,5,FALSE)</f>
        <v>5</v>
      </c>
      <c r="O524" s="9">
        <f>VLOOKUP($A524,'Temprorary Data'!$A:$G,6,FALSE)</f>
        <v>20</v>
      </c>
      <c r="P524" s="9">
        <f>VLOOKUP($A524,'Temprorary Data'!$A:$G,7,FALSE)</f>
        <v>25</v>
      </c>
      <c r="Q524" t="b">
        <f t="shared" si="72"/>
        <v>1</v>
      </c>
      <c r="R524" t="str">
        <f t="shared" si="73"/>
        <v>January</v>
      </c>
      <c r="S524" t="str">
        <f t="shared" si="74"/>
        <v>Sunday</v>
      </c>
      <c r="T524" t="str">
        <f t="shared" si="75"/>
        <v>Weekend</v>
      </c>
      <c r="U524" t="str">
        <f t="shared" si="76"/>
        <v>Spring</v>
      </c>
      <c r="V524" t="str">
        <f t="shared" si="77"/>
        <v>Clear</v>
      </c>
      <c r="W524" t="str">
        <f t="shared" si="78"/>
        <v>Off Peak</v>
      </c>
      <c r="X524" t="str">
        <f t="shared" si="79"/>
        <v>Low</v>
      </c>
      <c r="Y524" t="str">
        <f t="shared" si="80"/>
        <v>Low</v>
      </c>
    </row>
    <row r="525" spans="1:25" ht="15.75" thickBot="1">
      <c r="A525" s="1">
        <v>524</v>
      </c>
      <c r="B525" s="2">
        <v>40566</v>
      </c>
      <c r="C525" s="1">
        <v>1</v>
      </c>
      <c r="D525" s="1">
        <v>0</v>
      </c>
      <c r="E525" s="1">
        <v>1</v>
      </c>
      <c r="F525" s="1">
        <v>22</v>
      </c>
      <c r="G525" s="3" t="b">
        <v>0</v>
      </c>
      <c r="H525" s="1">
        <v>0</v>
      </c>
      <c r="I525" s="1">
        <v>1</v>
      </c>
      <c r="J525" s="7">
        <v>0.08</v>
      </c>
      <c r="K525" s="8">
        <f>VLOOKUP($A525,'Temprorary Data'!$A:$G,2,FALSE)</f>
        <v>9.0899999999999995E-2</v>
      </c>
      <c r="L525" s="8">
        <f>VLOOKUP($A525,'Temprorary Data'!$A:$G,3,FALSE)</f>
        <v>0.38</v>
      </c>
      <c r="M525" s="8">
        <f>VLOOKUP($A525,'Temprorary Data'!$A:$G,4,FALSE)</f>
        <v>0.19400000000000001</v>
      </c>
      <c r="N525" s="9">
        <f>VLOOKUP($A525,'Temprorary Data'!$A:$G,5,FALSE)</f>
        <v>5</v>
      </c>
      <c r="O525" s="9">
        <f>VLOOKUP($A525,'Temprorary Data'!$A:$G,6,FALSE)</f>
        <v>23</v>
      </c>
      <c r="P525" s="9">
        <f>VLOOKUP($A525,'Temprorary Data'!$A:$G,7,FALSE)</f>
        <v>28</v>
      </c>
      <c r="Q525" t="b">
        <f t="shared" si="72"/>
        <v>1</v>
      </c>
      <c r="R525" t="str">
        <f t="shared" si="73"/>
        <v>January</v>
      </c>
      <c r="S525" t="str">
        <f t="shared" si="74"/>
        <v>Sunday</v>
      </c>
      <c r="T525" t="str">
        <f t="shared" si="75"/>
        <v>Weekend</v>
      </c>
      <c r="U525" t="str">
        <f t="shared" si="76"/>
        <v>Spring</v>
      </c>
      <c r="V525" t="str">
        <f t="shared" si="77"/>
        <v>Clear</v>
      </c>
      <c r="W525" t="str">
        <f t="shared" si="78"/>
        <v>Off Peak</v>
      </c>
      <c r="X525" t="str">
        <f t="shared" si="79"/>
        <v>Low</v>
      </c>
      <c r="Y525" t="str">
        <f t="shared" si="80"/>
        <v>Low</v>
      </c>
    </row>
    <row r="526" spans="1:25" ht="15.75" thickBot="1">
      <c r="A526" s="1">
        <v>525</v>
      </c>
      <c r="B526" s="2">
        <v>40566</v>
      </c>
      <c r="C526" s="1">
        <v>1</v>
      </c>
      <c r="D526" s="1">
        <v>0</v>
      </c>
      <c r="E526" s="1">
        <v>1</v>
      </c>
      <c r="F526" s="1">
        <v>23</v>
      </c>
      <c r="G526" s="3" t="b">
        <v>0</v>
      </c>
      <c r="H526" s="1">
        <v>0</v>
      </c>
      <c r="I526" s="1">
        <v>1</v>
      </c>
      <c r="J526" s="7">
        <v>0.06</v>
      </c>
      <c r="K526" s="8">
        <f>VLOOKUP($A526,'Temprorary Data'!$A:$G,2,FALSE)</f>
        <v>6.0600000000000001E-2</v>
      </c>
      <c r="L526" s="8">
        <f>VLOOKUP($A526,'Temprorary Data'!$A:$G,3,FALSE)</f>
        <v>0.41</v>
      </c>
      <c r="M526" s="8">
        <f>VLOOKUP($A526,'Temprorary Data'!$A:$G,4,FALSE)</f>
        <v>0.22389999999999999</v>
      </c>
      <c r="N526" s="9">
        <f>VLOOKUP($A526,'Temprorary Data'!$A:$G,5,FALSE)</f>
        <v>4</v>
      </c>
      <c r="O526" s="9">
        <f>VLOOKUP($A526,'Temprorary Data'!$A:$G,6,FALSE)</f>
        <v>17</v>
      </c>
      <c r="P526" s="9">
        <f>VLOOKUP($A526,'Temprorary Data'!$A:$G,7,FALSE)</f>
        <v>21</v>
      </c>
      <c r="Q526" t="b">
        <f t="shared" si="72"/>
        <v>1</v>
      </c>
      <c r="R526" t="str">
        <f t="shared" si="73"/>
        <v>January</v>
      </c>
      <c r="S526" t="str">
        <f t="shared" si="74"/>
        <v>Sunday</v>
      </c>
      <c r="T526" t="str">
        <f t="shared" si="75"/>
        <v>Weekend</v>
      </c>
      <c r="U526" t="str">
        <f t="shared" si="76"/>
        <v>Spring</v>
      </c>
      <c r="V526" t="str">
        <f t="shared" si="77"/>
        <v>Clear</v>
      </c>
      <c r="W526" t="str">
        <f t="shared" si="78"/>
        <v>Off Peak</v>
      </c>
      <c r="X526" t="str">
        <f t="shared" si="79"/>
        <v>Low</v>
      </c>
      <c r="Y526" t="str">
        <f t="shared" si="80"/>
        <v>Medium</v>
      </c>
    </row>
    <row r="527" spans="1:25" ht="15.75" thickBot="1">
      <c r="A527" s="1">
        <v>526</v>
      </c>
      <c r="B527" s="2">
        <v>40567</v>
      </c>
      <c r="C527" s="1">
        <v>1</v>
      </c>
      <c r="D527" s="1">
        <v>0</v>
      </c>
      <c r="E527" s="1">
        <v>1</v>
      </c>
      <c r="F527" s="1">
        <v>0</v>
      </c>
      <c r="G527" s="3" t="b">
        <v>0</v>
      </c>
      <c r="H527" s="1">
        <v>1</v>
      </c>
      <c r="I527" s="1">
        <v>1</v>
      </c>
      <c r="J527" s="7">
        <v>0.06</v>
      </c>
      <c r="K527" s="8">
        <f>VLOOKUP($A527,'Temprorary Data'!$A:$G,2,FALSE)</f>
        <v>6.0600000000000001E-2</v>
      </c>
      <c r="L527" s="8">
        <f>VLOOKUP($A527,'Temprorary Data'!$A:$G,3,FALSE)</f>
        <v>0.41</v>
      </c>
      <c r="M527" s="8">
        <f>VLOOKUP($A527,'Temprorary Data'!$A:$G,4,FALSE)</f>
        <v>0.19400000000000001</v>
      </c>
      <c r="N527" s="9">
        <f>VLOOKUP($A527,'Temprorary Data'!$A:$G,5,FALSE)</f>
        <v>0</v>
      </c>
      <c r="O527" s="9">
        <f>VLOOKUP($A527,'Temprorary Data'!$A:$G,6,FALSE)</f>
        <v>7</v>
      </c>
      <c r="P527" s="9">
        <f>VLOOKUP($A527,'Temprorary Data'!$A:$G,7,FALSE)</f>
        <v>7</v>
      </c>
      <c r="Q527" t="b">
        <f t="shared" si="72"/>
        <v>1</v>
      </c>
      <c r="R527" t="str">
        <f t="shared" si="73"/>
        <v>January</v>
      </c>
      <c r="S527" t="str">
        <f t="shared" si="74"/>
        <v>Monday</v>
      </c>
      <c r="T527" t="str">
        <f t="shared" si="75"/>
        <v>Weekday</v>
      </c>
      <c r="U527" t="str">
        <f t="shared" si="76"/>
        <v>Spring</v>
      </c>
      <c r="V527" t="str">
        <f t="shared" si="77"/>
        <v>Clear</v>
      </c>
      <c r="W527" t="str">
        <f t="shared" si="78"/>
        <v>Off Peak</v>
      </c>
      <c r="X527" t="str">
        <f t="shared" si="79"/>
        <v>Low</v>
      </c>
      <c r="Y527" t="str">
        <f t="shared" si="80"/>
        <v>Medium</v>
      </c>
    </row>
    <row r="528" spans="1:25" ht="15.75" thickBot="1">
      <c r="A528" s="1">
        <v>527</v>
      </c>
      <c r="B528" s="2">
        <v>40567</v>
      </c>
      <c r="C528" s="1">
        <v>1</v>
      </c>
      <c r="D528" s="1">
        <v>0</v>
      </c>
      <c r="E528" s="1">
        <v>1</v>
      </c>
      <c r="F528" s="1">
        <v>1</v>
      </c>
      <c r="G528" s="3" t="b">
        <v>0</v>
      </c>
      <c r="H528" s="1">
        <v>1</v>
      </c>
      <c r="I528" s="1">
        <v>1</v>
      </c>
      <c r="J528" s="7">
        <v>0.04</v>
      </c>
      <c r="K528" s="8">
        <f>VLOOKUP($A528,'Temprorary Data'!$A:$G,2,FALSE)</f>
        <v>4.5499999999999999E-2</v>
      </c>
      <c r="L528" s="8">
        <f>VLOOKUP($A528,'Temprorary Data'!$A:$G,3,FALSE)</f>
        <v>0.45</v>
      </c>
      <c r="M528" s="8">
        <f>VLOOKUP($A528,'Temprorary Data'!$A:$G,4,FALSE)</f>
        <v>0.19400000000000001</v>
      </c>
      <c r="N528" s="9">
        <f>VLOOKUP($A528,'Temprorary Data'!$A:$G,5,FALSE)</f>
        <v>0</v>
      </c>
      <c r="O528" s="9">
        <f>VLOOKUP($A528,'Temprorary Data'!$A:$G,6,FALSE)</f>
        <v>1</v>
      </c>
      <c r="P528" s="9">
        <f>VLOOKUP($A528,'Temprorary Data'!$A:$G,7,FALSE)</f>
        <v>1</v>
      </c>
      <c r="Q528" t="b">
        <f t="shared" si="72"/>
        <v>1</v>
      </c>
      <c r="R528" t="str">
        <f t="shared" si="73"/>
        <v>January</v>
      </c>
      <c r="S528" t="str">
        <f t="shared" si="74"/>
        <v>Monday</v>
      </c>
      <c r="T528" t="str">
        <f t="shared" si="75"/>
        <v>Weekday</v>
      </c>
      <c r="U528" t="str">
        <f t="shared" si="76"/>
        <v>Spring</v>
      </c>
      <c r="V528" t="str">
        <f t="shared" si="77"/>
        <v>Clear</v>
      </c>
      <c r="W528" t="str">
        <f t="shared" si="78"/>
        <v>Off Peak</v>
      </c>
      <c r="X528" t="str">
        <f t="shared" si="79"/>
        <v>Low</v>
      </c>
      <c r="Y528" t="str">
        <f t="shared" si="80"/>
        <v>Medium</v>
      </c>
    </row>
    <row r="529" spans="1:25" ht="15.75" thickBot="1">
      <c r="A529" s="1">
        <v>528</v>
      </c>
      <c r="B529" s="2">
        <v>40567</v>
      </c>
      <c r="C529" s="1">
        <v>1</v>
      </c>
      <c r="D529" s="1">
        <v>0</v>
      </c>
      <c r="E529" s="1">
        <v>1</v>
      </c>
      <c r="F529" s="1">
        <v>3</v>
      </c>
      <c r="G529" s="3" t="b">
        <v>0</v>
      </c>
      <c r="H529" s="1">
        <v>1</v>
      </c>
      <c r="I529" s="1">
        <v>1</v>
      </c>
      <c r="J529" s="7">
        <v>0.04</v>
      </c>
      <c r="K529" s="8">
        <f>VLOOKUP($A529,'Temprorary Data'!$A:$G,2,FALSE)</f>
        <v>3.0300000000000001E-2</v>
      </c>
      <c r="L529" s="8">
        <f>VLOOKUP($A529,'Temprorary Data'!$A:$G,3,FALSE)</f>
        <v>0.45</v>
      </c>
      <c r="M529" s="8">
        <f>VLOOKUP($A529,'Temprorary Data'!$A:$G,4,FALSE)</f>
        <v>0.25369999999999998</v>
      </c>
      <c r="N529" s="9">
        <f>VLOOKUP($A529,'Temprorary Data'!$A:$G,5,FALSE)</f>
        <v>0</v>
      </c>
      <c r="O529" s="9">
        <f>VLOOKUP($A529,'Temprorary Data'!$A:$G,6,FALSE)</f>
        <v>1</v>
      </c>
      <c r="P529" s="9">
        <f>VLOOKUP($A529,'Temprorary Data'!$A:$G,7,FALSE)</f>
        <v>1</v>
      </c>
      <c r="Q529" t="b">
        <f t="shared" si="72"/>
        <v>1</v>
      </c>
      <c r="R529" t="str">
        <f t="shared" si="73"/>
        <v>January</v>
      </c>
      <c r="S529" t="str">
        <f t="shared" si="74"/>
        <v>Monday</v>
      </c>
      <c r="T529" t="str">
        <f t="shared" si="75"/>
        <v>Weekday</v>
      </c>
      <c r="U529" t="str">
        <f t="shared" si="76"/>
        <v>Spring</v>
      </c>
      <c r="V529" t="str">
        <f t="shared" si="77"/>
        <v>Clear</v>
      </c>
      <c r="W529" t="str">
        <f t="shared" si="78"/>
        <v>Off Peak</v>
      </c>
      <c r="X529" t="str">
        <f t="shared" si="79"/>
        <v>Low</v>
      </c>
      <c r="Y529" t="str">
        <f t="shared" si="80"/>
        <v>Medium</v>
      </c>
    </row>
    <row r="530" spans="1:25" ht="15.75" thickBot="1">
      <c r="A530" s="1">
        <v>529</v>
      </c>
      <c r="B530" s="2">
        <v>40567</v>
      </c>
      <c r="C530" s="1">
        <v>1</v>
      </c>
      <c r="D530" s="1">
        <v>0</v>
      </c>
      <c r="E530" s="1">
        <v>1</v>
      </c>
      <c r="F530" s="1">
        <v>4</v>
      </c>
      <c r="G530" s="3" t="b">
        <v>0</v>
      </c>
      <c r="H530" s="1">
        <v>1</v>
      </c>
      <c r="I530" s="1">
        <v>1</v>
      </c>
      <c r="J530" s="7">
        <v>0.02</v>
      </c>
      <c r="K530" s="8">
        <f>VLOOKUP($A530,'Temprorary Data'!$A:$G,2,FALSE)</f>
        <v>6.0600000000000001E-2</v>
      </c>
      <c r="L530" s="8">
        <f>VLOOKUP($A530,'Temprorary Data'!$A:$G,3,FALSE)</f>
        <v>0.48</v>
      </c>
      <c r="M530" s="8">
        <f>VLOOKUP($A530,'Temprorary Data'!$A:$G,4,FALSE)</f>
        <v>0.1343</v>
      </c>
      <c r="N530" s="9">
        <f>VLOOKUP($A530,'Temprorary Data'!$A:$G,5,FALSE)</f>
        <v>0</v>
      </c>
      <c r="O530" s="9">
        <f>VLOOKUP($A530,'Temprorary Data'!$A:$G,6,FALSE)</f>
        <v>1</v>
      </c>
      <c r="P530" s="9">
        <f>VLOOKUP($A530,'Temprorary Data'!$A:$G,7,FALSE)</f>
        <v>1</v>
      </c>
      <c r="Q530" t="b">
        <f t="shared" si="72"/>
        <v>1</v>
      </c>
      <c r="R530" t="str">
        <f t="shared" si="73"/>
        <v>January</v>
      </c>
      <c r="S530" t="str">
        <f t="shared" si="74"/>
        <v>Monday</v>
      </c>
      <c r="T530" t="str">
        <f t="shared" si="75"/>
        <v>Weekday</v>
      </c>
      <c r="U530" t="str">
        <f t="shared" si="76"/>
        <v>Spring</v>
      </c>
      <c r="V530" t="str">
        <f t="shared" si="77"/>
        <v>Clear</v>
      </c>
      <c r="W530" t="str">
        <f t="shared" si="78"/>
        <v>Off Peak</v>
      </c>
      <c r="X530" t="str">
        <f t="shared" si="79"/>
        <v>Low</v>
      </c>
      <c r="Y530" t="str">
        <f t="shared" si="80"/>
        <v>Medium</v>
      </c>
    </row>
    <row r="531" spans="1:25" ht="15.75" thickBot="1">
      <c r="A531" s="1">
        <v>530</v>
      </c>
      <c r="B531" s="2">
        <v>40567</v>
      </c>
      <c r="C531" s="1">
        <v>1</v>
      </c>
      <c r="D531" s="1">
        <v>0</v>
      </c>
      <c r="E531" s="1">
        <v>1</v>
      </c>
      <c r="F531" s="1">
        <v>5</v>
      </c>
      <c r="G531" s="3" t="b">
        <v>0</v>
      </c>
      <c r="H531" s="1">
        <v>1</v>
      </c>
      <c r="I531" s="1">
        <v>1</v>
      </c>
      <c r="J531" s="7">
        <v>0.02</v>
      </c>
      <c r="K531" s="8">
        <f>VLOOKUP($A531,'Temprorary Data'!$A:$G,2,FALSE)</f>
        <v>6.0600000000000001E-2</v>
      </c>
      <c r="L531" s="8">
        <f>VLOOKUP($A531,'Temprorary Data'!$A:$G,3,FALSE)</f>
        <v>0.48</v>
      </c>
      <c r="M531" s="8">
        <f>VLOOKUP($A531,'Temprorary Data'!$A:$G,4,FALSE)</f>
        <v>0.1343</v>
      </c>
      <c r="N531" s="9">
        <f>VLOOKUP($A531,'Temprorary Data'!$A:$G,5,FALSE)</f>
        <v>0</v>
      </c>
      <c r="O531" s="9">
        <f>VLOOKUP($A531,'Temprorary Data'!$A:$G,6,FALSE)</f>
        <v>5</v>
      </c>
      <c r="P531" s="9">
        <f>VLOOKUP($A531,'Temprorary Data'!$A:$G,7,FALSE)</f>
        <v>5</v>
      </c>
      <c r="Q531" t="b">
        <f t="shared" si="72"/>
        <v>1</v>
      </c>
      <c r="R531" t="str">
        <f t="shared" si="73"/>
        <v>January</v>
      </c>
      <c r="S531" t="str">
        <f t="shared" si="74"/>
        <v>Monday</v>
      </c>
      <c r="T531" t="str">
        <f t="shared" si="75"/>
        <v>Weekday</v>
      </c>
      <c r="U531" t="str">
        <f t="shared" si="76"/>
        <v>Spring</v>
      </c>
      <c r="V531" t="str">
        <f t="shared" si="77"/>
        <v>Clear</v>
      </c>
      <c r="W531" t="str">
        <f t="shared" si="78"/>
        <v>Off Peak</v>
      </c>
      <c r="X531" t="str">
        <f t="shared" si="79"/>
        <v>Low</v>
      </c>
      <c r="Y531" t="str">
        <f t="shared" si="80"/>
        <v>Medium</v>
      </c>
    </row>
    <row r="532" spans="1:25" ht="15.75" thickBot="1">
      <c r="A532" s="1">
        <v>531</v>
      </c>
      <c r="B532" s="2">
        <v>40567</v>
      </c>
      <c r="C532" s="1">
        <v>1</v>
      </c>
      <c r="D532" s="1">
        <v>0</v>
      </c>
      <c r="E532" s="1">
        <v>1</v>
      </c>
      <c r="F532" s="1">
        <v>6</v>
      </c>
      <c r="G532" s="3" t="b">
        <v>0</v>
      </c>
      <c r="H532" s="1">
        <v>1</v>
      </c>
      <c r="I532" s="1">
        <v>1</v>
      </c>
      <c r="J532" s="7">
        <v>0.02</v>
      </c>
      <c r="K532" s="8">
        <f>VLOOKUP($A532,'Temprorary Data'!$A:$G,2,FALSE)</f>
        <v>7.5800000000000006E-2</v>
      </c>
      <c r="L532" s="8">
        <f>VLOOKUP($A532,'Temprorary Data'!$A:$G,3,FALSE)</f>
        <v>0.48</v>
      </c>
      <c r="M532" s="8">
        <f>VLOOKUP($A532,'Temprorary Data'!$A:$G,4,FALSE)</f>
        <v>8.9599999999999999E-2</v>
      </c>
      <c r="N532" s="9">
        <f>VLOOKUP($A532,'Temprorary Data'!$A:$G,5,FALSE)</f>
        <v>0</v>
      </c>
      <c r="O532" s="9">
        <f>VLOOKUP($A532,'Temprorary Data'!$A:$G,6,FALSE)</f>
        <v>15</v>
      </c>
      <c r="P532" s="9">
        <f>VLOOKUP($A532,'Temprorary Data'!$A:$G,7,FALSE)</f>
        <v>15</v>
      </c>
      <c r="Q532" t="b">
        <f t="shared" si="72"/>
        <v>1</v>
      </c>
      <c r="R532" t="str">
        <f t="shared" si="73"/>
        <v>January</v>
      </c>
      <c r="S532" t="str">
        <f t="shared" si="74"/>
        <v>Monday</v>
      </c>
      <c r="T532" t="str">
        <f t="shared" si="75"/>
        <v>Weekday</v>
      </c>
      <c r="U532" t="str">
        <f t="shared" si="76"/>
        <v>Spring</v>
      </c>
      <c r="V532" t="str">
        <f t="shared" si="77"/>
        <v>Clear</v>
      </c>
      <c r="W532" t="str">
        <f t="shared" si="78"/>
        <v>Off Peak</v>
      </c>
      <c r="X532" t="str">
        <f t="shared" si="79"/>
        <v>Low</v>
      </c>
      <c r="Y532" t="str">
        <f t="shared" si="80"/>
        <v>Medium</v>
      </c>
    </row>
    <row r="533" spans="1:25" ht="15.75" thickBot="1">
      <c r="A533" s="1">
        <v>532</v>
      </c>
      <c r="B533" s="2">
        <v>40567</v>
      </c>
      <c r="C533" s="1">
        <v>1</v>
      </c>
      <c r="D533" s="1">
        <v>0</v>
      </c>
      <c r="E533" s="1">
        <v>1</v>
      </c>
      <c r="F533" s="1">
        <v>7</v>
      </c>
      <c r="G533" s="3" t="b">
        <v>0</v>
      </c>
      <c r="H533" s="1">
        <v>1</v>
      </c>
      <c r="I533" s="1">
        <v>1</v>
      </c>
      <c r="J533" s="7">
        <v>0.02</v>
      </c>
      <c r="K533" s="8">
        <f>VLOOKUP($A533,'Temprorary Data'!$A:$G,2,FALSE)</f>
        <v>0.1212</v>
      </c>
      <c r="L533" s="8">
        <f>VLOOKUP($A533,'Temprorary Data'!$A:$G,3,FALSE)</f>
        <v>0.48</v>
      </c>
      <c r="M533" s="8">
        <f>VLOOKUP($A533,'Temprorary Data'!$A:$G,4,FALSE)</f>
        <v>0</v>
      </c>
      <c r="N533" s="9">
        <f>VLOOKUP($A533,'Temprorary Data'!$A:$G,5,FALSE)</f>
        <v>5</v>
      </c>
      <c r="O533" s="9">
        <f>VLOOKUP($A533,'Temprorary Data'!$A:$G,6,FALSE)</f>
        <v>79</v>
      </c>
      <c r="P533" s="9">
        <f>VLOOKUP($A533,'Temprorary Data'!$A:$G,7,FALSE)</f>
        <v>84</v>
      </c>
      <c r="Q533" t="b">
        <f t="shared" si="72"/>
        <v>1</v>
      </c>
      <c r="R533" t="str">
        <f t="shared" si="73"/>
        <v>January</v>
      </c>
      <c r="S533" t="str">
        <f t="shared" si="74"/>
        <v>Monday</v>
      </c>
      <c r="T533" t="str">
        <f t="shared" si="75"/>
        <v>Weekday</v>
      </c>
      <c r="U533" t="str">
        <f t="shared" si="76"/>
        <v>Spring</v>
      </c>
      <c r="V533" t="str">
        <f t="shared" si="77"/>
        <v>Clear</v>
      </c>
      <c r="W533" t="str">
        <f t="shared" si="78"/>
        <v>Morning Peak</v>
      </c>
      <c r="X533" t="str">
        <f t="shared" si="79"/>
        <v>Low</v>
      </c>
      <c r="Y533" t="str">
        <f t="shared" si="80"/>
        <v>Medium</v>
      </c>
    </row>
    <row r="534" spans="1:25" ht="15.75" thickBot="1">
      <c r="A534" s="1">
        <v>533</v>
      </c>
      <c r="B534" s="2">
        <v>40567</v>
      </c>
      <c r="C534" s="1">
        <v>1</v>
      </c>
      <c r="D534" s="1">
        <v>0</v>
      </c>
      <c r="E534" s="1">
        <v>1</v>
      </c>
      <c r="F534" s="1">
        <v>8</v>
      </c>
      <c r="G534" s="3" t="b">
        <v>0</v>
      </c>
      <c r="H534" s="1">
        <v>1</v>
      </c>
      <c r="I534" s="1">
        <v>1</v>
      </c>
      <c r="J534" s="7">
        <v>0.04</v>
      </c>
      <c r="K534" s="8">
        <f>VLOOKUP($A534,'Temprorary Data'!$A:$G,2,FALSE)</f>
        <v>0.13639999999999999</v>
      </c>
      <c r="L534" s="8">
        <f>VLOOKUP($A534,'Temprorary Data'!$A:$G,3,FALSE)</f>
        <v>0.49</v>
      </c>
      <c r="M534" s="8">
        <f>VLOOKUP($A534,'Temprorary Data'!$A:$G,4,FALSE)</f>
        <v>0</v>
      </c>
      <c r="N534" s="9">
        <f>VLOOKUP($A534,'Temprorary Data'!$A:$G,5,FALSE)</f>
        <v>6</v>
      </c>
      <c r="O534" s="9">
        <f>VLOOKUP($A534,'Temprorary Data'!$A:$G,6,FALSE)</f>
        <v>171</v>
      </c>
      <c r="P534" s="9">
        <f>VLOOKUP($A534,'Temprorary Data'!$A:$G,7,FALSE)</f>
        <v>177</v>
      </c>
      <c r="Q534" t="b">
        <f t="shared" si="72"/>
        <v>1</v>
      </c>
      <c r="R534" t="str">
        <f t="shared" si="73"/>
        <v>January</v>
      </c>
      <c r="S534" t="str">
        <f t="shared" si="74"/>
        <v>Monday</v>
      </c>
      <c r="T534" t="str">
        <f t="shared" si="75"/>
        <v>Weekday</v>
      </c>
      <c r="U534" t="str">
        <f t="shared" si="76"/>
        <v>Spring</v>
      </c>
      <c r="V534" t="str">
        <f t="shared" si="77"/>
        <v>Clear</v>
      </c>
      <c r="W534" t="str">
        <f t="shared" si="78"/>
        <v>Morning Peak</v>
      </c>
      <c r="X534" t="str">
        <f t="shared" si="79"/>
        <v>Low</v>
      </c>
      <c r="Y534" t="str">
        <f t="shared" si="80"/>
        <v>Medium</v>
      </c>
    </row>
    <row r="535" spans="1:25" ht="15.75" thickBot="1">
      <c r="A535" s="1">
        <v>534</v>
      </c>
      <c r="B535" s="2">
        <v>40567</v>
      </c>
      <c r="C535" s="1">
        <v>1</v>
      </c>
      <c r="D535" s="1">
        <v>0</v>
      </c>
      <c r="E535" s="1">
        <v>1</v>
      </c>
      <c r="F535" s="1">
        <v>9</v>
      </c>
      <c r="G535" s="3" t="b">
        <v>0</v>
      </c>
      <c r="H535" s="1">
        <v>1</v>
      </c>
      <c r="I535" s="1">
        <v>1</v>
      </c>
      <c r="J535" s="7">
        <v>0.06</v>
      </c>
      <c r="K535" s="8">
        <f>VLOOKUP($A535,'Temprorary Data'!$A:$G,2,FALSE)</f>
        <v>0.1515</v>
      </c>
      <c r="L535" s="8">
        <f>VLOOKUP($A535,'Temprorary Data'!$A:$G,3,FALSE)</f>
        <v>0.41</v>
      </c>
      <c r="M535" s="8">
        <f>VLOOKUP($A535,'Temprorary Data'!$A:$G,4,FALSE)</f>
        <v>0</v>
      </c>
      <c r="N535" s="9">
        <f>VLOOKUP($A535,'Temprorary Data'!$A:$G,5,FALSE)</f>
        <v>4</v>
      </c>
      <c r="O535" s="9">
        <f>VLOOKUP($A535,'Temprorary Data'!$A:$G,6,FALSE)</f>
        <v>98</v>
      </c>
      <c r="P535" s="9">
        <f>VLOOKUP($A535,'Temprorary Data'!$A:$G,7,FALSE)</f>
        <v>102</v>
      </c>
      <c r="Q535" t="b">
        <f t="shared" si="72"/>
        <v>1</v>
      </c>
      <c r="R535" t="str">
        <f t="shared" si="73"/>
        <v>January</v>
      </c>
      <c r="S535" t="str">
        <f t="shared" si="74"/>
        <v>Monday</v>
      </c>
      <c r="T535" t="str">
        <f t="shared" si="75"/>
        <v>Weekday</v>
      </c>
      <c r="U535" t="str">
        <f t="shared" si="76"/>
        <v>Spring</v>
      </c>
      <c r="V535" t="str">
        <f t="shared" si="77"/>
        <v>Clear</v>
      </c>
      <c r="W535" t="str">
        <f t="shared" si="78"/>
        <v>Morning Peak</v>
      </c>
      <c r="X535" t="str">
        <f t="shared" si="79"/>
        <v>Low</v>
      </c>
      <c r="Y535" t="str">
        <f t="shared" si="80"/>
        <v>Medium</v>
      </c>
    </row>
    <row r="536" spans="1:25" ht="15.75" thickBot="1">
      <c r="A536" s="1">
        <v>535</v>
      </c>
      <c r="B536" s="2">
        <v>40567</v>
      </c>
      <c r="C536" s="1">
        <v>1</v>
      </c>
      <c r="D536" s="1">
        <v>0</v>
      </c>
      <c r="E536" s="1">
        <v>1</v>
      </c>
      <c r="F536" s="1">
        <v>10</v>
      </c>
      <c r="G536" s="3" t="b">
        <v>0</v>
      </c>
      <c r="H536" s="1">
        <v>1</v>
      </c>
      <c r="I536" s="1">
        <v>1</v>
      </c>
      <c r="J536" s="7">
        <v>0.1</v>
      </c>
      <c r="K536" s="8">
        <f>VLOOKUP($A536,'Temprorary Data'!$A:$G,2,FALSE)</f>
        <v>0.13639999999999999</v>
      </c>
      <c r="L536" s="8">
        <f>VLOOKUP($A536,'Temprorary Data'!$A:$G,3,FALSE)</f>
        <v>0.42</v>
      </c>
      <c r="M536" s="8">
        <f>VLOOKUP($A536,'Temprorary Data'!$A:$G,4,FALSE)</f>
        <v>0</v>
      </c>
      <c r="N536" s="9">
        <f>VLOOKUP($A536,'Temprorary Data'!$A:$G,5,FALSE)</f>
        <v>6</v>
      </c>
      <c r="O536" s="9">
        <f>VLOOKUP($A536,'Temprorary Data'!$A:$G,6,FALSE)</f>
        <v>34</v>
      </c>
      <c r="P536" s="9">
        <f>VLOOKUP($A536,'Temprorary Data'!$A:$G,7,FALSE)</f>
        <v>40</v>
      </c>
      <c r="Q536" t="b">
        <f t="shared" si="72"/>
        <v>1</v>
      </c>
      <c r="R536" t="str">
        <f t="shared" si="73"/>
        <v>January</v>
      </c>
      <c r="S536" t="str">
        <f t="shared" si="74"/>
        <v>Monday</v>
      </c>
      <c r="T536" t="str">
        <f t="shared" si="75"/>
        <v>Weekday</v>
      </c>
      <c r="U536" t="str">
        <f t="shared" si="76"/>
        <v>Spring</v>
      </c>
      <c r="V536" t="str">
        <f t="shared" si="77"/>
        <v>Clear</v>
      </c>
      <c r="W536" t="str">
        <f t="shared" si="78"/>
        <v>Off Peak</v>
      </c>
      <c r="X536" t="str">
        <f t="shared" si="79"/>
        <v>Low</v>
      </c>
      <c r="Y536" t="str">
        <f t="shared" si="80"/>
        <v>Medium</v>
      </c>
    </row>
    <row r="537" spans="1:25" ht="15.75" thickBot="1">
      <c r="A537" s="1">
        <v>536</v>
      </c>
      <c r="B537" s="2">
        <v>40567</v>
      </c>
      <c r="C537" s="1">
        <v>1</v>
      </c>
      <c r="D537" s="1">
        <v>0</v>
      </c>
      <c r="E537" s="1">
        <v>1</v>
      </c>
      <c r="F537" s="1">
        <v>11</v>
      </c>
      <c r="G537" s="3" t="b">
        <v>0</v>
      </c>
      <c r="H537" s="1">
        <v>1</v>
      </c>
      <c r="I537" s="1">
        <v>1</v>
      </c>
      <c r="J537" s="7">
        <v>0.1</v>
      </c>
      <c r="K537" s="8">
        <f>VLOOKUP($A537,'Temprorary Data'!$A:$G,2,FALSE)</f>
        <v>0.1212</v>
      </c>
      <c r="L537" s="8">
        <f>VLOOKUP($A537,'Temprorary Data'!$A:$G,3,FALSE)</f>
        <v>0.46</v>
      </c>
      <c r="M537" s="8">
        <f>VLOOKUP($A537,'Temprorary Data'!$A:$G,4,FALSE)</f>
        <v>0.1343</v>
      </c>
      <c r="N537" s="9">
        <f>VLOOKUP($A537,'Temprorary Data'!$A:$G,5,FALSE)</f>
        <v>3</v>
      </c>
      <c r="O537" s="9">
        <f>VLOOKUP($A537,'Temprorary Data'!$A:$G,6,FALSE)</f>
        <v>43</v>
      </c>
      <c r="P537" s="9">
        <f>VLOOKUP($A537,'Temprorary Data'!$A:$G,7,FALSE)</f>
        <v>46</v>
      </c>
      <c r="Q537" t="b">
        <f t="shared" si="72"/>
        <v>1</v>
      </c>
      <c r="R537" t="str">
        <f t="shared" si="73"/>
        <v>January</v>
      </c>
      <c r="S537" t="str">
        <f t="shared" si="74"/>
        <v>Monday</v>
      </c>
      <c r="T537" t="str">
        <f t="shared" si="75"/>
        <v>Weekday</v>
      </c>
      <c r="U537" t="str">
        <f t="shared" si="76"/>
        <v>Spring</v>
      </c>
      <c r="V537" t="str">
        <f t="shared" si="77"/>
        <v>Clear</v>
      </c>
      <c r="W537" t="str">
        <f t="shared" si="78"/>
        <v>Off Peak</v>
      </c>
      <c r="X537" t="str">
        <f t="shared" si="79"/>
        <v>Low</v>
      </c>
      <c r="Y537" t="str">
        <f t="shared" si="80"/>
        <v>Medium</v>
      </c>
    </row>
    <row r="538" spans="1:25" ht="15.75" thickBot="1">
      <c r="A538" s="1">
        <v>537</v>
      </c>
      <c r="B538" s="2">
        <v>40567</v>
      </c>
      <c r="C538" s="1">
        <v>1</v>
      </c>
      <c r="D538" s="1">
        <v>0</v>
      </c>
      <c r="E538" s="1">
        <v>1</v>
      </c>
      <c r="F538" s="1">
        <v>12</v>
      </c>
      <c r="G538" s="3" t="b">
        <v>0</v>
      </c>
      <c r="H538" s="1">
        <v>1</v>
      </c>
      <c r="I538" s="1">
        <v>2</v>
      </c>
      <c r="J538" s="7">
        <v>0.12</v>
      </c>
      <c r="K538" s="8">
        <f>VLOOKUP($A538,'Temprorary Data'!$A:$G,2,FALSE)</f>
        <v>0.13639999999999999</v>
      </c>
      <c r="L538" s="8">
        <f>VLOOKUP($A538,'Temprorary Data'!$A:$G,3,FALSE)</f>
        <v>0.42</v>
      </c>
      <c r="M538" s="8">
        <f>VLOOKUP($A538,'Temprorary Data'!$A:$G,4,FALSE)</f>
        <v>0.19400000000000001</v>
      </c>
      <c r="N538" s="9">
        <f>VLOOKUP($A538,'Temprorary Data'!$A:$G,5,FALSE)</f>
        <v>11</v>
      </c>
      <c r="O538" s="9">
        <f>VLOOKUP($A538,'Temprorary Data'!$A:$G,6,FALSE)</f>
        <v>52</v>
      </c>
      <c r="P538" s="9">
        <f>VLOOKUP($A538,'Temprorary Data'!$A:$G,7,FALSE)</f>
        <v>63</v>
      </c>
      <c r="Q538" t="b">
        <f t="shared" si="72"/>
        <v>1</v>
      </c>
      <c r="R538" t="str">
        <f t="shared" si="73"/>
        <v>January</v>
      </c>
      <c r="S538" t="str">
        <f t="shared" si="74"/>
        <v>Monday</v>
      </c>
      <c r="T538" t="str">
        <f t="shared" si="75"/>
        <v>Weekday</v>
      </c>
      <c r="U538" t="str">
        <f t="shared" si="76"/>
        <v>Spring</v>
      </c>
      <c r="V538" t="str">
        <f t="shared" si="77"/>
        <v>Mist</v>
      </c>
      <c r="W538" t="str">
        <f t="shared" si="78"/>
        <v>Off Peak</v>
      </c>
      <c r="X538" t="str">
        <f t="shared" si="79"/>
        <v>Low</v>
      </c>
      <c r="Y538" t="str">
        <f t="shared" si="80"/>
        <v>Medium</v>
      </c>
    </row>
    <row r="539" spans="1:25" ht="15.75" thickBot="1">
      <c r="A539" s="1">
        <v>538</v>
      </c>
      <c r="B539" s="2">
        <v>40567</v>
      </c>
      <c r="C539" s="1">
        <v>1</v>
      </c>
      <c r="D539" s="1">
        <v>0</v>
      </c>
      <c r="E539" s="1">
        <v>1</v>
      </c>
      <c r="F539" s="1">
        <v>13</v>
      </c>
      <c r="G539" s="3" t="b">
        <v>0</v>
      </c>
      <c r="H539" s="1">
        <v>1</v>
      </c>
      <c r="I539" s="1">
        <v>2</v>
      </c>
      <c r="J539" s="7">
        <v>0.14000000000000001</v>
      </c>
      <c r="K539" s="8">
        <f>VLOOKUP($A539,'Temprorary Data'!$A:$G,2,FALSE)</f>
        <v>0.13639999999999999</v>
      </c>
      <c r="L539" s="8">
        <f>VLOOKUP($A539,'Temprorary Data'!$A:$G,3,FALSE)</f>
        <v>0.43</v>
      </c>
      <c r="M539" s="8">
        <f>VLOOKUP($A539,'Temprorary Data'!$A:$G,4,FALSE)</f>
        <v>0.22389999999999999</v>
      </c>
      <c r="N539" s="9">
        <f>VLOOKUP($A539,'Temprorary Data'!$A:$G,5,FALSE)</f>
        <v>6</v>
      </c>
      <c r="O539" s="9">
        <f>VLOOKUP($A539,'Temprorary Data'!$A:$G,6,FALSE)</f>
        <v>54</v>
      </c>
      <c r="P539" s="9">
        <f>VLOOKUP($A539,'Temprorary Data'!$A:$G,7,FALSE)</f>
        <v>60</v>
      </c>
      <c r="Q539" t="b">
        <f t="shared" si="72"/>
        <v>1</v>
      </c>
      <c r="R539" t="str">
        <f t="shared" si="73"/>
        <v>January</v>
      </c>
      <c r="S539" t="str">
        <f t="shared" si="74"/>
        <v>Monday</v>
      </c>
      <c r="T539" t="str">
        <f t="shared" si="75"/>
        <v>Weekday</v>
      </c>
      <c r="U539" t="str">
        <f t="shared" si="76"/>
        <v>Spring</v>
      </c>
      <c r="V539" t="str">
        <f t="shared" si="77"/>
        <v>Mist</v>
      </c>
      <c r="W539" t="str">
        <f t="shared" si="78"/>
        <v>Off Peak</v>
      </c>
      <c r="X539" t="str">
        <f t="shared" si="79"/>
        <v>Low</v>
      </c>
      <c r="Y539" t="str">
        <f t="shared" si="80"/>
        <v>Medium</v>
      </c>
    </row>
    <row r="540" spans="1:25" ht="15.75" thickBot="1">
      <c r="A540" s="1">
        <v>539</v>
      </c>
      <c r="B540" s="2">
        <v>40567</v>
      </c>
      <c r="C540" s="1">
        <v>1</v>
      </c>
      <c r="D540" s="1">
        <v>0</v>
      </c>
      <c r="E540" s="1">
        <v>1</v>
      </c>
      <c r="F540" s="1">
        <v>14</v>
      </c>
      <c r="G540" s="3" t="b">
        <v>0</v>
      </c>
      <c r="H540" s="1">
        <v>1</v>
      </c>
      <c r="I540" s="1">
        <v>2</v>
      </c>
      <c r="J540" s="7">
        <v>0.14000000000000001</v>
      </c>
      <c r="K540" s="8">
        <f>VLOOKUP($A540,'Temprorary Data'!$A:$G,2,FALSE)</f>
        <v>0.13639999999999999</v>
      </c>
      <c r="L540" s="8">
        <f>VLOOKUP($A540,'Temprorary Data'!$A:$G,3,FALSE)</f>
        <v>0.46</v>
      </c>
      <c r="M540" s="8">
        <f>VLOOKUP($A540,'Temprorary Data'!$A:$G,4,FALSE)</f>
        <v>0.22389999999999999</v>
      </c>
      <c r="N540" s="9">
        <f>VLOOKUP($A540,'Temprorary Data'!$A:$G,5,FALSE)</f>
        <v>2</v>
      </c>
      <c r="O540" s="9">
        <f>VLOOKUP($A540,'Temprorary Data'!$A:$G,6,FALSE)</f>
        <v>43</v>
      </c>
      <c r="P540" s="9">
        <f>VLOOKUP($A540,'Temprorary Data'!$A:$G,7,FALSE)</f>
        <v>45</v>
      </c>
      <c r="Q540" t="b">
        <f t="shared" si="72"/>
        <v>1</v>
      </c>
      <c r="R540" t="str">
        <f t="shared" si="73"/>
        <v>January</v>
      </c>
      <c r="S540" t="str">
        <f t="shared" si="74"/>
        <v>Monday</v>
      </c>
      <c r="T540" t="str">
        <f t="shared" si="75"/>
        <v>Weekday</v>
      </c>
      <c r="U540" t="str">
        <f t="shared" si="76"/>
        <v>Spring</v>
      </c>
      <c r="V540" t="str">
        <f t="shared" si="77"/>
        <v>Mist</v>
      </c>
      <c r="W540" t="str">
        <f t="shared" si="78"/>
        <v>Off Peak</v>
      </c>
      <c r="X540" t="str">
        <f t="shared" si="79"/>
        <v>Low</v>
      </c>
      <c r="Y540" t="str">
        <f t="shared" si="80"/>
        <v>Medium</v>
      </c>
    </row>
    <row r="541" spans="1:25" ht="15.75" thickBot="1">
      <c r="A541" s="1">
        <v>540</v>
      </c>
      <c r="B541" s="2">
        <v>40567</v>
      </c>
      <c r="C541" s="1">
        <v>1</v>
      </c>
      <c r="D541" s="1">
        <v>0</v>
      </c>
      <c r="E541" s="1">
        <v>1</v>
      </c>
      <c r="F541" s="1">
        <v>15</v>
      </c>
      <c r="G541" s="3" t="b">
        <v>0</v>
      </c>
      <c r="H541" s="1">
        <v>1</v>
      </c>
      <c r="I541" s="1">
        <v>1</v>
      </c>
      <c r="J541" s="7">
        <v>0.16</v>
      </c>
      <c r="K541" s="8">
        <f>VLOOKUP($A541,'Temprorary Data'!$A:$G,2,FALSE)</f>
        <v>0.16669999999999999</v>
      </c>
      <c r="L541" s="8">
        <f>VLOOKUP($A541,'Temprorary Data'!$A:$G,3,FALSE)</f>
        <v>0.4</v>
      </c>
      <c r="M541" s="8">
        <f>VLOOKUP($A541,'Temprorary Data'!$A:$G,4,FALSE)</f>
        <v>0.16420000000000001</v>
      </c>
      <c r="N541" s="9">
        <f>VLOOKUP($A541,'Temprorary Data'!$A:$G,5,FALSE)</f>
        <v>7</v>
      </c>
      <c r="O541" s="9">
        <f>VLOOKUP($A541,'Temprorary Data'!$A:$G,6,FALSE)</f>
        <v>50</v>
      </c>
      <c r="P541" s="9">
        <f>VLOOKUP($A541,'Temprorary Data'!$A:$G,7,FALSE)</f>
        <v>57</v>
      </c>
      <c r="Q541" t="b">
        <f t="shared" si="72"/>
        <v>1</v>
      </c>
      <c r="R541" t="str">
        <f t="shared" si="73"/>
        <v>January</v>
      </c>
      <c r="S541" t="str">
        <f t="shared" si="74"/>
        <v>Monday</v>
      </c>
      <c r="T541" t="str">
        <f t="shared" si="75"/>
        <v>Weekday</v>
      </c>
      <c r="U541" t="str">
        <f t="shared" si="76"/>
        <v>Spring</v>
      </c>
      <c r="V541" t="str">
        <f t="shared" si="77"/>
        <v>Clear</v>
      </c>
      <c r="W541" t="str">
        <f t="shared" si="78"/>
        <v>Off Peak</v>
      </c>
      <c r="X541" t="str">
        <f t="shared" si="79"/>
        <v>Low</v>
      </c>
      <c r="Y541" t="str">
        <f t="shared" si="80"/>
        <v>Medium</v>
      </c>
    </row>
    <row r="542" spans="1:25" ht="15.75" thickBot="1">
      <c r="A542" s="1">
        <v>541</v>
      </c>
      <c r="B542" s="2">
        <v>40567</v>
      </c>
      <c r="C542" s="1">
        <v>1</v>
      </c>
      <c r="D542" s="1">
        <v>0</v>
      </c>
      <c r="E542" s="1">
        <v>1</v>
      </c>
      <c r="F542" s="1">
        <v>16</v>
      </c>
      <c r="G542" s="3" t="b">
        <v>0</v>
      </c>
      <c r="H542" s="1">
        <v>1</v>
      </c>
      <c r="I542" s="1">
        <v>1</v>
      </c>
      <c r="J542" s="7">
        <v>0.16</v>
      </c>
      <c r="K542" s="8">
        <f>VLOOKUP($A542,'Temprorary Data'!$A:$G,2,FALSE)</f>
        <v>0.1515</v>
      </c>
      <c r="L542" s="8">
        <f>VLOOKUP($A542,'Temprorary Data'!$A:$G,3,FALSE)</f>
        <v>0.47</v>
      </c>
      <c r="M542" s="8">
        <f>VLOOKUP($A542,'Temprorary Data'!$A:$G,4,FALSE)</f>
        <v>0.25369999999999998</v>
      </c>
      <c r="N542" s="9">
        <f>VLOOKUP($A542,'Temprorary Data'!$A:$G,5,FALSE)</f>
        <v>4</v>
      </c>
      <c r="O542" s="9">
        <f>VLOOKUP($A542,'Temprorary Data'!$A:$G,6,FALSE)</f>
        <v>66</v>
      </c>
      <c r="P542" s="9">
        <f>VLOOKUP($A542,'Temprorary Data'!$A:$G,7,FALSE)</f>
        <v>70</v>
      </c>
      <c r="Q542" t="b">
        <f t="shared" si="72"/>
        <v>1</v>
      </c>
      <c r="R542" t="str">
        <f t="shared" si="73"/>
        <v>January</v>
      </c>
      <c r="S542" t="str">
        <f t="shared" si="74"/>
        <v>Monday</v>
      </c>
      <c r="T542" t="str">
        <f t="shared" si="75"/>
        <v>Weekday</v>
      </c>
      <c r="U542" t="str">
        <f t="shared" si="76"/>
        <v>Spring</v>
      </c>
      <c r="V542" t="str">
        <f t="shared" si="77"/>
        <v>Clear</v>
      </c>
      <c r="W542" t="str">
        <f t="shared" si="78"/>
        <v>Off Peak</v>
      </c>
      <c r="X542" t="str">
        <f t="shared" si="79"/>
        <v>Low</v>
      </c>
      <c r="Y542" t="str">
        <f t="shared" si="80"/>
        <v>Medium</v>
      </c>
    </row>
    <row r="543" spans="1:25" ht="15.75" thickBot="1">
      <c r="A543" s="1">
        <v>542</v>
      </c>
      <c r="B543" s="2">
        <v>40567</v>
      </c>
      <c r="C543" s="1">
        <v>1</v>
      </c>
      <c r="D543" s="1">
        <v>0</v>
      </c>
      <c r="E543" s="1">
        <v>1</v>
      </c>
      <c r="F543" s="1">
        <v>17</v>
      </c>
      <c r="G543" s="3" t="b">
        <v>0</v>
      </c>
      <c r="H543" s="1">
        <v>1</v>
      </c>
      <c r="I543" s="1">
        <v>1</v>
      </c>
      <c r="J543" s="7">
        <v>0.14000000000000001</v>
      </c>
      <c r="K543" s="8">
        <f>VLOOKUP($A543,'Temprorary Data'!$A:$G,2,FALSE)</f>
        <v>0.1212</v>
      </c>
      <c r="L543" s="8">
        <f>VLOOKUP($A543,'Temprorary Data'!$A:$G,3,FALSE)</f>
        <v>0.5</v>
      </c>
      <c r="M543" s="8">
        <f>VLOOKUP($A543,'Temprorary Data'!$A:$G,4,FALSE)</f>
        <v>0.25369999999999998</v>
      </c>
      <c r="N543" s="9">
        <f>VLOOKUP($A543,'Temprorary Data'!$A:$G,5,FALSE)</f>
        <v>6</v>
      </c>
      <c r="O543" s="9">
        <f>VLOOKUP($A543,'Temprorary Data'!$A:$G,6,FALSE)</f>
        <v>178</v>
      </c>
      <c r="P543" s="9">
        <f>VLOOKUP($A543,'Temprorary Data'!$A:$G,7,FALSE)</f>
        <v>184</v>
      </c>
      <c r="Q543" t="b">
        <f t="shared" si="72"/>
        <v>1</v>
      </c>
      <c r="R543" t="str">
        <f t="shared" si="73"/>
        <v>January</v>
      </c>
      <c r="S543" t="str">
        <f t="shared" si="74"/>
        <v>Monday</v>
      </c>
      <c r="T543" t="str">
        <f t="shared" si="75"/>
        <v>Weekday</v>
      </c>
      <c r="U543" t="str">
        <f t="shared" si="76"/>
        <v>Spring</v>
      </c>
      <c r="V543" t="str">
        <f t="shared" si="77"/>
        <v>Clear</v>
      </c>
      <c r="W543" t="str">
        <f t="shared" si="78"/>
        <v>Evening Peak</v>
      </c>
      <c r="X543" t="str">
        <f t="shared" si="79"/>
        <v>Low</v>
      </c>
      <c r="Y543" t="str">
        <f t="shared" si="80"/>
        <v>Medium</v>
      </c>
    </row>
    <row r="544" spans="1:25" ht="15.75" thickBot="1">
      <c r="A544" s="1">
        <v>543</v>
      </c>
      <c r="B544" s="2">
        <v>40567</v>
      </c>
      <c r="C544" s="1">
        <v>1</v>
      </c>
      <c r="D544" s="1">
        <v>0</v>
      </c>
      <c r="E544" s="1">
        <v>1</v>
      </c>
      <c r="F544" s="1">
        <v>18</v>
      </c>
      <c r="G544" s="3" t="b">
        <v>0</v>
      </c>
      <c r="H544" s="1">
        <v>1</v>
      </c>
      <c r="I544" s="1">
        <v>1</v>
      </c>
      <c r="J544" s="7">
        <v>0.14000000000000001</v>
      </c>
      <c r="K544" s="8">
        <f>VLOOKUP($A544,'Temprorary Data'!$A:$G,2,FALSE)</f>
        <v>0.13639999999999999</v>
      </c>
      <c r="L544" s="8">
        <f>VLOOKUP($A544,'Temprorary Data'!$A:$G,3,FALSE)</f>
        <v>0.59</v>
      </c>
      <c r="M544" s="8">
        <f>VLOOKUP($A544,'Temprorary Data'!$A:$G,4,FALSE)</f>
        <v>0.19400000000000001</v>
      </c>
      <c r="N544" s="9">
        <f>VLOOKUP($A544,'Temprorary Data'!$A:$G,5,FALSE)</f>
        <v>8</v>
      </c>
      <c r="O544" s="9">
        <f>VLOOKUP($A544,'Temprorary Data'!$A:$G,6,FALSE)</f>
        <v>145</v>
      </c>
      <c r="P544" s="9">
        <f>VLOOKUP($A544,'Temprorary Data'!$A:$G,7,FALSE)</f>
        <v>153</v>
      </c>
      <c r="Q544" t="b">
        <f t="shared" si="72"/>
        <v>1</v>
      </c>
      <c r="R544" t="str">
        <f t="shared" si="73"/>
        <v>January</v>
      </c>
      <c r="S544" t="str">
        <f t="shared" si="74"/>
        <v>Monday</v>
      </c>
      <c r="T544" t="str">
        <f t="shared" si="75"/>
        <v>Weekday</v>
      </c>
      <c r="U544" t="str">
        <f t="shared" si="76"/>
        <v>Spring</v>
      </c>
      <c r="V544" t="str">
        <f t="shared" si="77"/>
        <v>Clear</v>
      </c>
      <c r="W544" t="str">
        <f t="shared" si="78"/>
        <v>Evening Peak</v>
      </c>
      <c r="X544" t="str">
        <f t="shared" si="79"/>
        <v>Low</v>
      </c>
      <c r="Y544" t="str">
        <f t="shared" si="80"/>
        <v>Medium</v>
      </c>
    </row>
    <row r="545" spans="1:25" ht="15.75" thickBot="1">
      <c r="A545" s="1">
        <v>544</v>
      </c>
      <c r="B545" s="2">
        <v>40567</v>
      </c>
      <c r="C545" s="1">
        <v>1</v>
      </c>
      <c r="D545" s="1">
        <v>0</v>
      </c>
      <c r="E545" s="1">
        <v>1</v>
      </c>
      <c r="F545" s="1">
        <v>19</v>
      </c>
      <c r="G545" s="3" t="b">
        <v>0</v>
      </c>
      <c r="H545" s="1">
        <v>1</v>
      </c>
      <c r="I545" s="1">
        <v>1</v>
      </c>
      <c r="J545" s="7">
        <v>0.14000000000000001</v>
      </c>
      <c r="K545" s="8">
        <f>VLOOKUP($A545,'Temprorary Data'!$A:$G,2,FALSE)</f>
        <v>0.1515</v>
      </c>
      <c r="L545" s="8">
        <f>VLOOKUP($A545,'Temprorary Data'!$A:$G,3,FALSE)</f>
        <v>0.54</v>
      </c>
      <c r="M545" s="8">
        <f>VLOOKUP($A545,'Temprorary Data'!$A:$G,4,FALSE)</f>
        <v>0.16420000000000001</v>
      </c>
      <c r="N545" s="9">
        <f>VLOOKUP($A545,'Temprorary Data'!$A:$G,5,FALSE)</f>
        <v>5</v>
      </c>
      <c r="O545" s="9">
        <f>VLOOKUP($A545,'Temprorary Data'!$A:$G,6,FALSE)</f>
        <v>101</v>
      </c>
      <c r="P545" s="9">
        <f>VLOOKUP($A545,'Temprorary Data'!$A:$G,7,FALSE)</f>
        <v>106</v>
      </c>
      <c r="Q545" t="b">
        <f t="shared" si="72"/>
        <v>1</v>
      </c>
      <c r="R545" t="str">
        <f t="shared" si="73"/>
        <v>January</v>
      </c>
      <c r="S545" t="str">
        <f t="shared" si="74"/>
        <v>Monday</v>
      </c>
      <c r="T545" t="str">
        <f t="shared" si="75"/>
        <v>Weekday</v>
      </c>
      <c r="U545" t="str">
        <f t="shared" si="76"/>
        <v>Spring</v>
      </c>
      <c r="V545" t="str">
        <f t="shared" si="77"/>
        <v>Clear</v>
      </c>
      <c r="W545" t="str">
        <f t="shared" si="78"/>
        <v>Evening Peak</v>
      </c>
      <c r="X545" t="str">
        <f t="shared" si="79"/>
        <v>Low</v>
      </c>
      <c r="Y545" t="str">
        <f t="shared" si="80"/>
        <v>Medium</v>
      </c>
    </row>
    <row r="546" spans="1:25" ht="15.75" thickBot="1">
      <c r="A546" s="1">
        <v>545</v>
      </c>
      <c r="B546" s="2">
        <v>40567</v>
      </c>
      <c r="C546" s="1">
        <v>1</v>
      </c>
      <c r="D546" s="1">
        <v>0</v>
      </c>
      <c r="E546" s="1">
        <v>1</v>
      </c>
      <c r="F546" s="1">
        <v>20</v>
      </c>
      <c r="G546" s="3" t="b">
        <v>0</v>
      </c>
      <c r="H546" s="1">
        <v>1</v>
      </c>
      <c r="I546" s="1">
        <v>1</v>
      </c>
      <c r="J546" s="7">
        <v>0.14000000000000001</v>
      </c>
      <c r="K546" s="8">
        <f>VLOOKUP($A546,'Temprorary Data'!$A:$G,2,FALSE)</f>
        <v>0.13639999999999999</v>
      </c>
      <c r="L546" s="8">
        <f>VLOOKUP($A546,'Temprorary Data'!$A:$G,3,FALSE)</f>
        <v>0.59</v>
      </c>
      <c r="M546" s="8">
        <f>VLOOKUP($A546,'Temprorary Data'!$A:$G,4,FALSE)</f>
        <v>0.19400000000000001</v>
      </c>
      <c r="N546" s="9">
        <f>VLOOKUP($A546,'Temprorary Data'!$A:$G,5,FALSE)</f>
        <v>1</v>
      </c>
      <c r="O546" s="9">
        <f>VLOOKUP($A546,'Temprorary Data'!$A:$G,6,FALSE)</f>
        <v>80</v>
      </c>
      <c r="P546" s="9">
        <f>VLOOKUP($A546,'Temprorary Data'!$A:$G,7,FALSE)</f>
        <v>81</v>
      </c>
      <c r="Q546" t="b">
        <f t="shared" si="72"/>
        <v>1</v>
      </c>
      <c r="R546" t="str">
        <f t="shared" si="73"/>
        <v>January</v>
      </c>
      <c r="S546" t="str">
        <f t="shared" si="74"/>
        <v>Monday</v>
      </c>
      <c r="T546" t="str">
        <f t="shared" si="75"/>
        <v>Weekday</v>
      </c>
      <c r="U546" t="str">
        <f t="shared" si="76"/>
        <v>Spring</v>
      </c>
      <c r="V546" t="str">
        <f t="shared" si="77"/>
        <v>Clear</v>
      </c>
      <c r="W546" t="str">
        <f t="shared" si="78"/>
        <v>Evening Peak</v>
      </c>
      <c r="X546" t="str">
        <f t="shared" si="79"/>
        <v>Low</v>
      </c>
      <c r="Y546" t="str">
        <f t="shared" si="80"/>
        <v>Medium</v>
      </c>
    </row>
    <row r="547" spans="1:25" ht="15.75" thickBot="1">
      <c r="A547" s="1">
        <v>546</v>
      </c>
      <c r="B547" s="2">
        <v>40567</v>
      </c>
      <c r="C547" s="1">
        <v>1</v>
      </c>
      <c r="D547" s="1">
        <v>0</v>
      </c>
      <c r="E547" s="1">
        <v>1</v>
      </c>
      <c r="F547" s="1">
        <v>21</v>
      </c>
      <c r="G547" s="3" t="b">
        <v>0</v>
      </c>
      <c r="H547" s="1">
        <v>1</v>
      </c>
      <c r="I547" s="1">
        <v>1</v>
      </c>
      <c r="J547" s="7">
        <v>0.14000000000000001</v>
      </c>
      <c r="K547" s="8">
        <f>VLOOKUP($A547,'Temprorary Data'!$A:$G,2,FALSE)</f>
        <v>0.1515</v>
      </c>
      <c r="L547" s="8">
        <f>VLOOKUP($A547,'Temprorary Data'!$A:$G,3,FALSE)</f>
        <v>0.63</v>
      </c>
      <c r="M547" s="8">
        <f>VLOOKUP($A547,'Temprorary Data'!$A:$G,4,FALSE)</f>
        <v>0.16420000000000001</v>
      </c>
      <c r="N547" s="9">
        <f>VLOOKUP($A547,'Temprorary Data'!$A:$G,5,FALSE)</f>
        <v>6</v>
      </c>
      <c r="O547" s="9">
        <f>VLOOKUP($A547,'Temprorary Data'!$A:$G,6,FALSE)</f>
        <v>53</v>
      </c>
      <c r="P547" s="9">
        <f>VLOOKUP($A547,'Temprorary Data'!$A:$G,7,FALSE)</f>
        <v>59</v>
      </c>
      <c r="Q547" t="b">
        <f t="shared" si="72"/>
        <v>1</v>
      </c>
      <c r="R547" t="str">
        <f t="shared" si="73"/>
        <v>January</v>
      </c>
      <c r="S547" t="str">
        <f t="shared" si="74"/>
        <v>Monday</v>
      </c>
      <c r="T547" t="str">
        <f t="shared" si="75"/>
        <v>Weekday</v>
      </c>
      <c r="U547" t="str">
        <f t="shared" si="76"/>
        <v>Spring</v>
      </c>
      <c r="V547" t="str">
        <f t="shared" si="77"/>
        <v>Clear</v>
      </c>
      <c r="W547" t="str">
        <f t="shared" si="78"/>
        <v>Off Peak</v>
      </c>
      <c r="X547" t="str">
        <f t="shared" si="79"/>
        <v>Low</v>
      </c>
      <c r="Y547" t="str">
        <f t="shared" si="80"/>
        <v>Medium</v>
      </c>
    </row>
    <row r="548" spans="1:25" ht="15.75" thickBot="1">
      <c r="A548" s="1">
        <v>547</v>
      </c>
      <c r="B548" s="2">
        <v>40567</v>
      </c>
      <c r="C548" s="1">
        <v>1</v>
      </c>
      <c r="D548" s="1">
        <v>0</v>
      </c>
      <c r="E548" s="1">
        <v>1</v>
      </c>
      <c r="F548" s="1">
        <v>22</v>
      </c>
      <c r="G548" s="3" t="b">
        <v>0</v>
      </c>
      <c r="H548" s="1">
        <v>1</v>
      </c>
      <c r="I548" s="1">
        <v>2</v>
      </c>
      <c r="J548" s="7">
        <v>0.14000000000000001</v>
      </c>
      <c r="K548" s="8">
        <f>VLOOKUP($A548,'Temprorary Data'!$A:$G,2,FALSE)</f>
        <v>0.13639999999999999</v>
      </c>
      <c r="L548" s="8">
        <f>VLOOKUP($A548,'Temprorary Data'!$A:$G,3,FALSE)</f>
        <v>0.63</v>
      </c>
      <c r="M548" s="8">
        <f>VLOOKUP($A548,'Temprorary Data'!$A:$G,4,FALSE)</f>
        <v>0.22389999999999999</v>
      </c>
      <c r="N548" s="9">
        <f>VLOOKUP($A548,'Temprorary Data'!$A:$G,5,FALSE)</f>
        <v>3</v>
      </c>
      <c r="O548" s="9">
        <f>VLOOKUP($A548,'Temprorary Data'!$A:$G,6,FALSE)</f>
        <v>32</v>
      </c>
      <c r="P548" s="9">
        <f>VLOOKUP($A548,'Temprorary Data'!$A:$G,7,FALSE)</f>
        <v>35</v>
      </c>
      <c r="Q548" t="b">
        <f t="shared" si="72"/>
        <v>1</v>
      </c>
      <c r="R548" t="str">
        <f t="shared" si="73"/>
        <v>January</v>
      </c>
      <c r="S548" t="str">
        <f t="shared" si="74"/>
        <v>Monday</v>
      </c>
      <c r="T548" t="str">
        <f t="shared" si="75"/>
        <v>Weekday</v>
      </c>
      <c r="U548" t="str">
        <f t="shared" si="76"/>
        <v>Spring</v>
      </c>
      <c r="V548" t="str">
        <f t="shared" si="77"/>
        <v>Mist</v>
      </c>
      <c r="W548" t="str">
        <f t="shared" si="78"/>
        <v>Off Peak</v>
      </c>
      <c r="X548" t="str">
        <f t="shared" si="79"/>
        <v>Low</v>
      </c>
      <c r="Y548" t="str">
        <f t="shared" si="80"/>
        <v>Medium</v>
      </c>
    </row>
    <row r="549" spans="1:25" ht="15.75" thickBot="1">
      <c r="A549" s="1">
        <v>548</v>
      </c>
      <c r="B549" s="2">
        <v>40567</v>
      </c>
      <c r="C549" s="1">
        <v>1</v>
      </c>
      <c r="D549" s="1">
        <v>0</v>
      </c>
      <c r="E549" s="1">
        <v>1</v>
      </c>
      <c r="F549" s="1">
        <v>23</v>
      </c>
      <c r="G549" s="3" t="b">
        <v>0</v>
      </c>
      <c r="H549" s="1">
        <v>1</v>
      </c>
      <c r="I549" s="1">
        <v>2</v>
      </c>
      <c r="J549" s="7">
        <v>0.16</v>
      </c>
      <c r="K549" s="8">
        <f>VLOOKUP($A549,'Temprorary Data'!$A:$G,2,FALSE)</f>
        <v>0.1515</v>
      </c>
      <c r="L549" s="8">
        <f>VLOOKUP($A549,'Temprorary Data'!$A:$G,3,FALSE)</f>
        <v>0.64</v>
      </c>
      <c r="M549" s="8">
        <f>VLOOKUP($A549,'Temprorary Data'!$A:$G,4,FALSE)</f>
        <v>0.25369999999999998</v>
      </c>
      <c r="N549" s="9">
        <f>VLOOKUP($A549,'Temprorary Data'!$A:$G,5,FALSE)</f>
        <v>3</v>
      </c>
      <c r="O549" s="9">
        <f>VLOOKUP($A549,'Temprorary Data'!$A:$G,6,FALSE)</f>
        <v>21</v>
      </c>
      <c r="P549" s="9">
        <f>VLOOKUP($A549,'Temprorary Data'!$A:$G,7,FALSE)</f>
        <v>24</v>
      </c>
      <c r="Q549" t="b">
        <f t="shared" si="72"/>
        <v>1</v>
      </c>
      <c r="R549" t="str">
        <f t="shared" si="73"/>
        <v>January</v>
      </c>
      <c r="S549" t="str">
        <f t="shared" si="74"/>
        <v>Monday</v>
      </c>
      <c r="T549" t="str">
        <f t="shared" si="75"/>
        <v>Weekday</v>
      </c>
      <c r="U549" t="str">
        <f t="shared" si="76"/>
        <v>Spring</v>
      </c>
      <c r="V549" t="str">
        <f t="shared" si="77"/>
        <v>Mist</v>
      </c>
      <c r="W549" t="str">
        <f t="shared" si="78"/>
        <v>Off Peak</v>
      </c>
      <c r="X549" t="str">
        <f t="shared" si="79"/>
        <v>Low</v>
      </c>
      <c r="Y549" t="str">
        <f t="shared" si="80"/>
        <v>Medium</v>
      </c>
    </row>
    <row r="550" spans="1:25" ht="15.75" thickBot="1">
      <c r="A550" s="1">
        <v>549</v>
      </c>
      <c r="B550" s="2">
        <v>40568</v>
      </c>
      <c r="C550" s="1">
        <v>1</v>
      </c>
      <c r="D550" s="1">
        <v>0</v>
      </c>
      <c r="E550" s="1">
        <v>1</v>
      </c>
      <c r="F550" s="1">
        <v>0</v>
      </c>
      <c r="G550" s="3" t="b">
        <v>0</v>
      </c>
      <c r="H550" s="1">
        <v>2</v>
      </c>
      <c r="I550" s="1">
        <v>2</v>
      </c>
      <c r="J550" s="7">
        <v>0.16</v>
      </c>
      <c r="K550" s="8">
        <f>VLOOKUP($A550,'Temprorary Data'!$A:$G,2,FALSE)</f>
        <v>0.13639999999999999</v>
      </c>
      <c r="L550" s="8">
        <f>VLOOKUP($A550,'Temprorary Data'!$A:$G,3,FALSE)</f>
        <v>0.69</v>
      </c>
      <c r="M550" s="8">
        <f>VLOOKUP($A550,'Temprorary Data'!$A:$G,4,FALSE)</f>
        <v>0.28360000000000002</v>
      </c>
      <c r="N550" s="9">
        <f>VLOOKUP($A550,'Temprorary Data'!$A:$G,5,FALSE)</f>
        <v>3</v>
      </c>
      <c r="O550" s="9">
        <f>VLOOKUP($A550,'Temprorary Data'!$A:$G,6,FALSE)</f>
        <v>6</v>
      </c>
      <c r="P550" s="9">
        <f>VLOOKUP($A550,'Temprorary Data'!$A:$G,7,FALSE)</f>
        <v>9</v>
      </c>
      <c r="Q550" t="b">
        <f t="shared" si="72"/>
        <v>1</v>
      </c>
      <c r="R550" t="str">
        <f t="shared" si="73"/>
        <v>January</v>
      </c>
      <c r="S550" t="str">
        <f t="shared" si="74"/>
        <v>Tuesday</v>
      </c>
      <c r="T550" t="str">
        <f t="shared" si="75"/>
        <v>Weekday</v>
      </c>
      <c r="U550" t="str">
        <f t="shared" si="76"/>
        <v>Spring</v>
      </c>
      <c r="V550" t="str">
        <f t="shared" si="77"/>
        <v>Mist</v>
      </c>
      <c r="W550" t="str">
        <f t="shared" si="78"/>
        <v>Off Peak</v>
      </c>
      <c r="X550" t="str">
        <f t="shared" si="79"/>
        <v>Low</v>
      </c>
      <c r="Y550" t="str">
        <f t="shared" si="80"/>
        <v>Medium</v>
      </c>
    </row>
    <row r="551" spans="1:25" ht="15.75" thickBot="1">
      <c r="A551" s="1">
        <v>550</v>
      </c>
      <c r="B551" s="2">
        <v>40568</v>
      </c>
      <c r="C551" s="1">
        <v>1</v>
      </c>
      <c r="D551" s="1">
        <v>0</v>
      </c>
      <c r="E551" s="1">
        <v>1</v>
      </c>
      <c r="F551" s="1">
        <v>1</v>
      </c>
      <c r="G551" s="3" t="b">
        <v>0</v>
      </c>
      <c r="H551" s="1">
        <v>2</v>
      </c>
      <c r="I551" s="1">
        <v>2</v>
      </c>
      <c r="J551" s="7">
        <v>0.16</v>
      </c>
      <c r="K551" s="8">
        <f>VLOOKUP($A551,'Temprorary Data'!$A:$G,2,FALSE)</f>
        <v>0.16669999999999999</v>
      </c>
      <c r="L551" s="8">
        <f>VLOOKUP($A551,'Temprorary Data'!$A:$G,3,FALSE)</f>
        <v>0.69</v>
      </c>
      <c r="M551" s="8">
        <f>VLOOKUP($A551,'Temprorary Data'!$A:$G,4,FALSE)</f>
        <v>0.16420000000000001</v>
      </c>
      <c r="N551" s="9">
        <f>VLOOKUP($A551,'Temprorary Data'!$A:$G,5,FALSE)</f>
        <v>0</v>
      </c>
      <c r="O551" s="9">
        <f>VLOOKUP($A551,'Temprorary Data'!$A:$G,6,FALSE)</f>
        <v>5</v>
      </c>
      <c r="P551" s="9">
        <f>VLOOKUP($A551,'Temprorary Data'!$A:$G,7,FALSE)</f>
        <v>5</v>
      </c>
      <c r="Q551" t="b">
        <f t="shared" si="72"/>
        <v>1</v>
      </c>
      <c r="R551" t="str">
        <f t="shared" si="73"/>
        <v>January</v>
      </c>
      <c r="S551" t="str">
        <f t="shared" si="74"/>
        <v>Tuesday</v>
      </c>
      <c r="T551" t="str">
        <f t="shared" si="75"/>
        <v>Weekday</v>
      </c>
      <c r="U551" t="str">
        <f t="shared" si="76"/>
        <v>Spring</v>
      </c>
      <c r="V551" t="str">
        <f t="shared" si="77"/>
        <v>Mist</v>
      </c>
      <c r="W551" t="str">
        <f t="shared" si="78"/>
        <v>Off Peak</v>
      </c>
      <c r="X551" t="str">
        <f t="shared" si="79"/>
        <v>Low</v>
      </c>
      <c r="Y551" t="str">
        <f t="shared" si="80"/>
        <v>Medium</v>
      </c>
    </row>
    <row r="552" spans="1:25" ht="15.75" thickBot="1">
      <c r="A552" s="1">
        <v>551</v>
      </c>
      <c r="B552" s="2">
        <v>40568</v>
      </c>
      <c r="C552" s="1">
        <v>1</v>
      </c>
      <c r="D552" s="1">
        <v>0</v>
      </c>
      <c r="E552" s="1">
        <v>1</v>
      </c>
      <c r="F552" s="1">
        <v>2</v>
      </c>
      <c r="G552" s="3" t="b">
        <v>0</v>
      </c>
      <c r="H552" s="1">
        <v>2</v>
      </c>
      <c r="I552" s="1">
        <v>1</v>
      </c>
      <c r="J552" s="7">
        <v>0.16</v>
      </c>
      <c r="K552" s="8">
        <f>VLOOKUP($A552,'Temprorary Data'!$A:$G,2,FALSE)</f>
        <v>0.1515</v>
      </c>
      <c r="L552" s="8">
        <f>VLOOKUP($A552,'Temprorary Data'!$A:$G,3,FALSE)</f>
        <v>0.69</v>
      </c>
      <c r="M552" s="8">
        <f>VLOOKUP($A552,'Temprorary Data'!$A:$G,4,FALSE)</f>
        <v>0.22389999999999999</v>
      </c>
      <c r="N552" s="9">
        <f>VLOOKUP($A552,'Temprorary Data'!$A:$G,5,FALSE)</f>
        <v>0</v>
      </c>
      <c r="O552" s="9">
        <f>VLOOKUP($A552,'Temprorary Data'!$A:$G,6,FALSE)</f>
        <v>2</v>
      </c>
      <c r="P552" s="9">
        <f>VLOOKUP($A552,'Temprorary Data'!$A:$G,7,FALSE)</f>
        <v>2</v>
      </c>
      <c r="Q552" t="b">
        <f t="shared" si="72"/>
        <v>1</v>
      </c>
      <c r="R552" t="str">
        <f t="shared" si="73"/>
        <v>January</v>
      </c>
      <c r="S552" t="str">
        <f t="shared" si="74"/>
        <v>Tuesday</v>
      </c>
      <c r="T552" t="str">
        <f t="shared" si="75"/>
        <v>Weekday</v>
      </c>
      <c r="U552" t="str">
        <f t="shared" si="76"/>
        <v>Spring</v>
      </c>
      <c r="V552" t="str">
        <f t="shared" si="77"/>
        <v>Clear</v>
      </c>
      <c r="W552" t="str">
        <f t="shared" si="78"/>
        <v>Off Peak</v>
      </c>
      <c r="X552" t="str">
        <f t="shared" si="79"/>
        <v>Low</v>
      </c>
      <c r="Y552" t="str">
        <f t="shared" si="80"/>
        <v>Medium</v>
      </c>
    </row>
    <row r="553" spans="1:25" ht="15.75" thickBot="1">
      <c r="A553" s="1">
        <v>552</v>
      </c>
      <c r="B553" s="2">
        <v>40568</v>
      </c>
      <c r="C553" s="1">
        <v>1</v>
      </c>
      <c r="D553" s="1">
        <v>0</v>
      </c>
      <c r="E553" s="1">
        <v>1</v>
      </c>
      <c r="F553" s="1">
        <v>4</v>
      </c>
      <c r="G553" s="3" t="b">
        <v>0</v>
      </c>
      <c r="H553" s="1">
        <v>2</v>
      </c>
      <c r="I553" s="1">
        <v>1</v>
      </c>
      <c r="J553" s="7">
        <v>0.14000000000000001</v>
      </c>
      <c r="K553" s="8">
        <f>VLOOKUP($A553,'Temprorary Data'!$A:$G,2,FALSE)</f>
        <v>0.16669999999999999</v>
      </c>
      <c r="L553" s="8">
        <f>VLOOKUP($A553,'Temprorary Data'!$A:$G,3,FALSE)</f>
        <v>0.74</v>
      </c>
      <c r="M553" s="8">
        <f>VLOOKUP($A553,'Temprorary Data'!$A:$G,4,FALSE)</f>
        <v>0.1045</v>
      </c>
      <c r="N553" s="9">
        <f>VLOOKUP($A553,'Temprorary Data'!$A:$G,5,FALSE)</f>
        <v>0</v>
      </c>
      <c r="O553" s="9">
        <f>VLOOKUP($A553,'Temprorary Data'!$A:$G,6,FALSE)</f>
        <v>1</v>
      </c>
      <c r="P553" s="9">
        <f>VLOOKUP($A553,'Temprorary Data'!$A:$G,7,FALSE)</f>
        <v>1</v>
      </c>
      <c r="Q553" t="b">
        <f t="shared" si="72"/>
        <v>1</v>
      </c>
      <c r="R553" t="str">
        <f t="shared" si="73"/>
        <v>January</v>
      </c>
      <c r="S553" t="str">
        <f t="shared" si="74"/>
        <v>Tuesday</v>
      </c>
      <c r="T553" t="str">
        <f t="shared" si="75"/>
        <v>Weekday</v>
      </c>
      <c r="U553" t="str">
        <f t="shared" si="76"/>
        <v>Spring</v>
      </c>
      <c r="V553" t="str">
        <f t="shared" si="77"/>
        <v>Clear</v>
      </c>
      <c r="W553" t="str">
        <f t="shared" si="78"/>
        <v>Off Peak</v>
      </c>
      <c r="X553" t="str">
        <f t="shared" si="79"/>
        <v>Low</v>
      </c>
      <c r="Y553" t="str">
        <f t="shared" si="80"/>
        <v>High</v>
      </c>
    </row>
    <row r="554" spans="1:25" ht="15.75" thickBot="1">
      <c r="A554" s="1">
        <v>553</v>
      </c>
      <c r="B554" s="2">
        <v>40568</v>
      </c>
      <c r="C554" s="1">
        <v>1</v>
      </c>
      <c r="D554" s="1">
        <v>0</v>
      </c>
      <c r="E554" s="1">
        <v>1</v>
      </c>
      <c r="F554" s="1">
        <v>5</v>
      </c>
      <c r="G554" s="3" t="b">
        <v>0</v>
      </c>
      <c r="H554" s="1">
        <v>2</v>
      </c>
      <c r="I554" s="1">
        <v>1</v>
      </c>
      <c r="J554" s="7">
        <v>0.14000000000000001</v>
      </c>
      <c r="K554" s="8">
        <f>VLOOKUP($A554,'Temprorary Data'!$A:$G,2,FALSE)</f>
        <v>0.13639999999999999</v>
      </c>
      <c r="L554" s="8">
        <f>VLOOKUP($A554,'Temprorary Data'!$A:$G,3,FALSE)</f>
        <v>0.74</v>
      </c>
      <c r="M554" s="8">
        <f>VLOOKUP($A554,'Temprorary Data'!$A:$G,4,FALSE)</f>
        <v>0.22389999999999999</v>
      </c>
      <c r="N554" s="9">
        <f>VLOOKUP($A554,'Temprorary Data'!$A:$G,5,FALSE)</f>
        <v>0</v>
      </c>
      <c r="O554" s="9">
        <f>VLOOKUP($A554,'Temprorary Data'!$A:$G,6,FALSE)</f>
        <v>9</v>
      </c>
      <c r="P554" s="9">
        <f>VLOOKUP($A554,'Temprorary Data'!$A:$G,7,FALSE)</f>
        <v>9</v>
      </c>
      <c r="Q554" t="b">
        <f t="shared" si="72"/>
        <v>1</v>
      </c>
      <c r="R554" t="str">
        <f t="shared" si="73"/>
        <v>January</v>
      </c>
      <c r="S554" t="str">
        <f t="shared" si="74"/>
        <v>Tuesday</v>
      </c>
      <c r="T554" t="str">
        <f t="shared" si="75"/>
        <v>Weekday</v>
      </c>
      <c r="U554" t="str">
        <f t="shared" si="76"/>
        <v>Spring</v>
      </c>
      <c r="V554" t="str">
        <f t="shared" si="77"/>
        <v>Clear</v>
      </c>
      <c r="W554" t="str">
        <f t="shared" si="78"/>
        <v>Off Peak</v>
      </c>
      <c r="X554" t="str">
        <f t="shared" si="79"/>
        <v>Low</v>
      </c>
      <c r="Y554" t="str">
        <f t="shared" si="80"/>
        <v>High</v>
      </c>
    </row>
    <row r="555" spans="1:25" ht="15.75" thickBot="1">
      <c r="A555" s="1">
        <v>554</v>
      </c>
      <c r="B555" s="2">
        <v>40568</v>
      </c>
      <c r="C555" s="1">
        <v>1</v>
      </c>
      <c r="D555" s="1">
        <v>0</v>
      </c>
      <c r="E555" s="1">
        <v>1</v>
      </c>
      <c r="F555" s="1">
        <v>6</v>
      </c>
      <c r="G555" s="3" t="b">
        <v>0</v>
      </c>
      <c r="H555" s="1">
        <v>2</v>
      </c>
      <c r="I555" s="1">
        <v>1</v>
      </c>
      <c r="J555" s="7">
        <v>0.16</v>
      </c>
      <c r="K555" s="8">
        <f>VLOOKUP($A555,'Temprorary Data'!$A:$G,2,FALSE)</f>
        <v>0.18179999999999999</v>
      </c>
      <c r="L555" s="8">
        <f>VLOOKUP($A555,'Temprorary Data'!$A:$G,3,FALSE)</f>
        <v>0.74</v>
      </c>
      <c r="M555" s="8">
        <f>VLOOKUP($A555,'Temprorary Data'!$A:$G,4,FALSE)</f>
        <v>0.1045</v>
      </c>
      <c r="N555" s="9">
        <f>VLOOKUP($A555,'Temprorary Data'!$A:$G,5,FALSE)</f>
        <v>1</v>
      </c>
      <c r="O555" s="9">
        <f>VLOOKUP($A555,'Temprorary Data'!$A:$G,6,FALSE)</f>
        <v>35</v>
      </c>
      <c r="P555" s="9">
        <f>VLOOKUP($A555,'Temprorary Data'!$A:$G,7,FALSE)</f>
        <v>36</v>
      </c>
      <c r="Q555" t="b">
        <f t="shared" si="72"/>
        <v>1</v>
      </c>
      <c r="R555" t="str">
        <f t="shared" si="73"/>
        <v>January</v>
      </c>
      <c r="S555" t="str">
        <f t="shared" si="74"/>
        <v>Tuesday</v>
      </c>
      <c r="T555" t="str">
        <f t="shared" si="75"/>
        <v>Weekday</v>
      </c>
      <c r="U555" t="str">
        <f t="shared" si="76"/>
        <v>Spring</v>
      </c>
      <c r="V555" t="str">
        <f t="shared" si="77"/>
        <v>Clear</v>
      </c>
      <c r="W555" t="str">
        <f t="shared" si="78"/>
        <v>Off Peak</v>
      </c>
      <c r="X555" t="str">
        <f t="shared" si="79"/>
        <v>Low</v>
      </c>
      <c r="Y555" t="str">
        <f t="shared" si="80"/>
        <v>High</v>
      </c>
    </row>
    <row r="556" spans="1:25" ht="15.75" thickBot="1">
      <c r="A556" s="1">
        <v>555</v>
      </c>
      <c r="B556" s="2">
        <v>40568</v>
      </c>
      <c r="C556" s="1">
        <v>1</v>
      </c>
      <c r="D556" s="1">
        <v>0</v>
      </c>
      <c r="E556" s="1">
        <v>1</v>
      </c>
      <c r="F556" s="1">
        <v>7</v>
      </c>
      <c r="G556" s="3" t="b">
        <v>0</v>
      </c>
      <c r="H556" s="1">
        <v>2</v>
      </c>
      <c r="I556" s="1">
        <v>1</v>
      </c>
      <c r="J556" s="7">
        <v>0.16</v>
      </c>
      <c r="K556" s="8">
        <f>VLOOKUP($A556,'Temprorary Data'!$A:$G,2,FALSE)</f>
        <v>0.1515</v>
      </c>
      <c r="L556" s="8">
        <f>VLOOKUP($A556,'Temprorary Data'!$A:$G,3,FALSE)</f>
        <v>0.74</v>
      </c>
      <c r="M556" s="8">
        <f>VLOOKUP($A556,'Temprorary Data'!$A:$G,4,FALSE)</f>
        <v>0.22389999999999999</v>
      </c>
      <c r="N556" s="9">
        <f>VLOOKUP($A556,'Temprorary Data'!$A:$G,5,FALSE)</f>
        <v>5</v>
      </c>
      <c r="O556" s="9">
        <f>VLOOKUP($A556,'Temprorary Data'!$A:$G,6,FALSE)</f>
        <v>103</v>
      </c>
      <c r="P556" s="9">
        <f>VLOOKUP($A556,'Temprorary Data'!$A:$G,7,FALSE)</f>
        <v>108</v>
      </c>
      <c r="Q556" t="b">
        <f t="shared" si="72"/>
        <v>1</v>
      </c>
      <c r="R556" t="str">
        <f t="shared" si="73"/>
        <v>January</v>
      </c>
      <c r="S556" t="str">
        <f t="shared" si="74"/>
        <v>Tuesday</v>
      </c>
      <c r="T556" t="str">
        <f t="shared" si="75"/>
        <v>Weekday</v>
      </c>
      <c r="U556" t="str">
        <f t="shared" si="76"/>
        <v>Spring</v>
      </c>
      <c r="V556" t="str">
        <f t="shared" si="77"/>
        <v>Clear</v>
      </c>
      <c r="W556" t="str">
        <f t="shared" si="78"/>
        <v>Morning Peak</v>
      </c>
      <c r="X556" t="str">
        <f t="shared" si="79"/>
        <v>Low</v>
      </c>
      <c r="Y556" t="str">
        <f t="shared" si="80"/>
        <v>High</v>
      </c>
    </row>
    <row r="557" spans="1:25" ht="15.75" thickBot="1">
      <c r="A557" s="1">
        <v>556</v>
      </c>
      <c r="B557" s="2">
        <v>40568</v>
      </c>
      <c r="C557" s="1">
        <v>1</v>
      </c>
      <c r="D557" s="1">
        <v>0</v>
      </c>
      <c r="E557" s="1">
        <v>1</v>
      </c>
      <c r="F557" s="1">
        <v>8</v>
      </c>
      <c r="G557" s="3" t="b">
        <v>0</v>
      </c>
      <c r="H557" s="1">
        <v>2</v>
      </c>
      <c r="I557" s="1">
        <v>2</v>
      </c>
      <c r="J557" s="7">
        <v>0.16</v>
      </c>
      <c r="K557" s="8">
        <f>VLOOKUP($A557,'Temprorary Data'!$A:$G,2,FALSE)</f>
        <v>0.18179999999999999</v>
      </c>
      <c r="L557" s="8">
        <f>VLOOKUP($A557,'Temprorary Data'!$A:$G,3,FALSE)</f>
        <v>0.74</v>
      </c>
      <c r="M557" s="8">
        <f>VLOOKUP($A557,'Temprorary Data'!$A:$G,4,FALSE)</f>
        <v>0.1343</v>
      </c>
      <c r="N557" s="9">
        <f>VLOOKUP($A557,'Temprorary Data'!$A:$G,5,FALSE)</f>
        <v>5</v>
      </c>
      <c r="O557" s="9">
        <f>VLOOKUP($A557,'Temprorary Data'!$A:$G,6,FALSE)</f>
        <v>233</v>
      </c>
      <c r="P557" s="9">
        <f>VLOOKUP($A557,'Temprorary Data'!$A:$G,7,FALSE)</f>
        <v>238</v>
      </c>
      <c r="Q557" t="b">
        <f t="shared" si="72"/>
        <v>1</v>
      </c>
      <c r="R557" t="str">
        <f t="shared" si="73"/>
        <v>January</v>
      </c>
      <c r="S557" t="str">
        <f t="shared" si="74"/>
        <v>Tuesday</v>
      </c>
      <c r="T557" t="str">
        <f t="shared" si="75"/>
        <v>Weekday</v>
      </c>
      <c r="U557" t="str">
        <f t="shared" si="76"/>
        <v>Spring</v>
      </c>
      <c r="V557" t="str">
        <f t="shared" si="77"/>
        <v>Mist</v>
      </c>
      <c r="W557" t="str">
        <f t="shared" si="78"/>
        <v>Morning Peak</v>
      </c>
      <c r="X557" t="str">
        <f t="shared" si="79"/>
        <v>Low</v>
      </c>
      <c r="Y557" t="str">
        <f t="shared" si="80"/>
        <v>High</v>
      </c>
    </row>
    <row r="558" spans="1:25" ht="15.75" thickBot="1">
      <c r="A558" s="1">
        <v>557</v>
      </c>
      <c r="B558" s="2">
        <v>40568</v>
      </c>
      <c r="C558" s="1">
        <v>1</v>
      </c>
      <c r="D558" s="1">
        <v>0</v>
      </c>
      <c r="E558" s="1">
        <v>1</v>
      </c>
      <c r="F558" s="1">
        <v>9</v>
      </c>
      <c r="G558" s="3" t="b">
        <v>0</v>
      </c>
      <c r="H558" s="1">
        <v>2</v>
      </c>
      <c r="I558" s="1">
        <v>2</v>
      </c>
      <c r="J558" s="7">
        <v>0.2</v>
      </c>
      <c r="K558" s="8">
        <f>VLOOKUP($A558,'Temprorary Data'!$A:$G,2,FALSE)</f>
        <v>0.2273</v>
      </c>
      <c r="L558" s="8">
        <f>VLOOKUP($A558,'Temprorary Data'!$A:$G,3,FALSE)</f>
        <v>0.64</v>
      </c>
      <c r="M558" s="8">
        <f>VLOOKUP($A558,'Temprorary Data'!$A:$G,4,FALSE)</f>
        <v>8.9599999999999999E-2</v>
      </c>
      <c r="N558" s="9">
        <f>VLOOKUP($A558,'Temprorary Data'!$A:$G,5,FALSE)</f>
        <v>10</v>
      </c>
      <c r="O558" s="9">
        <f>VLOOKUP($A558,'Temprorary Data'!$A:$G,6,FALSE)</f>
        <v>134</v>
      </c>
      <c r="P558" s="9">
        <f>VLOOKUP($A558,'Temprorary Data'!$A:$G,7,FALSE)</f>
        <v>144</v>
      </c>
      <c r="Q558" t="b">
        <f t="shared" si="72"/>
        <v>1</v>
      </c>
      <c r="R558" t="str">
        <f t="shared" si="73"/>
        <v>January</v>
      </c>
      <c r="S558" t="str">
        <f t="shared" si="74"/>
        <v>Tuesday</v>
      </c>
      <c r="T558" t="str">
        <f t="shared" si="75"/>
        <v>Weekday</v>
      </c>
      <c r="U558" t="str">
        <f t="shared" si="76"/>
        <v>Spring</v>
      </c>
      <c r="V558" t="str">
        <f t="shared" si="77"/>
        <v>Mist</v>
      </c>
      <c r="W558" t="str">
        <f t="shared" si="78"/>
        <v>Morning Peak</v>
      </c>
      <c r="X558" t="str">
        <f t="shared" si="79"/>
        <v>Low</v>
      </c>
      <c r="Y558" t="str">
        <f t="shared" si="80"/>
        <v>Medium</v>
      </c>
    </row>
    <row r="559" spans="1:25" ht="15.75" thickBot="1">
      <c r="A559" s="1">
        <v>558</v>
      </c>
      <c r="B559" s="2">
        <v>40568</v>
      </c>
      <c r="C559" s="1">
        <v>1</v>
      </c>
      <c r="D559" s="1">
        <v>0</v>
      </c>
      <c r="E559" s="1">
        <v>1</v>
      </c>
      <c r="F559" s="1">
        <v>10</v>
      </c>
      <c r="G559" s="3" t="b">
        <v>0</v>
      </c>
      <c r="H559" s="1">
        <v>2</v>
      </c>
      <c r="I559" s="1">
        <v>2</v>
      </c>
      <c r="J559" s="7">
        <v>0.22</v>
      </c>
      <c r="K559" s="8">
        <f>VLOOKUP($A559,'Temprorary Data'!$A:$G,2,FALSE)</f>
        <v>0.2424</v>
      </c>
      <c r="L559" s="8">
        <f>VLOOKUP($A559,'Temprorary Data'!$A:$G,3,FALSE)</f>
        <v>0.6</v>
      </c>
      <c r="M559" s="8">
        <f>VLOOKUP($A559,'Temprorary Data'!$A:$G,4,FALSE)</f>
        <v>0.1045</v>
      </c>
      <c r="N559" s="9">
        <f>VLOOKUP($A559,'Temprorary Data'!$A:$G,5,FALSE)</f>
        <v>6</v>
      </c>
      <c r="O559" s="9">
        <f>VLOOKUP($A559,'Temprorary Data'!$A:$G,6,FALSE)</f>
        <v>49</v>
      </c>
      <c r="P559" s="9">
        <f>VLOOKUP($A559,'Temprorary Data'!$A:$G,7,FALSE)</f>
        <v>55</v>
      </c>
      <c r="Q559" t="b">
        <f t="shared" si="72"/>
        <v>1</v>
      </c>
      <c r="R559" t="str">
        <f t="shared" si="73"/>
        <v>January</v>
      </c>
      <c r="S559" t="str">
        <f t="shared" si="74"/>
        <v>Tuesday</v>
      </c>
      <c r="T559" t="str">
        <f t="shared" si="75"/>
        <v>Weekday</v>
      </c>
      <c r="U559" t="str">
        <f t="shared" si="76"/>
        <v>Spring</v>
      </c>
      <c r="V559" t="str">
        <f t="shared" si="77"/>
        <v>Mist</v>
      </c>
      <c r="W559" t="str">
        <f t="shared" si="78"/>
        <v>Off Peak</v>
      </c>
      <c r="X559" t="str">
        <f t="shared" si="79"/>
        <v>Low</v>
      </c>
      <c r="Y559" t="str">
        <f t="shared" si="80"/>
        <v>Medium</v>
      </c>
    </row>
    <row r="560" spans="1:25" ht="15.75" thickBot="1">
      <c r="A560" s="1">
        <v>559</v>
      </c>
      <c r="B560" s="2">
        <v>40568</v>
      </c>
      <c r="C560" s="1">
        <v>1</v>
      </c>
      <c r="D560" s="1">
        <v>0</v>
      </c>
      <c r="E560" s="1">
        <v>1</v>
      </c>
      <c r="F560" s="1">
        <v>11</v>
      </c>
      <c r="G560" s="3" t="b">
        <v>0</v>
      </c>
      <c r="H560" s="1">
        <v>2</v>
      </c>
      <c r="I560" s="1">
        <v>2</v>
      </c>
      <c r="J560" s="7">
        <v>0.24</v>
      </c>
      <c r="K560" s="8">
        <f>VLOOKUP($A560,'Temprorary Data'!$A:$G,2,FALSE)</f>
        <v>0.2424</v>
      </c>
      <c r="L560" s="8">
        <f>VLOOKUP($A560,'Temprorary Data'!$A:$G,3,FALSE)</f>
        <v>0.6</v>
      </c>
      <c r="M560" s="8">
        <f>VLOOKUP($A560,'Temprorary Data'!$A:$G,4,FALSE)</f>
        <v>0.1343</v>
      </c>
      <c r="N560" s="9">
        <f>VLOOKUP($A560,'Temprorary Data'!$A:$G,5,FALSE)</f>
        <v>6</v>
      </c>
      <c r="O560" s="9">
        <f>VLOOKUP($A560,'Temprorary Data'!$A:$G,6,FALSE)</f>
        <v>55</v>
      </c>
      <c r="P560" s="9">
        <f>VLOOKUP($A560,'Temprorary Data'!$A:$G,7,FALSE)</f>
        <v>61</v>
      </c>
      <c r="Q560" t="b">
        <f t="shared" si="72"/>
        <v>1</v>
      </c>
      <c r="R560" t="str">
        <f t="shared" si="73"/>
        <v>January</v>
      </c>
      <c r="S560" t="str">
        <f t="shared" si="74"/>
        <v>Tuesday</v>
      </c>
      <c r="T560" t="str">
        <f t="shared" si="75"/>
        <v>Weekday</v>
      </c>
      <c r="U560" t="str">
        <f t="shared" si="76"/>
        <v>Spring</v>
      </c>
      <c r="V560" t="str">
        <f t="shared" si="77"/>
        <v>Mist</v>
      </c>
      <c r="W560" t="str">
        <f t="shared" si="78"/>
        <v>Off Peak</v>
      </c>
      <c r="X560" t="str">
        <f t="shared" si="79"/>
        <v>Low</v>
      </c>
      <c r="Y560" t="str">
        <f t="shared" si="80"/>
        <v>Medium</v>
      </c>
    </row>
    <row r="561" spans="1:25" ht="15.75" thickBot="1">
      <c r="A561" s="1">
        <v>560</v>
      </c>
      <c r="B561" s="2">
        <v>40568</v>
      </c>
      <c r="C561" s="1">
        <v>1</v>
      </c>
      <c r="D561" s="1">
        <v>0</v>
      </c>
      <c r="E561" s="1">
        <v>1</v>
      </c>
      <c r="F561" s="1">
        <v>12</v>
      </c>
      <c r="G561" s="3" t="b">
        <v>0</v>
      </c>
      <c r="H561" s="1">
        <v>2</v>
      </c>
      <c r="I561" s="1">
        <v>2</v>
      </c>
      <c r="J561" s="7">
        <v>0.26</v>
      </c>
      <c r="K561" s="8">
        <f>VLOOKUP($A561,'Temprorary Data'!$A:$G,2,FALSE)</f>
        <v>0.28789999999999999</v>
      </c>
      <c r="L561" s="8">
        <f>VLOOKUP($A561,'Temprorary Data'!$A:$G,3,FALSE)</f>
        <v>0.56000000000000005</v>
      </c>
      <c r="M561" s="8">
        <f>VLOOKUP($A561,'Temprorary Data'!$A:$G,4,FALSE)</f>
        <v>8.9599999999999999E-2</v>
      </c>
      <c r="N561" s="9">
        <f>VLOOKUP($A561,'Temprorary Data'!$A:$G,5,FALSE)</f>
        <v>21</v>
      </c>
      <c r="O561" s="9">
        <f>VLOOKUP($A561,'Temprorary Data'!$A:$G,6,FALSE)</f>
        <v>85</v>
      </c>
      <c r="P561" s="9">
        <f>VLOOKUP($A561,'Temprorary Data'!$A:$G,7,FALSE)</f>
        <v>106</v>
      </c>
      <c r="Q561" t="b">
        <f t="shared" si="72"/>
        <v>1</v>
      </c>
      <c r="R561" t="str">
        <f t="shared" si="73"/>
        <v>January</v>
      </c>
      <c r="S561" t="str">
        <f t="shared" si="74"/>
        <v>Tuesday</v>
      </c>
      <c r="T561" t="str">
        <f t="shared" si="75"/>
        <v>Weekday</v>
      </c>
      <c r="U561" t="str">
        <f t="shared" si="76"/>
        <v>Spring</v>
      </c>
      <c r="V561" t="str">
        <f t="shared" si="77"/>
        <v>Mist</v>
      </c>
      <c r="W561" t="str">
        <f t="shared" si="78"/>
        <v>Off Peak</v>
      </c>
      <c r="X561" t="str">
        <f t="shared" si="79"/>
        <v>Low</v>
      </c>
      <c r="Y561" t="str">
        <f t="shared" si="80"/>
        <v>Medium</v>
      </c>
    </row>
    <row r="562" spans="1:25" ht="15.75" thickBot="1">
      <c r="A562" s="1">
        <v>561</v>
      </c>
      <c r="B562" s="2">
        <v>40568</v>
      </c>
      <c r="C562" s="1">
        <v>1</v>
      </c>
      <c r="D562" s="1">
        <v>0</v>
      </c>
      <c r="E562" s="1">
        <v>1</v>
      </c>
      <c r="F562" s="1">
        <v>13</v>
      </c>
      <c r="G562" s="3" t="b">
        <v>0</v>
      </c>
      <c r="H562" s="1">
        <v>2</v>
      </c>
      <c r="I562" s="1">
        <v>2</v>
      </c>
      <c r="J562" s="7">
        <v>0.26</v>
      </c>
      <c r="K562" s="8">
        <f>VLOOKUP($A562,'Temprorary Data'!$A:$G,2,FALSE)</f>
        <v>0.2727</v>
      </c>
      <c r="L562" s="8">
        <f>VLOOKUP($A562,'Temprorary Data'!$A:$G,3,FALSE)</f>
        <v>0.56000000000000005</v>
      </c>
      <c r="M562" s="8">
        <f>VLOOKUP($A562,'Temprorary Data'!$A:$G,4,FALSE)</f>
        <v>0.1343</v>
      </c>
      <c r="N562" s="9">
        <f>VLOOKUP($A562,'Temprorary Data'!$A:$G,5,FALSE)</f>
        <v>21</v>
      </c>
      <c r="O562" s="9">
        <f>VLOOKUP($A562,'Temprorary Data'!$A:$G,6,FALSE)</f>
        <v>72</v>
      </c>
      <c r="P562" s="9">
        <f>VLOOKUP($A562,'Temprorary Data'!$A:$G,7,FALSE)</f>
        <v>93</v>
      </c>
      <c r="Q562" t="b">
        <f t="shared" si="72"/>
        <v>1</v>
      </c>
      <c r="R562" t="str">
        <f t="shared" si="73"/>
        <v>January</v>
      </c>
      <c r="S562" t="str">
        <f t="shared" si="74"/>
        <v>Tuesday</v>
      </c>
      <c r="T562" t="str">
        <f t="shared" si="75"/>
        <v>Weekday</v>
      </c>
      <c r="U562" t="str">
        <f t="shared" si="76"/>
        <v>Spring</v>
      </c>
      <c r="V562" t="str">
        <f t="shared" si="77"/>
        <v>Mist</v>
      </c>
      <c r="W562" t="str">
        <f t="shared" si="78"/>
        <v>Off Peak</v>
      </c>
      <c r="X562" t="str">
        <f t="shared" si="79"/>
        <v>Low</v>
      </c>
      <c r="Y562" t="str">
        <f t="shared" si="80"/>
        <v>Medium</v>
      </c>
    </row>
    <row r="563" spans="1:25" ht="15.75" thickBot="1">
      <c r="A563" s="1">
        <v>562</v>
      </c>
      <c r="B563" s="2">
        <v>40568</v>
      </c>
      <c r="C563" s="1">
        <v>1</v>
      </c>
      <c r="D563" s="1">
        <v>0</v>
      </c>
      <c r="E563" s="1">
        <v>1</v>
      </c>
      <c r="F563" s="1">
        <v>14</v>
      </c>
      <c r="G563" s="3" t="b">
        <v>0</v>
      </c>
      <c r="H563" s="1">
        <v>2</v>
      </c>
      <c r="I563" s="1">
        <v>2</v>
      </c>
      <c r="J563" s="7">
        <v>0.3</v>
      </c>
      <c r="K563" s="8">
        <f>VLOOKUP($A563,'Temprorary Data'!$A:$G,2,FALSE)</f>
        <v>0.33329999999999999</v>
      </c>
      <c r="L563" s="8">
        <f>VLOOKUP($A563,'Temprorary Data'!$A:$G,3,FALSE)</f>
        <v>0.45</v>
      </c>
      <c r="M563" s="8">
        <f>VLOOKUP($A563,'Temprorary Data'!$A:$G,4,FALSE)</f>
        <v>0</v>
      </c>
      <c r="N563" s="9">
        <f>VLOOKUP($A563,'Temprorary Data'!$A:$G,5,FALSE)</f>
        <v>11</v>
      </c>
      <c r="O563" s="9">
        <f>VLOOKUP($A563,'Temprorary Data'!$A:$G,6,FALSE)</f>
        <v>57</v>
      </c>
      <c r="P563" s="9">
        <f>VLOOKUP($A563,'Temprorary Data'!$A:$G,7,FALSE)</f>
        <v>68</v>
      </c>
      <c r="Q563" t="b">
        <f t="shared" si="72"/>
        <v>1</v>
      </c>
      <c r="R563" t="str">
        <f t="shared" si="73"/>
        <v>January</v>
      </c>
      <c r="S563" t="str">
        <f t="shared" si="74"/>
        <v>Tuesday</v>
      </c>
      <c r="T563" t="str">
        <f t="shared" si="75"/>
        <v>Weekday</v>
      </c>
      <c r="U563" t="str">
        <f t="shared" si="76"/>
        <v>Spring</v>
      </c>
      <c r="V563" t="str">
        <f t="shared" si="77"/>
        <v>Mist</v>
      </c>
      <c r="W563" t="str">
        <f t="shared" si="78"/>
        <v>Off Peak</v>
      </c>
      <c r="X563" t="str">
        <f t="shared" si="79"/>
        <v>Medium</v>
      </c>
      <c r="Y563" t="str">
        <f t="shared" si="80"/>
        <v>Medium</v>
      </c>
    </row>
    <row r="564" spans="1:25" ht="15.75" thickBot="1">
      <c r="A564" s="1">
        <v>563</v>
      </c>
      <c r="B564" s="2">
        <v>40568</v>
      </c>
      <c r="C564" s="1">
        <v>1</v>
      </c>
      <c r="D564" s="1">
        <v>0</v>
      </c>
      <c r="E564" s="1">
        <v>1</v>
      </c>
      <c r="F564" s="1">
        <v>15</v>
      </c>
      <c r="G564" s="3" t="b">
        <v>0</v>
      </c>
      <c r="H564" s="1">
        <v>2</v>
      </c>
      <c r="I564" s="1">
        <v>2</v>
      </c>
      <c r="J564" s="7">
        <v>0.32</v>
      </c>
      <c r="K564" s="8">
        <f>VLOOKUP($A564,'Temprorary Data'!$A:$G,2,FALSE)</f>
        <v>0.34849999999999998</v>
      </c>
      <c r="L564" s="8">
        <f>VLOOKUP($A564,'Temprorary Data'!$A:$G,3,FALSE)</f>
        <v>0.42</v>
      </c>
      <c r="M564" s="8">
        <f>VLOOKUP($A564,'Temprorary Data'!$A:$G,4,FALSE)</f>
        <v>0</v>
      </c>
      <c r="N564" s="9">
        <f>VLOOKUP($A564,'Temprorary Data'!$A:$G,5,FALSE)</f>
        <v>21</v>
      </c>
      <c r="O564" s="9">
        <f>VLOOKUP($A564,'Temprorary Data'!$A:$G,6,FALSE)</f>
        <v>63</v>
      </c>
      <c r="P564" s="9">
        <f>VLOOKUP($A564,'Temprorary Data'!$A:$G,7,FALSE)</f>
        <v>84</v>
      </c>
      <c r="Q564" t="b">
        <f t="shared" si="72"/>
        <v>1</v>
      </c>
      <c r="R564" t="str">
        <f t="shared" si="73"/>
        <v>January</v>
      </c>
      <c r="S564" t="str">
        <f t="shared" si="74"/>
        <v>Tuesday</v>
      </c>
      <c r="T564" t="str">
        <f t="shared" si="75"/>
        <v>Weekday</v>
      </c>
      <c r="U564" t="str">
        <f t="shared" si="76"/>
        <v>Spring</v>
      </c>
      <c r="V564" t="str">
        <f t="shared" si="77"/>
        <v>Mist</v>
      </c>
      <c r="W564" t="str">
        <f t="shared" si="78"/>
        <v>Off Peak</v>
      </c>
      <c r="X564" t="str">
        <f t="shared" si="79"/>
        <v>Medium</v>
      </c>
      <c r="Y564" t="str">
        <f t="shared" si="80"/>
        <v>Medium</v>
      </c>
    </row>
    <row r="565" spans="1:25" ht="15.75" thickBot="1">
      <c r="A565" s="1">
        <v>564</v>
      </c>
      <c r="B565" s="2">
        <v>40568</v>
      </c>
      <c r="C565" s="1">
        <v>1</v>
      </c>
      <c r="D565" s="1">
        <v>0</v>
      </c>
      <c r="E565" s="1">
        <v>1</v>
      </c>
      <c r="F565" s="1">
        <v>16</v>
      </c>
      <c r="G565" s="3" t="b">
        <v>0</v>
      </c>
      <c r="H565" s="1">
        <v>2</v>
      </c>
      <c r="I565" s="1">
        <v>2</v>
      </c>
      <c r="J565" s="7">
        <v>0.32</v>
      </c>
      <c r="K565" s="8">
        <f>VLOOKUP($A565,'Temprorary Data'!$A:$G,2,FALSE)</f>
        <v>0.34849999999999998</v>
      </c>
      <c r="L565" s="8">
        <f>VLOOKUP($A565,'Temprorary Data'!$A:$G,3,FALSE)</f>
        <v>0.42</v>
      </c>
      <c r="M565" s="8">
        <f>VLOOKUP($A565,'Temprorary Data'!$A:$G,4,FALSE)</f>
        <v>0</v>
      </c>
      <c r="N565" s="9">
        <f>VLOOKUP($A565,'Temprorary Data'!$A:$G,5,FALSE)</f>
        <v>14</v>
      </c>
      <c r="O565" s="9">
        <f>VLOOKUP($A565,'Temprorary Data'!$A:$G,6,FALSE)</f>
        <v>102</v>
      </c>
      <c r="P565" s="9">
        <f>VLOOKUP($A565,'Temprorary Data'!$A:$G,7,FALSE)</f>
        <v>116</v>
      </c>
      <c r="Q565" t="b">
        <f t="shared" si="72"/>
        <v>1</v>
      </c>
      <c r="R565" t="str">
        <f t="shared" si="73"/>
        <v>January</v>
      </c>
      <c r="S565" t="str">
        <f t="shared" si="74"/>
        <v>Tuesday</v>
      </c>
      <c r="T565" t="str">
        <f t="shared" si="75"/>
        <v>Weekday</v>
      </c>
      <c r="U565" t="str">
        <f t="shared" si="76"/>
        <v>Spring</v>
      </c>
      <c r="V565" t="str">
        <f t="shared" si="77"/>
        <v>Mist</v>
      </c>
      <c r="W565" t="str">
        <f t="shared" si="78"/>
        <v>Off Peak</v>
      </c>
      <c r="X565" t="str">
        <f t="shared" si="79"/>
        <v>Medium</v>
      </c>
      <c r="Y565" t="str">
        <f t="shared" si="80"/>
        <v>Medium</v>
      </c>
    </row>
    <row r="566" spans="1:25" ht="15.75" thickBot="1">
      <c r="A566" s="1">
        <v>565</v>
      </c>
      <c r="B566" s="2">
        <v>40568</v>
      </c>
      <c r="C566" s="1">
        <v>1</v>
      </c>
      <c r="D566" s="1">
        <v>0</v>
      </c>
      <c r="E566" s="1">
        <v>1</v>
      </c>
      <c r="F566" s="1">
        <v>17</v>
      </c>
      <c r="G566" s="3" t="b">
        <v>0</v>
      </c>
      <c r="H566" s="1">
        <v>2</v>
      </c>
      <c r="I566" s="1">
        <v>1</v>
      </c>
      <c r="J566" s="7">
        <v>0.3</v>
      </c>
      <c r="K566" s="8">
        <f>VLOOKUP($A566,'Temprorary Data'!$A:$G,2,FALSE)</f>
        <v>0.33329999999999999</v>
      </c>
      <c r="L566" s="8">
        <f>VLOOKUP($A566,'Temprorary Data'!$A:$G,3,FALSE)</f>
        <v>0.45</v>
      </c>
      <c r="M566" s="8">
        <f>VLOOKUP($A566,'Temprorary Data'!$A:$G,4,FALSE)</f>
        <v>0</v>
      </c>
      <c r="N566" s="9">
        <f>VLOOKUP($A566,'Temprorary Data'!$A:$G,5,FALSE)</f>
        <v>14</v>
      </c>
      <c r="O566" s="9">
        <f>VLOOKUP($A566,'Temprorary Data'!$A:$G,6,FALSE)</f>
        <v>208</v>
      </c>
      <c r="P566" s="9">
        <f>VLOOKUP($A566,'Temprorary Data'!$A:$G,7,FALSE)</f>
        <v>222</v>
      </c>
      <c r="Q566" t="b">
        <f t="shared" si="72"/>
        <v>1</v>
      </c>
      <c r="R566" t="str">
        <f t="shared" si="73"/>
        <v>January</v>
      </c>
      <c r="S566" t="str">
        <f t="shared" si="74"/>
        <v>Tuesday</v>
      </c>
      <c r="T566" t="str">
        <f t="shared" si="75"/>
        <v>Weekday</v>
      </c>
      <c r="U566" t="str">
        <f t="shared" si="76"/>
        <v>Spring</v>
      </c>
      <c r="V566" t="str">
        <f t="shared" si="77"/>
        <v>Clear</v>
      </c>
      <c r="W566" t="str">
        <f t="shared" si="78"/>
        <v>Evening Peak</v>
      </c>
      <c r="X566" t="str">
        <f t="shared" si="79"/>
        <v>Medium</v>
      </c>
      <c r="Y566" t="str">
        <f t="shared" si="80"/>
        <v>Medium</v>
      </c>
    </row>
    <row r="567" spans="1:25" ht="15.75" thickBot="1">
      <c r="A567" s="1">
        <v>566</v>
      </c>
      <c r="B567" s="2">
        <v>40568</v>
      </c>
      <c r="C567" s="1">
        <v>1</v>
      </c>
      <c r="D567" s="1">
        <v>0</v>
      </c>
      <c r="E567" s="1">
        <v>1</v>
      </c>
      <c r="F567" s="1">
        <v>18</v>
      </c>
      <c r="G567" s="3" t="b">
        <v>0</v>
      </c>
      <c r="H567" s="1">
        <v>2</v>
      </c>
      <c r="I567" s="1">
        <v>2</v>
      </c>
      <c r="J567" s="7">
        <v>0.3</v>
      </c>
      <c r="K567" s="8">
        <f>VLOOKUP($A567,'Temprorary Data'!$A:$G,2,FALSE)</f>
        <v>0.31819999999999998</v>
      </c>
      <c r="L567" s="8">
        <f>VLOOKUP($A567,'Temprorary Data'!$A:$G,3,FALSE)</f>
        <v>0.49</v>
      </c>
      <c r="M567" s="8">
        <f>VLOOKUP($A567,'Temprorary Data'!$A:$G,4,FALSE)</f>
        <v>8.9599999999999999E-2</v>
      </c>
      <c r="N567" s="9">
        <f>VLOOKUP($A567,'Temprorary Data'!$A:$G,5,FALSE)</f>
        <v>7</v>
      </c>
      <c r="O567" s="9">
        <f>VLOOKUP($A567,'Temprorary Data'!$A:$G,6,FALSE)</f>
        <v>218</v>
      </c>
      <c r="P567" s="9">
        <f>VLOOKUP($A567,'Temprorary Data'!$A:$G,7,FALSE)</f>
        <v>225</v>
      </c>
      <c r="Q567" t="b">
        <f t="shared" si="72"/>
        <v>1</v>
      </c>
      <c r="R567" t="str">
        <f t="shared" si="73"/>
        <v>January</v>
      </c>
      <c r="S567" t="str">
        <f t="shared" si="74"/>
        <v>Tuesday</v>
      </c>
      <c r="T567" t="str">
        <f t="shared" si="75"/>
        <v>Weekday</v>
      </c>
      <c r="U567" t="str">
        <f t="shared" si="76"/>
        <v>Spring</v>
      </c>
      <c r="V567" t="str">
        <f t="shared" si="77"/>
        <v>Mist</v>
      </c>
      <c r="W567" t="str">
        <f t="shared" si="78"/>
        <v>Evening Peak</v>
      </c>
      <c r="X567" t="str">
        <f t="shared" si="79"/>
        <v>Medium</v>
      </c>
      <c r="Y567" t="str">
        <f t="shared" si="80"/>
        <v>Medium</v>
      </c>
    </row>
    <row r="568" spans="1:25" ht="15.75" thickBot="1">
      <c r="A568" s="1">
        <v>567</v>
      </c>
      <c r="B568" s="2">
        <v>40568</v>
      </c>
      <c r="C568" s="1">
        <v>1</v>
      </c>
      <c r="D568" s="1">
        <v>0</v>
      </c>
      <c r="E568" s="1">
        <v>1</v>
      </c>
      <c r="F568" s="1">
        <v>19</v>
      </c>
      <c r="G568" s="3" t="b">
        <v>0</v>
      </c>
      <c r="H568" s="1">
        <v>2</v>
      </c>
      <c r="I568" s="1">
        <v>2</v>
      </c>
      <c r="J568" s="7">
        <v>0.26</v>
      </c>
      <c r="K568" s="8">
        <f>VLOOKUP($A568,'Temprorary Data'!$A:$G,2,FALSE)</f>
        <v>0.2576</v>
      </c>
      <c r="L568" s="8">
        <f>VLOOKUP($A568,'Temprorary Data'!$A:$G,3,FALSE)</f>
        <v>0.65</v>
      </c>
      <c r="M568" s="8">
        <f>VLOOKUP($A568,'Temprorary Data'!$A:$G,4,FALSE)</f>
        <v>0.16420000000000001</v>
      </c>
      <c r="N568" s="9">
        <f>VLOOKUP($A568,'Temprorary Data'!$A:$G,5,FALSE)</f>
        <v>13</v>
      </c>
      <c r="O568" s="9">
        <f>VLOOKUP($A568,'Temprorary Data'!$A:$G,6,FALSE)</f>
        <v>133</v>
      </c>
      <c r="P568" s="9">
        <f>VLOOKUP($A568,'Temprorary Data'!$A:$G,7,FALSE)</f>
        <v>146</v>
      </c>
      <c r="Q568" t="b">
        <f t="shared" si="72"/>
        <v>1</v>
      </c>
      <c r="R568" t="str">
        <f t="shared" si="73"/>
        <v>January</v>
      </c>
      <c r="S568" t="str">
        <f t="shared" si="74"/>
        <v>Tuesday</v>
      </c>
      <c r="T568" t="str">
        <f t="shared" si="75"/>
        <v>Weekday</v>
      </c>
      <c r="U568" t="str">
        <f t="shared" si="76"/>
        <v>Spring</v>
      </c>
      <c r="V568" t="str">
        <f t="shared" si="77"/>
        <v>Mist</v>
      </c>
      <c r="W568" t="str">
        <f t="shared" si="78"/>
        <v>Evening Peak</v>
      </c>
      <c r="X568" t="str">
        <f t="shared" si="79"/>
        <v>Low</v>
      </c>
      <c r="Y568" t="str">
        <f t="shared" si="80"/>
        <v>Medium</v>
      </c>
    </row>
    <row r="569" spans="1:25" ht="15.75" thickBot="1">
      <c r="A569" s="1">
        <v>568</v>
      </c>
      <c r="B569" s="2">
        <v>40568</v>
      </c>
      <c r="C569" s="1">
        <v>1</v>
      </c>
      <c r="D569" s="1">
        <v>0</v>
      </c>
      <c r="E569" s="1">
        <v>1</v>
      </c>
      <c r="F569" s="1">
        <v>20</v>
      </c>
      <c r="G569" s="3" t="b">
        <v>0</v>
      </c>
      <c r="H569" s="1">
        <v>2</v>
      </c>
      <c r="I569" s="1">
        <v>1</v>
      </c>
      <c r="J569" s="7">
        <v>0.24</v>
      </c>
      <c r="K569" s="8">
        <f>VLOOKUP($A569,'Temprorary Data'!$A:$G,2,FALSE)</f>
        <v>0.2273</v>
      </c>
      <c r="L569" s="8">
        <f>VLOOKUP($A569,'Temprorary Data'!$A:$G,3,FALSE)</f>
        <v>0.65</v>
      </c>
      <c r="M569" s="8">
        <f>VLOOKUP($A569,'Temprorary Data'!$A:$G,4,FALSE)</f>
        <v>0.19400000000000001</v>
      </c>
      <c r="N569" s="9">
        <f>VLOOKUP($A569,'Temprorary Data'!$A:$G,5,FALSE)</f>
        <v>16</v>
      </c>
      <c r="O569" s="9">
        <f>VLOOKUP($A569,'Temprorary Data'!$A:$G,6,FALSE)</f>
        <v>103</v>
      </c>
      <c r="P569" s="9">
        <f>VLOOKUP($A569,'Temprorary Data'!$A:$G,7,FALSE)</f>
        <v>119</v>
      </c>
      <c r="Q569" t="b">
        <f t="shared" si="72"/>
        <v>1</v>
      </c>
      <c r="R569" t="str">
        <f t="shared" si="73"/>
        <v>January</v>
      </c>
      <c r="S569" t="str">
        <f t="shared" si="74"/>
        <v>Tuesday</v>
      </c>
      <c r="T569" t="str">
        <f t="shared" si="75"/>
        <v>Weekday</v>
      </c>
      <c r="U569" t="str">
        <f t="shared" si="76"/>
        <v>Spring</v>
      </c>
      <c r="V569" t="str">
        <f t="shared" si="77"/>
        <v>Clear</v>
      </c>
      <c r="W569" t="str">
        <f t="shared" si="78"/>
        <v>Evening Peak</v>
      </c>
      <c r="X569" t="str">
        <f t="shared" si="79"/>
        <v>Low</v>
      </c>
      <c r="Y569" t="str">
        <f t="shared" si="80"/>
        <v>Medium</v>
      </c>
    </row>
    <row r="570" spans="1:25" ht="15.75" thickBot="1">
      <c r="A570" s="1">
        <v>569</v>
      </c>
      <c r="B570" s="2">
        <v>40568</v>
      </c>
      <c r="C570" s="1">
        <v>1</v>
      </c>
      <c r="D570" s="1">
        <v>0</v>
      </c>
      <c r="E570" s="1">
        <v>1</v>
      </c>
      <c r="F570" s="1">
        <v>21</v>
      </c>
      <c r="G570" s="3" t="b">
        <v>0</v>
      </c>
      <c r="H570" s="1">
        <v>2</v>
      </c>
      <c r="I570" s="1">
        <v>1</v>
      </c>
      <c r="J570" s="7">
        <v>0.24</v>
      </c>
      <c r="K570" s="8">
        <f>VLOOKUP($A570,'Temprorary Data'!$A:$G,2,FALSE)</f>
        <v>0.2273</v>
      </c>
      <c r="L570" s="8">
        <f>VLOOKUP($A570,'Temprorary Data'!$A:$G,3,FALSE)</f>
        <v>0.65</v>
      </c>
      <c r="M570" s="8">
        <f>VLOOKUP($A570,'Temprorary Data'!$A:$G,4,FALSE)</f>
        <v>0.19400000000000001</v>
      </c>
      <c r="N570" s="9">
        <f>VLOOKUP($A570,'Temprorary Data'!$A:$G,5,FALSE)</f>
        <v>5</v>
      </c>
      <c r="O570" s="9">
        <f>VLOOKUP($A570,'Temprorary Data'!$A:$G,6,FALSE)</f>
        <v>40</v>
      </c>
      <c r="P570" s="9">
        <f>VLOOKUP($A570,'Temprorary Data'!$A:$G,7,FALSE)</f>
        <v>45</v>
      </c>
      <c r="Q570" t="b">
        <f t="shared" si="72"/>
        <v>1</v>
      </c>
      <c r="R570" t="str">
        <f t="shared" si="73"/>
        <v>January</v>
      </c>
      <c r="S570" t="str">
        <f t="shared" si="74"/>
        <v>Tuesday</v>
      </c>
      <c r="T570" t="str">
        <f t="shared" si="75"/>
        <v>Weekday</v>
      </c>
      <c r="U570" t="str">
        <f t="shared" si="76"/>
        <v>Spring</v>
      </c>
      <c r="V570" t="str">
        <f t="shared" si="77"/>
        <v>Clear</v>
      </c>
      <c r="W570" t="str">
        <f t="shared" si="78"/>
        <v>Off Peak</v>
      </c>
      <c r="X570" t="str">
        <f t="shared" si="79"/>
        <v>Low</v>
      </c>
      <c r="Y570" t="str">
        <f t="shared" si="80"/>
        <v>Medium</v>
      </c>
    </row>
    <row r="571" spans="1:25" ht="15.75" thickBot="1">
      <c r="A571" s="1">
        <v>570</v>
      </c>
      <c r="B571" s="2">
        <v>40568</v>
      </c>
      <c r="C571" s="1">
        <v>1</v>
      </c>
      <c r="D571" s="1">
        <v>0</v>
      </c>
      <c r="E571" s="1">
        <v>1</v>
      </c>
      <c r="F571" s="1">
        <v>22</v>
      </c>
      <c r="G571" s="3" t="b">
        <v>0</v>
      </c>
      <c r="H571" s="1">
        <v>2</v>
      </c>
      <c r="I571" s="1">
        <v>1</v>
      </c>
      <c r="J571" s="7">
        <v>0.22</v>
      </c>
      <c r="K571" s="8">
        <f>VLOOKUP($A571,'Temprorary Data'!$A:$G,2,FALSE)</f>
        <v>0.2273</v>
      </c>
      <c r="L571" s="8">
        <f>VLOOKUP($A571,'Temprorary Data'!$A:$G,3,FALSE)</f>
        <v>0.64</v>
      </c>
      <c r="M571" s="8">
        <f>VLOOKUP($A571,'Temprorary Data'!$A:$G,4,FALSE)</f>
        <v>0.16420000000000001</v>
      </c>
      <c r="N571" s="9">
        <f>VLOOKUP($A571,'Temprorary Data'!$A:$G,5,FALSE)</f>
        <v>4</v>
      </c>
      <c r="O571" s="9">
        <f>VLOOKUP($A571,'Temprorary Data'!$A:$G,6,FALSE)</f>
        <v>49</v>
      </c>
      <c r="P571" s="9">
        <f>VLOOKUP($A571,'Temprorary Data'!$A:$G,7,FALSE)</f>
        <v>53</v>
      </c>
      <c r="Q571" t="b">
        <f t="shared" si="72"/>
        <v>1</v>
      </c>
      <c r="R571" t="str">
        <f t="shared" si="73"/>
        <v>January</v>
      </c>
      <c r="S571" t="str">
        <f t="shared" si="74"/>
        <v>Tuesday</v>
      </c>
      <c r="T571" t="str">
        <f t="shared" si="75"/>
        <v>Weekday</v>
      </c>
      <c r="U571" t="str">
        <f t="shared" si="76"/>
        <v>Spring</v>
      </c>
      <c r="V571" t="str">
        <f t="shared" si="77"/>
        <v>Clear</v>
      </c>
      <c r="W571" t="str">
        <f t="shared" si="78"/>
        <v>Off Peak</v>
      </c>
      <c r="X571" t="str">
        <f t="shared" si="79"/>
        <v>Low</v>
      </c>
      <c r="Y571" t="str">
        <f t="shared" si="80"/>
        <v>Medium</v>
      </c>
    </row>
    <row r="572" spans="1:25" ht="15.75" thickBot="1">
      <c r="A572" s="1">
        <v>571</v>
      </c>
      <c r="B572" s="2">
        <v>40568</v>
      </c>
      <c r="C572" s="1">
        <v>1</v>
      </c>
      <c r="D572" s="1">
        <v>0</v>
      </c>
      <c r="E572" s="1">
        <v>1</v>
      </c>
      <c r="F572" s="1">
        <v>23</v>
      </c>
      <c r="G572" s="3" t="b">
        <v>0</v>
      </c>
      <c r="H572" s="1">
        <v>2</v>
      </c>
      <c r="I572" s="1">
        <v>2</v>
      </c>
      <c r="J572" s="7">
        <v>0.22</v>
      </c>
      <c r="K572" s="8">
        <f>VLOOKUP($A572,'Temprorary Data'!$A:$G,2,FALSE)</f>
        <v>0.2273</v>
      </c>
      <c r="L572" s="8">
        <f>VLOOKUP($A572,'Temprorary Data'!$A:$G,3,FALSE)</f>
        <v>0.64</v>
      </c>
      <c r="M572" s="8">
        <f>VLOOKUP($A572,'Temprorary Data'!$A:$G,4,FALSE)</f>
        <v>0.16420000000000001</v>
      </c>
      <c r="N572" s="9">
        <f>VLOOKUP($A572,'Temprorary Data'!$A:$G,5,FALSE)</f>
        <v>3</v>
      </c>
      <c r="O572" s="9">
        <f>VLOOKUP($A572,'Temprorary Data'!$A:$G,6,FALSE)</f>
        <v>37</v>
      </c>
      <c r="P572" s="9">
        <f>VLOOKUP($A572,'Temprorary Data'!$A:$G,7,FALSE)</f>
        <v>40</v>
      </c>
      <c r="Q572" t="b">
        <f t="shared" si="72"/>
        <v>1</v>
      </c>
      <c r="R572" t="str">
        <f t="shared" si="73"/>
        <v>January</v>
      </c>
      <c r="S572" t="str">
        <f t="shared" si="74"/>
        <v>Tuesday</v>
      </c>
      <c r="T572" t="str">
        <f t="shared" si="75"/>
        <v>Weekday</v>
      </c>
      <c r="U572" t="str">
        <f t="shared" si="76"/>
        <v>Spring</v>
      </c>
      <c r="V572" t="str">
        <f t="shared" si="77"/>
        <v>Mist</v>
      </c>
      <c r="W572" t="str">
        <f t="shared" si="78"/>
        <v>Off Peak</v>
      </c>
      <c r="X572" t="str">
        <f t="shared" si="79"/>
        <v>Low</v>
      </c>
      <c r="Y572" t="str">
        <f t="shared" si="80"/>
        <v>Medium</v>
      </c>
    </row>
    <row r="573" spans="1:25" ht="15.75" thickBot="1">
      <c r="A573" s="1">
        <v>572</v>
      </c>
      <c r="B573" s="2">
        <v>40569</v>
      </c>
      <c r="C573" s="1">
        <v>1</v>
      </c>
      <c r="D573" s="1">
        <v>0</v>
      </c>
      <c r="E573" s="1">
        <v>1</v>
      </c>
      <c r="F573" s="1">
        <v>0</v>
      </c>
      <c r="G573" s="3" t="b">
        <v>0</v>
      </c>
      <c r="H573" s="1">
        <v>3</v>
      </c>
      <c r="I573" s="1">
        <v>2</v>
      </c>
      <c r="J573" s="7">
        <v>0.22</v>
      </c>
      <c r="K573" s="8">
        <f>VLOOKUP($A573,'Temprorary Data'!$A:$G,2,FALSE)</f>
        <v>0.2273</v>
      </c>
      <c r="L573" s="8">
        <f>VLOOKUP($A573,'Temprorary Data'!$A:$G,3,FALSE)</f>
        <v>0.69</v>
      </c>
      <c r="M573" s="8">
        <f>VLOOKUP($A573,'Temprorary Data'!$A:$G,4,FALSE)</f>
        <v>0.1343</v>
      </c>
      <c r="N573" s="9">
        <f>VLOOKUP($A573,'Temprorary Data'!$A:$G,5,FALSE)</f>
        <v>3</v>
      </c>
      <c r="O573" s="9">
        <f>VLOOKUP($A573,'Temprorary Data'!$A:$G,6,FALSE)</f>
        <v>14</v>
      </c>
      <c r="P573" s="9">
        <f>VLOOKUP($A573,'Temprorary Data'!$A:$G,7,FALSE)</f>
        <v>17</v>
      </c>
      <c r="Q573" t="b">
        <f t="shared" si="72"/>
        <v>1</v>
      </c>
      <c r="R573" t="str">
        <f t="shared" si="73"/>
        <v>January</v>
      </c>
      <c r="S573" t="str">
        <f t="shared" si="74"/>
        <v>Wednesday</v>
      </c>
      <c r="T573" t="str">
        <f t="shared" si="75"/>
        <v>Weekday</v>
      </c>
      <c r="U573" t="str">
        <f t="shared" si="76"/>
        <v>Spring</v>
      </c>
      <c r="V573" t="str">
        <f t="shared" si="77"/>
        <v>Mist</v>
      </c>
      <c r="W573" t="str">
        <f t="shared" si="78"/>
        <v>Off Peak</v>
      </c>
      <c r="X573" t="str">
        <f t="shared" si="79"/>
        <v>Low</v>
      </c>
      <c r="Y573" t="str">
        <f t="shared" si="80"/>
        <v>Medium</v>
      </c>
    </row>
    <row r="574" spans="1:25" ht="15.75" thickBot="1">
      <c r="A574" s="1">
        <v>573</v>
      </c>
      <c r="B574" s="2">
        <v>40569</v>
      </c>
      <c r="C574" s="1">
        <v>1</v>
      </c>
      <c r="D574" s="1">
        <v>0</v>
      </c>
      <c r="E574" s="1">
        <v>1</v>
      </c>
      <c r="F574" s="1">
        <v>1</v>
      </c>
      <c r="G574" s="3" t="b">
        <v>0</v>
      </c>
      <c r="H574" s="1">
        <v>3</v>
      </c>
      <c r="I574" s="1">
        <v>2</v>
      </c>
      <c r="J574" s="7">
        <v>0.24</v>
      </c>
      <c r="K574" s="8">
        <f>VLOOKUP($A574,'Temprorary Data'!$A:$G,2,FALSE)</f>
        <v>0.2424</v>
      </c>
      <c r="L574" s="8">
        <f>VLOOKUP($A574,'Temprorary Data'!$A:$G,3,FALSE)</f>
        <v>0.65</v>
      </c>
      <c r="M574" s="8">
        <f>VLOOKUP($A574,'Temprorary Data'!$A:$G,4,FALSE)</f>
        <v>0.1343</v>
      </c>
      <c r="N574" s="9">
        <f>VLOOKUP($A574,'Temprorary Data'!$A:$G,5,FALSE)</f>
        <v>0</v>
      </c>
      <c r="O574" s="9">
        <f>VLOOKUP($A574,'Temprorary Data'!$A:$G,6,FALSE)</f>
        <v>5</v>
      </c>
      <c r="P574" s="9">
        <f>VLOOKUP($A574,'Temprorary Data'!$A:$G,7,FALSE)</f>
        <v>5</v>
      </c>
      <c r="Q574" t="b">
        <f t="shared" si="72"/>
        <v>1</v>
      </c>
      <c r="R574" t="str">
        <f t="shared" si="73"/>
        <v>January</v>
      </c>
      <c r="S574" t="str">
        <f t="shared" si="74"/>
        <v>Wednesday</v>
      </c>
      <c r="T574" t="str">
        <f t="shared" si="75"/>
        <v>Weekday</v>
      </c>
      <c r="U574" t="str">
        <f t="shared" si="76"/>
        <v>Spring</v>
      </c>
      <c r="V574" t="str">
        <f t="shared" si="77"/>
        <v>Mist</v>
      </c>
      <c r="W574" t="str">
        <f t="shared" si="78"/>
        <v>Off Peak</v>
      </c>
      <c r="X574" t="str">
        <f t="shared" si="79"/>
        <v>Low</v>
      </c>
      <c r="Y574" t="str">
        <f t="shared" si="80"/>
        <v>Medium</v>
      </c>
    </row>
    <row r="575" spans="1:25" ht="15.75" thickBot="1">
      <c r="A575" s="1">
        <v>574</v>
      </c>
      <c r="B575" s="2">
        <v>40569</v>
      </c>
      <c r="C575" s="1">
        <v>1</v>
      </c>
      <c r="D575" s="1">
        <v>0</v>
      </c>
      <c r="E575" s="1">
        <v>1</v>
      </c>
      <c r="F575" s="1">
        <v>2</v>
      </c>
      <c r="G575" s="3" t="b">
        <v>0</v>
      </c>
      <c r="H575" s="1">
        <v>3</v>
      </c>
      <c r="I575" s="1">
        <v>3</v>
      </c>
      <c r="J575" s="7">
        <v>0.22</v>
      </c>
      <c r="K575" s="8">
        <f>VLOOKUP($A575,'Temprorary Data'!$A:$G,2,FALSE)</f>
        <v>0.2273</v>
      </c>
      <c r="L575" s="8">
        <f>VLOOKUP($A575,'Temprorary Data'!$A:$G,3,FALSE)</f>
        <v>0.69</v>
      </c>
      <c r="M575" s="8">
        <f>VLOOKUP($A575,'Temprorary Data'!$A:$G,4,FALSE)</f>
        <v>0.19400000000000001</v>
      </c>
      <c r="N575" s="9">
        <f>VLOOKUP($A575,'Temprorary Data'!$A:$G,5,FALSE)</f>
        <v>3</v>
      </c>
      <c r="O575" s="9">
        <f>VLOOKUP($A575,'Temprorary Data'!$A:$G,6,FALSE)</f>
        <v>7</v>
      </c>
      <c r="P575" s="9">
        <f>VLOOKUP($A575,'Temprorary Data'!$A:$G,7,FALSE)</f>
        <v>10</v>
      </c>
      <c r="Q575" t="b">
        <f t="shared" si="72"/>
        <v>1</v>
      </c>
      <c r="R575" t="str">
        <f t="shared" si="73"/>
        <v>January</v>
      </c>
      <c r="S575" t="str">
        <f t="shared" si="74"/>
        <v>Wednesday</v>
      </c>
      <c r="T575" t="str">
        <f t="shared" si="75"/>
        <v>Weekday</v>
      </c>
      <c r="U575" t="str">
        <f t="shared" si="76"/>
        <v>Spring</v>
      </c>
      <c r="V575" t="str">
        <f t="shared" si="77"/>
        <v>Light Rain</v>
      </c>
      <c r="W575" t="str">
        <f t="shared" si="78"/>
        <v>Off Peak</v>
      </c>
      <c r="X575" t="str">
        <f t="shared" si="79"/>
        <v>Low</v>
      </c>
      <c r="Y575" t="str">
        <f t="shared" si="80"/>
        <v>Medium</v>
      </c>
    </row>
    <row r="576" spans="1:25" ht="15.75" thickBot="1">
      <c r="A576" s="1">
        <v>575</v>
      </c>
      <c r="B576" s="2">
        <v>40569</v>
      </c>
      <c r="C576" s="1">
        <v>1</v>
      </c>
      <c r="D576" s="1">
        <v>0</v>
      </c>
      <c r="E576" s="1">
        <v>1</v>
      </c>
      <c r="F576" s="1">
        <v>5</v>
      </c>
      <c r="G576" s="3" t="b">
        <v>0</v>
      </c>
      <c r="H576" s="1">
        <v>3</v>
      </c>
      <c r="I576" s="1">
        <v>3</v>
      </c>
      <c r="J576" s="7">
        <v>0.2</v>
      </c>
      <c r="K576" s="8">
        <f>VLOOKUP($A576,'Temprorary Data'!$A:$G,2,FALSE)</f>
        <v>0.18179999999999999</v>
      </c>
      <c r="L576" s="8">
        <f>VLOOKUP($A576,'Temprorary Data'!$A:$G,3,FALSE)</f>
        <v>0.86</v>
      </c>
      <c r="M576" s="8">
        <f>VLOOKUP($A576,'Temprorary Data'!$A:$G,4,FALSE)</f>
        <v>0.28360000000000002</v>
      </c>
      <c r="N576" s="9">
        <f>VLOOKUP($A576,'Temprorary Data'!$A:$G,5,FALSE)</f>
        <v>0</v>
      </c>
      <c r="O576" s="9">
        <f>VLOOKUP($A576,'Temprorary Data'!$A:$G,6,FALSE)</f>
        <v>1</v>
      </c>
      <c r="P576" s="9">
        <f>VLOOKUP($A576,'Temprorary Data'!$A:$G,7,FALSE)</f>
        <v>1</v>
      </c>
      <c r="Q576" t="b">
        <f t="shared" si="72"/>
        <v>1</v>
      </c>
      <c r="R576" t="str">
        <f t="shared" si="73"/>
        <v>January</v>
      </c>
      <c r="S576" t="str">
        <f t="shared" si="74"/>
        <v>Wednesday</v>
      </c>
      <c r="T576" t="str">
        <f t="shared" si="75"/>
        <v>Weekday</v>
      </c>
      <c r="U576" t="str">
        <f t="shared" si="76"/>
        <v>Spring</v>
      </c>
      <c r="V576" t="str">
        <f t="shared" si="77"/>
        <v>Light Rain</v>
      </c>
      <c r="W576" t="str">
        <f t="shared" si="78"/>
        <v>Off Peak</v>
      </c>
      <c r="X576" t="str">
        <f t="shared" si="79"/>
        <v>Low</v>
      </c>
      <c r="Y576" t="str">
        <f t="shared" si="80"/>
        <v>High</v>
      </c>
    </row>
    <row r="577" spans="1:25" ht="15.75" thickBot="1">
      <c r="A577" s="1">
        <v>576</v>
      </c>
      <c r="B577" s="2">
        <v>40569</v>
      </c>
      <c r="C577" s="1">
        <v>1</v>
      </c>
      <c r="D577" s="1">
        <v>0</v>
      </c>
      <c r="E577" s="1">
        <v>1</v>
      </c>
      <c r="F577" s="1">
        <v>6</v>
      </c>
      <c r="G577" s="3" t="b">
        <v>0</v>
      </c>
      <c r="H577" s="1">
        <v>3</v>
      </c>
      <c r="I577" s="1">
        <v>3</v>
      </c>
      <c r="J577" s="7">
        <v>0.2</v>
      </c>
      <c r="K577" s="8">
        <f>VLOOKUP($A577,'Temprorary Data'!$A:$G,2,FALSE)</f>
        <v>0.18179999999999999</v>
      </c>
      <c r="L577" s="8">
        <f>VLOOKUP($A577,'Temprorary Data'!$A:$G,3,FALSE)</f>
        <v>0.86</v>
      </c>
      <c r="M577" s="8">
        <f>VLOOKUP($A577,'Temprorary Data'!$A:$G,4,FALSE)</f>
        <v>0.28360000000000002</v>
      </c>
      <c r="N577" s="9">
        <f>VLOOKUP($A577,'Temprorary Data'!$A:$G,5,FALSE)</f>
        <v>0</v>
      </c>
      <c r="O577" s="9">
        <f>VLOOKUP($A577,'Temprorary Data'!$A:$G,6,FALSE)</f>
        <v>8</v>
      </c>
      <c r="P577" s="9">
        <f>VLOOKUP($A577,'Temprorary Data'!$A:$G,7,FALSE)</f>
        <v>8</v>
      </c>
      <c r="Q577" t="b">
        <f t="shared" si="72"/>
        <v>1</v>
      </c>
      <c r="R577" t="str">
        <f t="shared" si="73"/>
        <v>January</v>
      </c>
      <c r="S577" t="str">
        <f t="shared" si="74"/>
        <v>Wednesday</v>
      </c>
      <c r="T577" t="str">
        <f t="shared" si="75"/>
        <v>Weekday</v>
      </c>
      <c r="U577" t="str">
        <f t="shared" si="76"/>
        <v>Spring</v>
      </c>
      <c r="V577" t="str">
        <f t="shared" si="77"/>
        <v>Light Rain</v>
      </c>
      <c r="W577" t="str">
        <f t="shared" si="78"/>
        <v>Off Peak</v>
      </c>
      <c r="X577" t="str">
        <f t="shared" si="79"/>
        <v>Low</v>
      </c>
      <c r="Y577" t="str">
        <f t="shared" si="80"/>
        <v>High</v>
      </c>
    </row>
    <row r="578" spans="1:25" ht="15.75" thickBot="1">
      <c r="A578" s="1">
        <v>577</v>
      </c>
      <c r="B578" s="2">
        <v>40569</v>
      </c>
      <c r="C578" s="1">
        <v>1</v>
      </c>
      <c r="D578" s="1">
        <v>0</v>
      </c>
      <c r="E578" s="1">
        <v>1</v>
      </c>
      <c r="F578" s="1">
        <v>7</v>
      </c>
      <c r="G578" s="3" t="b">
        <v>0</v>
      </c>
      <c r="H578" s="1">
        <v>3</v>
      </c>
      <c r="I578" s="1">
        <v>3</v>
      </c>
      <c r="J578" s="7">
        <v>0.22</v>
      </c>
      <c r="K578" s="8">
        <f>VLOOKUP($A578,'Temprorary Data'!$A:$G,2,FALSE)</f>
        <v>0.21210000000000001</v>
      </c>
      <c r="L578" s="8">
        <f>VLOOKUP($A578,'Temprorary Data'!$A:$G,3,FALSE)</f>
        <v>0.87</v>
      </c>
      <c r="M578" s="8">
        <f>VLOOKUP($A578,'Temprorary Data'!$A:$G,4,FALSE)</f>
        <v>0.29849999999999999</v>
      </c>
      <c r="N578" s="9">
        <f>VLOOKUP($A578,'Temprorary Data'!$A:$G,5,FALSE)</f>
        <v>1</v>
      </c>
      <c r="O578" s="9">
        <f>VLOOKUP($A578,'Temprorary Data'!$A:$G,6,FALSE)</f>
        <v>29</v>
      </c>
      <c r="P578" s="9">
        <f>VLOOKUP($A578,'Temprorary Data'!$A:$G,7,FALSE)</f>
        <v>30</v>
      </c>
      <c r="Q578" t="b">
        <f t="shared" si="72"/>
        <v>1</v>
      </c>
      <c r="R578" t="str">
        <f t="shared" si="73"/>
        <v>January</v>
      </c>
      <c r="S578" t="str">
        <f t="shared" si="74"/>
        <v>Wednesday</v>
      </c>
      <c r="T578" t="str">
        <f t="shared" si="75"/>
        <v>Weekday</v>
      </c>
      <c r="U578" t="str">
        <f t="shared" si="76"/>
        <v>Spring</v>
      </c>
      <c r="V578" t="str">
        <f t="shared" si="77"/>
        <v>Light Rain</v>
      </c>
      <c r="W578" t="str">
        <f t="shared" si="78"/>
        <v>Morning Peak</v>
      </c>
      <c r="X578" t="str">
        <f t="shared" si="79"/>
        <v>Low</v>
      </c>
      <c r="Y578" t="str">
        <f t="shared" si="80"/>
        <v>High</v>
      </c>
    </row>
    <row r="579" spans="1:25" ht="15.75" thickBot="1">
      <c r="A579" s="1">
        <v>578</v>
      </c>
      <c r="B579" s="2">
        <v>40569</v>
      </c>
      <c r="C579" s="1">
        <v>1</v>
      </c>
      <c r="D579" s="1">
        <v>0</v>
      </c>
      <c r="E579" s="1">
        <v>1</v>
      </c>
      <c r="F579" s="1">
        <v>8</v>
      </c>
      <c r="G579" s="3" t="b">
        <v>0</v>
      </c>
      <c r="H579" s="1">
        <v>3</v>
      </c>
      <c r="I579" s="1">
        <v>3</v>
      </c>
      <c r="J579" s="7">
        <v>0.22</v>
      </c>
      <c r="K579" s="8">
        <f>VLOOKUP($A579,'Temprorary Data'!$A:$G,2,FALSE)</f>
        <v>0.21210000000000001</v>
      </c>
      <c r="L579" s="8">
        <f>VLOOKUP($A579,'Temprorary Data'!$A:$G,3,FALSE)</f>
        <v>0.87</v>
      </c>
      <c r="M579" s="8">
        <f>VLOOKUP($A579,'Temprorary Data'!$A:$G,4,FALSE)</f>
        <v>0.29849999999999999</v>
      </c>
      <c r="N579" s="9">
        <f>VLOOKUP($A579,'Temprorary Data'!$A:$G,5,FALSE)</f>
        <v>3</v>
      </c>
      <c r="O579" s="9">
        <f>VLOOKUP($A579,'Temprorary Data'!$A:$G,6,FALSE)</f>
        <v>69</v>
      </c>
      <c r="P579" s="9">
        <f>VLOOKUP($A579,'Temprorary Data'!$A:$G,7,FALSE)</f>
        <v>72</v>
      </c>
      <c r="Q579" t="b">
        <f t="shared" ref="Q579:Q611" si="81">N579+O579=P579</f>
        <v>1</v>
      </c>
      <c r="R579" t="str">
        <f t="shared" ref="R579:R611" si="82">TEXT(B579,"mmmm")</f>
        <v>January</v>
      </c>
      <c r="S579" t="str">
        <f t="shared" ref="S579:S611" si="83">TEXT(B579,"dddd")</f>
        <v>Wednesday</v>
      </c>
      <c r="T579" t="str">
        <f t="shared" ref="T579:T611" si="84">IF(OR(H579=0,H579=6),"Weekend","Weekday")</f>
        <v>Weekday</v>
      </c>
      <c r="U579" t="str">
        <f t="shared" ref="U579:U611" si="85">IF(C579=1,"Spring",IF(C579=2,"Summer",IF(C579=3,"Fall","Winter")))</f>
        <v>Spring</v>
      </c>
      <c r="V579" t="str">
        <f t="shared" ref="V579:V611" si="86">IF(I579=1,"Clear",IF(I579=2,"Mist",IF(I579=3,"Light Rain","Heavy Rain")))</f>
        <v>Light Rain</v>
      </c>
      <c r="W579" t="str">
        <f t="shared" ref="W579:W611" si="87">IF(AND(F579&gt;=7,F579&lt;=9),"Morning Peak",IF(AND(F579&gt;=17,F579&lt;=20),"Evening Peak","Off Peak"))</f>
        <v>Morning Peak</v>
      </c>
      <c r="X579" t="str">
        <f t="shared" ref="X579:X611" si="88">IF(J579&lt;0.3,"Low",IF(J579&lt;0.6,"Medium","High"))</f>
        <v>Low</v>
      </c>
      <c r="Y579" t="str">
        <f t="shared" ref="Y579:Y611" si="89">IF(L579&lt;0.4,"Low",IF(L579&lt;0.7,"Medium","High"))</f>
        <v>High</v>
      </c>
    </row>
    <row r="580" spans="1:25" ht="15.75" thickBot="1">
      <c r="A580" s="1">
        <v>579</v>
      </c>
      <c r="B580" s="2">
        <v>40569</v>
      </c>
      <c r="C580" s="1">
        <v>1</v>
      </c>
      <c r="D580" s="1">
        <v>0</v>
      </c>
      <c r="E580" s="1">
        <v>1</v>
      </c>
      <c r="F580" s="1">
        <v>9</v>
      </c>
      <c r="G580" s="3" t="b">
        <v>0</v>
      </c>
      <c r="H580" s="1">
        <v>3</v>
      </c>
      <c r="I580" s="1">
        <v>3</v>
      </c>
      <c r="J580" s="7">
        <v>0.22</v>
      </c>
      <c r="K580" s="8">
        <f>VLOOKUP($A580,'Temprorary Data'!$A:$G,2,FALSE)</f>
        <v>0.21210000000000001</v>
      </c>
      <c r="L580" s="8">
        <f>VLOOKUP($A580,'Temprorary Data'!$A:$G,3,FALSE)</f>
        <v>0.87</v>
      </c>
      <c r="M580" s="8">
        <f>VLOOKUP($A580,'Temprorary Data'!$A:$G,4,FALSE)</f>
        <v>0.29849999999999999</v>
      </c>
      <c r="N580" s="9">
        <f>VLOOKUP($A580,'Temprorary Data'!$A:$G,5,FALSE)</f>
        <v>3</v>
      </c>
      <c r="O580" s="9">
        <f>VLOOKUP($A580,'Temprorary Data'!$A:$G,6,FALSE)</f>
        <v>55</v>
      </c>
      <c r="P580" s="9">
        <f>VLOOKUP($A580,'Temprorary Data'!$A:$G,7,FALSE)</f>
        <v>58</v>
      </c>
      <c r="Q580" t="b">
        <f t="shared" si="81"/>
        <v>1</v>
      </c>
      <c r="R580" t="str">
        <f t="shared" si="82"/>
        <v>January</v>
      </c>
      <c r="S580" t="str">
        <f t="shared" si="83"/>
        <v>Wednesday</v>
      </c>
      <c r="T580" t="str">
        <f t="shared" si="84"/>
        <v>Weekday</v>
      </c>
      <c r="U580" t="str">
        <f t="shared" si="85"/>
        <v>Spring</v>
      </c>
      <c r="V580" t="str">
        <f t="shared" si="86"/>
        <v>Light Rain</v>
      </c>
      <c r="W580" t="str">
        <f t="shared" si="87"/>
        <v>Morning Peak</v>
      </c>
      <c r="X580" t="str">
        <f t="shared" si="88"/>
        <v>Low</v>
      </c>
      <c r="Y580" t="str">
        <f t="shared" si="89"/>
        <v>High</v>
      </c>
    </row>
    <row r="581" spans="1:25" ht="15.75" thickBot="1">
      <c r="A581" s="1">
        <v>580</v>
      </c>
      <c r="B581" s="2">
        <v>40569</v>
      </c>
      <c r="C581" s="1">
        <v>1</v>
      </c>
      <c r="D581" s="1">
        <v>0</v>
      </c>
      <c r="E581" s="1">
        <v>1</v>
      </c>
      <c r="F581" s="1">
        <v>10</v>
      </c>
      <c r="G581" s="3" t="b">
        <v>0</v>
      </c>
      <c r="H581" s="1">
        <v>3</v>
      </c>
      <c r="I581" s="1">
        <v>3</v>
      </c>
      <c r="J581" s="7">
        <v>0.22</v>
      </c>
      <c r="K581" s="8">
        <f>VLOOKUP($A581,'Temprorary Data'!$A:$G,2,FALSE)</f>
        <v>0.21210000000000001</v>
      </c>
      <c r="L581" s="8">
        <f>VLOOKUP($A581,'Temprorary Data'!$A:$G,3,FALSE)</f>
        <v>0.93</v>
      </c>
      <c r="M581" s="8">
        <f>VLOOKUP($A581,'Temprorary Data'!$A:$G,4,FALSE)</f>
        <v>0.28360000000000002</v>
      </c>
      <c r="N581" s="9">
        <f>VLOOKUP($A581,'Temprorary Data'!$A:$G,5,FALSE)</f>
        <v>2</v>
      </c>
      <c r="O581" s="9">
        <f>VLOOKUP($A581,'Temprorary Data'!$A:$G,6,FALSE)</f>
        <v>26</v>
      </c>
      <c r="P581" s="9">
        <f>VLOOKUP($A581,'Temprorary Data'!$A:$G,7,FALSE)</f>
        <v>28</v>
      </c>
      <c r="Q581" t="b">
        <f t="shared" si="81"/>
        <v>1</v>
      </c>
      <c r="R581" t="str">
        <f t="shared" si="82"/>
        <v>January</v>
      </c>
      <c r="S581" t="str">
        <f t="shared" si="83"/>
        <v>Wednesday</v>
      </c>
      <c r="T581" t="str">
        <f t="shared" si="84"/>
        <v>Weekday</v>
      </c>
      <c r="U581" t="str">
        <f t="shared" si="85"/>
        <v>Spring</v>
      </c>
      <c r="V581" t="str">
        <f t="shared" si="86"/>
        <v>Light Rain</v>
      </c>
      <c r="W581" t="str">
        <f t="shared" si="87"/>
        <v>Off Peak</v>
      </c>
      <c r="X581" t="str">
        <f t="shared" si="88"/>
        <v>Low</v>
      </c>
      <c r="Y581" t="str">
        <f t="shared" si="89"/>
        <v>High</v>
      </c>
    </row>
    <row r="582" spans="1:25" ht="15.75" thickBot="1">
      <c r="A582" s="1">
        <v>581</v>
      </c>
      <c r="B582" s="2">
        <v>40569</v>
      </c>
      <c r="C582" s="1">
        <v>1</v>
      </c>
      <c r="D582" s="1">
        <v>0</v>
      </c>
      <c r="E582" s="1">
        <v>1</v>
      </c>
      <c r="F582" s="1">
        <v>11</v>
      </c>
      <c r="G582" s="3" t="b">
        <v>0</v>
      </c>
      <c r="H582" s="1">
        <v>3</v>
      </c>
      <c r="I582" s="1">
        <v>3</v>
      </c>
      <c r="J582" s="7">
        <v>0.22</v>
      </c>
      <c r="K582" s="8">
        <f>VLOOKUP($A582,'Temprorary Data'!$A:$G,2,FALSE)</f>
        <v>0.19700000000000001</v>
      </c>
      <c r="L582" s="8">
        <f>VLOOKUP($A582,'Temprorary Data'!$A:$G,3,FALSE)</f>
        <v>0.93</v>
      </c>
      <c r="M582" s="8">
        <f>VLOOKUP($A582,'Temprorary Data'!$A:$G,4,FALSE)</f>
        <v>0.32840000000000003</v>
      </c>
      <c r="N582" s="9">
        <f>VLOOKUP($A582,'Temprorary Data'!$A:$G,5,FALSE)</f>
        <v>6</v>
      </c>
      <c r="O582" s="9">
        <f>VLOOKUP($A582,'Temprorary Data'!$A:$G,6,FALSE)</f>
        <v>35</v>
      </c>
      <c r="P582" s="9">
        <f>VLOOKUP($A582,'Temprorary Data'!$A:$G,7,FALSE)</f>
        <v>41</v>
      </c>
      <c r="Q582" t="b">
        <f t="shared" si="81"/>
        <v>1</v>
      </c>
      <c r="R582" t="str">
        <f t="shared" si="82"/>
        <v>January</v>
      </c>
      <c r="S582" t="str">
        <f t="shared" si="83"/>
        <v>Wednesday</v>
      </c>
      <c r="T582" t="str">
        <f t="shared" si="84"/>
        <v>Weekday</v>
      </c>
      <c r="U582" t="str">
        <f t="shared" si="85"/>
        <v>Spring</v>
      </c>
      <c r="V582" t="str">
        <f t="shared" si="86"/>
        <v>Light Rain</v>
      </c>
      <c r="W582" t="str">
        <f t="shared" si="87"/>
        <v>Off Peak</v>
      </c>
      <c r="X582" t="str">
        <f t="shared" si="88"/>
        <v>Low</v>
      </c>
      <c r="Y582" t="str">
        <f t="shared" si="89"/>
        <v>High</v>
      </c>
    </row>
    <row r="583" spans="1:25" ht="15.75" thickBot="1">
      <c r="A583" s="1">
        <v>582</v>
      </c>
      <c r="B583" s="2">
        <v>40569</v>
      </c>
      <c r="C583" s="1">
        <v>1</v>
      </c>
      <c r="D583" s="1">
        <v>0</v>
      </c>
      <c r="E583" s="1">
        <v>1</v>
      </c>
      <c r="F583" s="1">
        <v>12</v>
      </c>
      <c r="G583" s="3" t="b">
        <v>0</v>
      </c>
      <c r="H583" s="1">
        <v>3</v>
      </c>
      <c r="I583" s="1">
        <v>3</v>
      </c>
      <c r="J583" s="7">
        <v>0.22</v>
      </c>
      <c r="K583" s="8">
        <f>VLOOKUP($A583,'Temprorary Data'!$A:$G,2,FALSE)</f>
        <v>0.19700000000000001</v>
      </c>
      <c r="L583" s="8">
        <f>VLOOKUP($A583,'Temprorary Data'!$A:$G,3,FALSE)</f>
        <v>0.93</v>
      </c>
      <c r="M583" s="8">
        <f>VLOOKUP($A583,'Temprorary Data'!$A:$G,4,FALSE)</f>
        <v>0.32840000000000003</v>
      </c>
      <c r="N583" s="9">
        <f>VLOOKUP($A583,'Temprorary Data'!$A:$G,5,FALSE)</f>
        <v>7</v>
      </c>
      <c r="O583" s="9">
        <f>VLOOKUP($A583,'Temprorary Data'!$A:$G,6,FALSE)</f>
        <v>41</v>
      </c>
      <c r="P583" s="9">
        <f>VLOOKUP($A583,'Temprorary Data'!$A:$G,7,FALSE)</f>
        <v>48</v>
      </c>
      <c r="Q583" t="b">
        <f t="shared" si="81"/>
        <v>1</v>
      </c>
      <c r="R583" t="str">
        <f t="shared" si="82"/>
        <v>January</v>
      </c>
      <c r="S583" t="str">
        <f t="shared" si="83"/>
        <v>Wednesday</v>
      </c>
      <c r="T583" t="str">
        <f t="shared" si="84"/>
        <v>Weekday</v>
      </c>
      <c r="U583" t="str">
        <f t="shared" si="85"/>
        <v>Spring</v>
      </c>
      <c r="V583" t="str">
        <f t="shared" si="86"/>
        <v>Light Rain</v>
      </c>
      <c r="W583" t="str">
        <f t="shared" si="87"/>
        <v>Off Peak</v>
      </c>
      <c r="X583" t="str">
        <f t="shared" si="88"/>
        <v>Low</v>
      </c>
      <c r="Y583" t="str">
        <f t="shared" si="89"/>
        <v>High</v>
      </c>
    </row>
    <row r="584" spans="1:25" ht="15.75" thickBot="1">
      <c r="A584" s="1">
        <v>583</v>
      </c>
      <c r="B584" s="2">
        <v>40569</v>
      </c>
      <c r="C584" s="1">
        <v>1</v>
      </c>
      <c r="D584" s="1">
        <v>0</v>
      </c>
      <c r="E584" s="1">
        <v>1</v>
      </c>
      <c r="F584" s="1">
        <v>13</v>
      </c>
      <c r="G584" s="3" t="b">
        <v>0</v>
      </c>
      <c r="H584" s="1">
        <v>3</v>
      </c>
      <c r="I584" s="1">
        <v>3</v>
      </c>
      <c r="J584" s="7">
        <v>0.22</v>
      </c>
      <c r="K584" s="8">
        <f>VLOOKUP($A584,'Temprorary Data'!$A:$G,2,FALSE)</f>
        <v>0.19700000000000001</v>
      </c>
      <c r="L584" s="8">
        <f>VLOOKUP($A584,'Temprorary Data'!$A:$G,3,FALSE)</f>
        <v>0.93</v>
      </c>
      <c r="M584" s="8">
        <f>VLOOKUP($A584,'Temprorary Data'!$A:$G,4,FALSE)</f>
        <v>0.32840000000000003</v>
      </c>
      <c r="N584" s="9">
        <f>VLOOKUP($A584,'Temprorary Data'!$A:$G,5,FALSE)</f>
        <v>4</v>
      </c>
      <c r="O584" s="9">
        <f>VLOOKUP($A584,'Temprorary Data'!$A:$G,6,FALSE)</f>
        <v>43</v>
      </c>
      <c r="P584" s="9">
        <f>VLOOKUP($A584,'Temprorary Data'!$A:$G,7,FALSE)</f>
        <v>47</v>
      </c>
      <c r="Q584" t="b">
        <f t="shared" si="81"/>
        <v>1</v>
      </c>
      <c r="R584" t="str">
        <f t="shared" si="82"/>
        <v>January</v>
      </c>
      <c r="S584" t="str">
        <f t="shared" si="83"/>
        <v>Wednesday</v>
      </c>
      <c r="T584" t="str">
        <f t="shared" si="84"/>
        <v>Weekday</v>
      </c>
      <c r="U584" t="str">
        <f t="shared" si="85"/>
        <v>Spring</v>
      </c>
      <c r="V584" t="str">
        <f t="shared" si="86"/>
        <v>Light Rain</v>
      </c>
      <c r="W584" t="str">
        <f t="shared" si="87"/>
        <v>Off Peak</v>
      </c>
      <c r="X584" t="str">
        <f t="shared" si="88"/>
        <v>Low</v>
      </c>
      <c r="Y584" t="str">
        <f t="shared" si="89"/>
        <v>High</v>
      </c>
    </row>
    <row r="585" spans="1:25" ht="15.75" thickBot="1">
      <c r="A585" s="1">
        <v>584</v>
      </c>
      <c r="B585" s="2">
        <v>40569</v>
      </c>
      <c r="C585" s="1">
        <v>1</v>
      </c>
      <c r="D585" s="1">
        <v>0</v>
      </c>
      <c r="E585" s="1">
        <v>1</v>
      </c>
      <c r="F585" s="1">
        <v>14</v>
      </c>
      <c r="G585" s="3" t="b">
        <v>0</v>
      </c>
      <c r="H585" s="1">
        <v>3</v>
      </c>
      <c r="I585" s="1">
        <v>3</v>
      </c>
      <c r="J585" s="7">
        <v>0.22</v>
      </c>
      <c r="K585" s="8">
        <f>VLOOKUP($A585,'Temprorary Data'!$A:$G,2,FALSE)</f>
        <v>0.19700000000000001</v>
      </c>
      <c r="L585" s="8">
        <f>VLOOKUP($A585,'Temprorary Data'!$A:$G,3,FALSE)</f>
        <v>0.93</v>
      </c>
      <c r="M585" s="8">
        <f>VLOOKUP($A585,'Temprorary Data'!$A:$G,4,FALSE)</f>
        <v>0.35820000000000002</v>
      </c>
      <c r="N585" s="9">
        <f>VLOOKUP($A585,'Temprorary Data'!$A:$G,5,FALSE)</f>
        <v>0</v>
      </c>
      <c r="O585" s="9">
        <f>VLOOKUP($A585,'Temprorary Data'!$A:$G,6,FALSE)</f>
        <v>36</v>
      </c>
      <c r="P585" s="9">
        <f>VLOOKUP($A585,'Temprorary Data'!$A:$G,7,FALSE)</f>
        <v>36</v>
      </c>
      <c r="Q585" t="b">
        <f t="shared" si="81"/>
        <v>1</v>
      </c>
      <c r="R585" t="str">
        <f t="shared" si="82"/>
        <v>January</v>
      </c>
      <c r="S585" t="str">
        <f t="shared" si="83"/>
        <v>Wednesday</v>
      </c>
      <c r="T585" t="str">
        <f t="shared" si="84"/>
        <v>Weekday</v>
      </c>
      <c r="U585" t="str">
        <f t="shared" si="85"/>
        <v>Spring</v>
      </c>
      <c r="V585" t="str">
        <f t="shared" si="86"/>
        <v>Light Rain</v>
      </c>
      <c r="W585" t="str">
        <f t="shared" si="87"/>
        <v>Off Peak</v>
      </c>
      <c r="X585" t="str">
        <f t="shared" si="88"/>
        <v>Low</v>
      </c>
      <c r="Y585" t="str">
        <f t="shared" si="89"/>
        <v>High</v>
      </c>
    </row>
    <row r="586" spans="1:25" ht="15.75" thickBot="1">
      <c r="A586" s="1">
        <v>585</v>
      </c>
      <c r="B586" s="2">
        <v>40569</v>
      </c>
      <c r="C586" s="1">
        <v>1</v>
      </c>
      <c r="D586" s="1">
        <v>0</v>
      </c>
      <c r="E586" s="1">
        <v>1</v>
      </c>
      <c r="F586" s="1">
        <v>15</v>
      </c>
      <c r="G586" s="3" t="b">
        <v>0</v>
      </c>
      <c r="H586" s="1">
        <v>3</v>
      </c>
      <c r="I586" s="1">
        <v>3</v>
      </c>
      <c r="J586" s="7">
        <v>0.22</v>
      </c>
      <c r="K586" s="8">
        <f>VLOOKUP($A586,'Temprorary Data'!$A:$G,2,FALSE)</f>
        <v>0.18179999999999999</v>
      </c>
      <c r="L586" s="8">
        <f>VLOOKUP($A586,'Temprorary Data'!$A:$G,3,FALSE)</f>
        <v>0.93</v>
      </c>
      <c r="M586" s="8">
        <f>VLOOKUP($A586,'Temprorary Data'!$A:$G,4,FALSE)</f>
        <v>0.4627</v>
      </c>
      <c r="N586" s="9">
        <f>VLOOKUP($A586,'Temprorary Data'!$A:$G,5,FALSE)</f>
        <v>1</v>
      </c>
      <c r="O586" s="9">
        <f>VLOOKUP($A586,'Temprorary Data'!$A:$G,6,FALSE)</f>
        <v>42</v>
      </c>
      <c r="P586" s="9">
        <f>VLOOKUP($A586,'Temprorary Data'!$A:$G,7,FALSE)</f>
        <v>43</v>
      </c>
      <c r="Q586" t="b">
        <f t="shared" si="81"/>
        <v>1</v>
      </c>
      <c r="R586" t="str">
        <f t="shared" si="82"/>
        <v>January</v>
      </c>
      <c r="S586" t="str">
        <f t="shared" si="83"/>
        <v>Wednesday</v>
      </c>
      <c r="T586" t="str">
        <f t="shared" si="84"/>
        <v>Weekday</v>
      </c>
      <c r="U586" t="str">
        <f t="shared" si="85"/>
        <v>Spring</v>
      </c>
      <c r="V586" t="str">
        <f t="shared" si="86"/>
        <v>Light Rain</v>
      </c>
      <c r="W586" t="str">
        <f t="shared" si="87"/>
        <v>Off Peak</v>
      </c>
      <c r="X586" t="str">
        <f t="shared" si="88"/>
        <v>Low</v>
      </c>
      <c r="Y586" t="str">
        <f t="shared" si="89"/>
        <v>High</v>
      </c>
    </row>
    <row r="587" spans="1:25" ht="15.75" thickBot="1">
      <c r="A587" s="1">
        <v>586</v>
      </c>
      <c r="B587" s="2">
        <v>40569</v>
      </c>
      <c r="C587" s="1">
        <v>1</v>
      </c>
      <c r="D587" s="1">
        <v>0</v>
      </c>
      <c r="E587" s="1">
        <v>1</v>
      </c>
      <c r="F587" s="1">
        <v>16</v>
      </c>
      <c r="G587" s="3" t="b">
        <v>0</v>
      </c>
      <c r="H587" s="1">
        <v>3</v>
      </c>
      <c r="I587" s="1">
        <v>4</v>
      </c>
      <c r="J587" s="7">
        <v>0.22</v>
      </c>
      <c r="K587" s="8">
        <f>VLOOKUP($A587,'Temprorary Data'!$A:$G,2,FALSE)</f>
        <v>0.19700000000000001</v>
      </c>
      <c r="L587" s="8">
        <f>VLOOKUP($A587,'Temprorary Data'!$A:$G,3,FALSE)</f>
        <v>0.93</v>
      </c>
      <c r="M587" s="8">
        <f>VLOOKUP($A587,'Temprorary Data'!$A:$G,4,FALSE)</f>
        <v>0.32840000000000003</v>
      </c>
      <c r="N587" s="9">
        <f>VLOOKUP($A587,'Temprorary Data'!$A:$G,5,FALSE)</f>
        <v>1</v>
      </c>
      <c r="O587" s="9">
        <f>VLOOKUP($A587,'Temprorary Data'!$A:$G,6,FALSE)</f>
        <v>35</v>
      </c>
      <c r="P587" s="9">
        <f>VLOOKUP($A587,'Temprorary Data'!$A:$G,7,FALSE)</f>
        <v>36</v>
      </c>
      <c r="Q587" t="b">
        <f t="shared" si="81"/>
        <v>1</v>
      </c>
      <c r="R587" t="str">
        <f t="shared" si="82"/>
        <v>January</v>
      </c>
      <c r="S587" t="str">
        <f t="shared" si="83"/>
        <v>Wednesday</v>
      </c>
      <c r="T587" t="str">
        <f t="shared" si="84"/>
        <v>Weekday</v>
      </c>
      <c r="U587" t="str">
        <f t="shared" si="85"/>
        <v>Spring</v>
      </c>
      <c r="V587" t="str">
        <f t="shared" si="86"/>
        <v>Heavy Rain</v>
      </c>
      <c r="W587" t="str">
        <f t="shared" si="87"/>
        <v>Off Peak</v>
      </c>
      <c r="X587" t="str">
        <f t="shared" si="88"/>
        <v>Low</v>
      </c>
      <c r="Y587" t="str">
        <f t="shared" si="89"/>
        <v>High</v>
      </c>
    </row>
    <row r="588" spans="1:25" ht="15.75" thickBot="1">
      <c r="A588" s="1">
        <v>587</v>
      </c>
      <c r="B588" s="2">
        <v>40569</v>
      </c>
      <c r="C588" s="1">
        <v>1</v>
      </c>
      <c r="D588" s="1">
        <v>0</v>
      </c>
      <c r="E588" s="1">
        <v>1</v>
      </c>
      <c r="F588" s="1">
        <v>17</v>
      </c>
      <c r="G588" s="3" t="b">
        <v>0</v>
      </c>
      <c r="H588" s="1">
        <v>3</v>
      </c>
      <c r="I588" s="1">
        <v>3</v>
      </c>
      <c r="J588" s="7">
        <v>0.2</v>
      </c>
      <c r="K588" s="8">
        <f>VLOOKUP($A588,'Temprorary Data'!$A:$G,2,FALSE)</f>
        <v>0.18179999999999999</v>
      </c>
      <c r="L588" s="8">
        <f>VLOOKUP($A588,'Temprorary Data'!$A:$G,3,FALSE)</f>
        <v>0.93</v>
      </c>
      <c r="M588" s="8">
        <f>VLOOKUP($A588,'Temprorary Data'!$A:$G,4,FALSE)</f>
        <v>0.35820000000000002</v>
      </c>
      <c r="N588" s="9">
        <f>VLOOKUP($A588,'Temprorary Data'!$A:$G,5,FALSE)</f>
        <v>0</v>
      </c>
      <c r="O588" s="9">
        <f>VLOOKUP($A588,'Temprorary Data'!$A:$G,6,FALSE)</f>
        <v>26</v>
      </c>
      <c r="P588" s="9">
        <f>VLOOKUP($A588,'Temprorary Data'!$A:$G,7,FALSE)</f>
        <v>26</v>
      </c>
      <c r="Q588" t="b">
        <f t="shared" si="81"/>
        <v>1</v>
      </c>
      <c r="R588" t="str">
        <f t="shared" si="82"/>
        <v>January</v>
      </c>
      <c r="S588" t="str">
        <f t="shared" si="83"/>
        <v>Wednesday</v>
      </c>
      <c r="T588" t="str">
        <f t="shared" si="84"/>
        <v>Weekday</v>
      </c>
      <c r="U588" t="str">
        <f t="shared" si="85"/>
        <v>Spring</v>
      </c>
      <c r="V588" t="str">
        <f t="shared" si="86"/>
        <v>Light Rain</v>
      </c>
      <c r="W588" t="str">
        <f t="shared" si="87"/>
        <v>Evening Peak</v>
      </c>
      <c r="X588" t="str">
        <f t="shared" si="88"/>
        <v>Low</v>
      </c>
      <c r="Y588" t="str">
        <f t="shared" si="89"/>
        <v>High</v>
      </c>
    </row>
    <row r="589" spans="1:25" ht="15.75" thickBot="1">
      <c r="A589" s="1">
        <v>588</v>
      </c>
      <c r="B589" s="2">
        <v>40570</v>
      </c>
      <c r="C589" s="1">
        <v>1</v>
      </c>
      <c r="D589" s="1">
        <v>0</v>
      </c>
      <c r="E589" s="1">
        <v>1</v>
      </c>
      <c r="F589" s="1">
        <v>16</v>
      </c>
      <c r="G589" s="3" t="b">
        <v>0</v>
      </c>
      <c r="H589" s="1">
        <v>4</v>
      </c>
      <c r="I589" s="1">
        <v>1</v>
      </c>
      <c r="J589" s="7">
        <v>0.22</v>
      </c>
      <c r="K589" s="8">
        <f>VLOOKUP($A589,'Temprorary Data'!$A:$G,2,FALSE)</f>
        <v>0.2273</v>
      </c>
      <c r="L589" s="8">
        <f>VLOOKUP($A589,'Temprorary Data'!$A:$G,3,FALSE)</f>
        <v>0.55000000000000004</v>
      </c>
      <c r="M589" s="8">
        <f>VLOOKUP($A589,'Temprorary Data'!$A:$G,4,FALSE)</f>
        <v>0.19400000000000001</v>
      </c>
      <c r="N589" s="9">
        <f>VLOOKUP($A589,'Temprorary Data'!$A:$G,5,FALSE)</f>
        <v>1</v>
      </c>
      <c r="O589" s="9">
        <f>VLOOKUP($A589,'Temprorary Data'!$A:$G,6,FALSE)</f>
        <v>23</v>
      </c>
      <c r="P589" s="9">
        <f>VLOOKUP($A589,'Temprorary Data'!$A:$G,7,FALSE)</f>
        <v>24</v>
      </c>
      <c r="Q589" t="b">
        <f t="shared" si="81"/>
        <v>1</v>
      </c>
      <c r="R589" t="str">
        <f t="shared" si="82"/>
        <v>January</v>
      </c>
      <c r="S589" t="str">
        <f t="shared" si="83"/>
        <v>Thursday</v>
      </c>
      <c r="T589" t="str">
        <f t="shared" si="84"/>
        <v>Weekday</v>
      </c>
      <c r="U589" t="str">
        <f t="shared" si="85"/>
        <v>Spring</v>
      </c>
      <c r="V589" t="str">
        <f t="shared" si="86"/>
        <v>Clear</v>
      </c>
      <c r="W589" t="str">
        <f t="shared" si="87"/>
        <v>Off Peak</v>
      </c>
      <c r="X589" t="str">
        <f t="shared" si="88"/>
        <v>Low</v>
      </c>
      <c r="Y589" t="str">
        <f t="shared" si="89"/>
        <v>Medium</v>
      </c>
    </row>
    <row r="590" spans="1:25" ht="15.75" thickBot="1">
      <c r="A590" s="1">
        <v>589</v>
      </c>
      <c r="B590" s="2">
        <v>40570</v>
      </c>
      <c r="C590" s="1">
        <v>1</v>
      </c>
      <c r="D590" s="1">
        <v>0</v>
      </c>
      <c r="E590" s="1">
        <v>1</v>
      </c>
      <c r="F590" s="1">
        <v>17</v>
      </c>
      <c r="G590" s="3" t="b">
        <v>0</v>
      </c>
      <c r="H590" s="1">
        <v>4</v>
      </c>
      <c r="I590" s="1">
        <v>1</v>
      </c>
      <c r="J590" s="7">
        <v>0.22</v>
      </c>
      <c r="K590" s="8">
        <f>VLOOKUP($A590,'Temprorary Data'!$A:$G,2,FALSE)</f>
        <v>0.2424</v>
      </c>
      <c r="L590" s="8">
        <f>VLOOKUP($A590,'Temprorary Data'!$A:$G,3,FALSE)</f>
        <v>0.55000000000000004</v>
      </c>
      <c r="M590" s="8">
        <f>VLOOKUP($A590,'Temprorary Data'!$A:$G,4,FALSE)</f>
        <v>0.1045</v>
      </c>
      <c r="N590" s="9">
        <f>VLOOKUP($A590,'Temprorary Data'!$A:$G,5,FALSE)</f>
        <v>2</v>
      </c>
      <c r="O590" s="9">
        <f>VLOOKUP($A590,'Temprorary Data'!$A:$G,6,FALSE)</f>
        <v>82</v>
      </c>
      <c r="P590" s="9">
        <f>VLOOKUP($A590,'Temprorary Data'!$A:$G,7,FALSE)</f>
        <v>84</v>
      </c>
      <c r="Q590" t="b">
        <f t="shared" si="81"/>
        <v>1</v>
      </c>
      <c r="R590" t="str">
        <f t="shared" si="82"/>
        <v>January</v>
      </c>
      <c r="S590" t="str">
        <f t="shared" si="83"/>
        <v>Thursday</v>
      </c>
      <c r="T590" t="str">
        <f t="shared" si="84"/>
        <v>Weekday</v>
      </c>
      <c r="U590" t="str">
        <f t="shared" si="85"/>
        <v>Spring</v>
      </c>
      <c r="V590" t="str">
        <f t="shared" si="86"/>
        <v>Clear</v>
      </c>
      <c r="W590" t="str">
        <f t="shared" si="87"/>
        <v>Evening Peak</v>
      </c>
      <c r="X590" t="str">
        <f t="shared" si="88"/>
        <v>Low</v>
      </c>
      <c r="Y590" t="str">
        <f t="shared" si="89"/>
        <v>Medium</v>
      </c>
    </row>
    <row r="591" spans="1:25" ht="15.75" thickBot="1">
      <c r="A591" s="1">
        <v>590</v>
      </c>
      <c r="B591" s="2">
        <v>40570</v>
      </c>
      <c r="C591" s="1">
        <v>1</v>
      </c>
      <c r="D591" s="1">
        <v>0</v>
      </c>
      <c r="E591" s="1">
        <v>1</v>
      </c>
      <c r="F591" s="1">
        <v>18</v>
      </c>
      <c r="G591" s="3" t="b">
        <v>0</v>
      </c>
      <c r="H591" s="1">
        <v>4</v>
      </c>
      <c r="I591" s="1">
        <v>1</v>
      </c>
      <c r="J591" s="7">
        <v>0.2</v>
      </c>
      <c r="K591" s="8">
        <f>VLOOKUP($A591,'Temprorary Data'!$A:$G,2,FALSE)</f>
        <v>0.2273</v>
      </c>
      <c r="L591" s="8">
        <f>VLOOKUP($A591,'Temprorary Data'!$A:$G,3,FALSE)</f>
        <v>0.69</v>
      </c>
      <c r="M591" s="8">
        <f>VLOOKUP($A591,'Temprorary Data'!$A:$G,4,FALSE)</f>
        <v>8.9599999999999999E-2</v>
      </c>
      <c r="N591" s="9">
        <f>VLOOKUP($A591,'Temprorary Data'!$A:$G,5,FALSE)</f>
        <v>3</v>
      </c>
      <c r="O591" s="9">
        <f>VLOOKUP($A591,'Temprorary Data'!$A:$G,6,FALSE)</f>
        <v>101</v>
      </c>
      <c r="P591" s="9">
        <f>VLOOKUP($A591,'Temprorary Data'!$A:$G,7,FALSE)</f>
        <v>104</v>
      </c>
      <c r="Q591" t="b">
        <f t="shared" si="81"/>
        <v>1</v>
      </c>
      <c r="R591" t="str">
        <f t="shared" si="82"/>
        <v>January</v>
      </c>
      <c r="S591" t="str">
        <f t="shared" si="83"/>
        <v>Thursday</v>
      </c>
      <c r="T591" t="str">
        <f t="shared" si="84"/>
        <v>Weekday</v>
      </c>
      <c r="U591" t="str">
        <f t="shared" si="85"/>
        <v>Spring</v>
      </c>
      <c r="V591" t="str">
        <f t="shared" si="86"/>
        <v>Clear</v>
      </c>
      <c r="W591" t="str">
        <f t="shared" si="87"/>
        <v>Evening Peak</v>
      </c>
      <c r="X591" t="str">
        <f t="shared" si="88"/>
        <v>Low</v>
      </c>
      <c r="Y591" t="str">
        <f t="shared" si="89"/>
        <v>Medium</v>
      </c>
    </row>
    <row r="592" spans="1:25" ht="15.75" thickBot="1">
      <c r="A592" s="1">
        <v>591</v>
      </c>
      <c r="B592" s="2">
        <v>40570</v>
      </c>
      <c r="C592" s="1">
        <v>1</v>
      </c>
      <c r="D592" s="1">
        <v>0</v>
      </c>
      <c r="E592" s="1">
        <v>1</v>
      </c>
      <c r="F592" s="1">
        <v>19</v>
      </c>
      <c r="G592" s="3" t="b">
        <v>0</v>
      </c>
      <c r="H592" s="1">
        <v>4</v>
      </c>
      <c r="I592" s="1">
        <v>1</v>
      </c>
      <c r="J592" s="7">
        <v>0.2</v>
      </c>
      <c r="K592" s="8">
        <f>VLOOKUP($A592,'Temprorary Data'!$A:$G,2,FALSE)</f>
        <v>0.2273</v>
      </c>
      <c r="L592" s="8">
        <f>VLOOKUP($A592,'Temprorary Data'!$A:$G,3,FALSE)</f>
        <v>0.69</v>
      </c>
      <c r="M592" s="8">
        <f>VLOOKUP($A592,'Temprorary Data'!$A:$G,4,FALSE)</f>
        <v>8.9599999999999999E-2</v>
      </c>
      <c r="N592" s="9">
        <f>VLOOKUP($A592,'Temprorary Data'!$A:$G,5,FALSE)</f>
        <v>3</v>
      </c>
      <c r="O592" s="9">
        <f>VLOOKUP($A592,'Temprorary Data'!$A:$G,6,FALSE)</f>
        <v>76</v>
      </c>
      <c r="P592" s="9">
        <f>VLOOKUP($A592,'Temprorary Data'!$A:$G,7,FALSE)</f>
        <v>79</v>
      </c>
      <c r="Q592" t="b">
        <f t="shared" si="81"/>
        <v>1</v>
      </c>
      <c r="R592" t="str">
        <f t="shared" si="82"/>
        <v>January</v>
      </c>
      <c r="S592" t="str">
        <f t="shared" si="83"/>
        <v>Thursday</v>
      </c>
      <c r="T592" t="str">
        <f t="shared" si="84"/>
        <v>Weekday</v>
      </c>
      <c r="U592" t="str">
        <f t="shared" si="85"/>
        <v>Spring</v>
      </c>
      <c r="V592" t="str">
        <f t="shared" si="86"/>
        <v>Clear</v>
      </c>
      <c r="W592" t="str">
        <f t="shared" si="87"/>
        <v>Evening Peak</v>
      </c>
      <c r="X592" t="str">
        <f t="shared" si="88"/>
        <v>Low</v>
      </c>
      <c r="Y592" t="str">
        <f t="shared" si="89"/>
        <v>Medium</v>
      </c>
    </row>
    <row r="593" spans="1:25" ht="15.75" thickBot="1">
      <c r="A593" s="1">
        <v>592</v>
      </c>
      <c r="B593" s="2">
        <v>40570</v>
      </c>
      <c r="C593" s="1">
        <v>1</v>
      </c>
      <c r="D593" s="1">
        <v>0</v>
      </c>
      <c r="E593" s="1">
        <v>1</v>
      </c>
      <c r="F593" s="1">
        <v>20</v>
      </c>
      <c r="G593" s="3" t="b">
        <v>0</v>
      </c>
      <c r="H593" s="1">
        <v>4</v>
      </c>
      <c r="I593" s="1">
        <v>1</v>
      </c>
      <c r="J593" s="7">
        <v>0.18</v>
      </c>
      <c r="K593" s="8">
        <f>VLOOKUP($A593,'Temprorary Data'!$A:$G,2,FALSE)</f>
        <v>0.21210000000000001</v>
      </c>
      <c r="L593" s="8">
        <f>VLOOKUP($A593,'Temprorary Data'!$A:$G,3,FALSE)</f>
        <v>0.74</v>
      </c>
      <c r="M593" s="8">
        <f>VLOOKUP($A593,'Temprorary Data'!$A:$G,4,FALSE)</f>
        <v>8.9599999999999999E-2</v>
      </c>
      <c r="N593" s="9">
        <f>VLOOKUP($A593,'Temprorary Data'!$A:$G,5,FALSE)</f>
        <v>4</v>
      </c>
      <c r="O593" s="9">
        <f>VLOOKUP($A593,'Temprorary Data'!$A:$G,6,FALSE)</f>
        <v>55</v>
      </c>
      <c r="P593" s="9">
        <f>VLOOKUP($A593,'Temprorary Data'!$A:$G,7,FALSE)</f>
        <v>59</v>
      </c>
      <c r="Q593" t="b">
        <f t="shared" si="81"/>
        <v>1</v>
      </c>
      <c r="R593" t="str">
        <f t="shared" si="82"/>
        <v>January</v>
      </c>
      <c r="S593" t="str">
        <f t="shared" si="83"/>
        <v>Thursday</v>
      </c>
      <c r="T593" t="str">
        <f t="shared" si="84"/>
        <v>Weekday</v>
      </c>
      <c r="U593" t="str">
        <f t="shared" si="85"/>
        <v>Spring</v>
      </c>
      <c r="V593" t="str">
        <f t="shared" si="86"/>
        <v>Clear</v>
      </c>
      <c r="W593" t="str">
        <f t="shared" si="87"/>
        <v>Evening Peak</v>
      </c>
      <c r="X593" t="str">
        <f t="shared" si="88"/>
        <v>Low</v>
      </c>
      <c r="Y593" t="str">
        <f t="shared" si="89"/>
        <v>High</v>
      </c>
    </row>
    <row r="594" spans="1:25" ht="15.75" thickBot="1">
      <c r="A594" s="1">
        <v>593</v>
      </c>
      <c r="B594" s="2">
        <v>40570</v>
      </c>
      <c r="C594" s="1">
        <v>1</v>
      </c>
      <c r="D594" s="1">
        <v>0</v>
      </c>
      <c r="E594" s="1">
        <v>1</v>
      </c>
      <c r="F594" s="1">
        <v>21</v>
      </c>
      <c r="G594" s="3" t="b">
        <v>0</v>
      </c>
      <c r="H594" s="1">
        <v>4</v>
      </c>
      <c r="I594" s="1">
        <v>1</v>
      </c>
      <c r="J594" s="7">
        <v>0.18</v>
      </c>
      <c r="K594" s="8">
        <f>VLOOKUP($A594,'Temprorary Data'!$A:$G,2,FALSE)</f>
        <v>0.21210000000000001</v>
      </c>
      <c r="L594" s="8">
        <f>VLOOKUP($A594,'Temprorary Data'!$A:$G,3,FALSE)</f>
        <v>0.74</v>
      </c>
      <c r="M594" s="8">
        <f>VLOOKUP($A594,'Temprorary Data'!$A:$G,4,FALSE)</f>
        <v>8.9599999999999999E-2</v>
      </c>
      <c r="N594" s="9">
        <f>VLOOKUP($A594,'Temprorary Data'!$A:$G,5,FALSE)</f>
        <v>2</v>
      </c>
      <c r="O594" s="9">
        <f>VLOOKUP($A594,'Temprorary Data'!$A:$G,6,FALSE)</f>
        <v>36</v>
      </c>
      <c r="P594" s="9">
        <f>VLOOKUP($A594,'Temprorary Data'!$A:$G,7,FALSE)</f>
        <v>38</v>
      </c>
      <c r="Q594" t="b">
        <f t="shared" si="81"/>
        <v>1</v>
      </c>
      <c r="R594" t="str">
        <f t="shared" si="82"/>
        <v>January</v>
      </c>
      <c r="S594" t="str">
        <f t="shared" si="83"/>
        <v>Thursday</v>
      </c>
      <c r="T594" t="str">
        <f t="shared" si="84"/>
        <v>Weekday</v>
      </c>
      <c r="U594" t="str">
        <f t="shared" si="85"/>
        <v>Spring</v>
      </c>
      <c r="V594" t="str">
        <f t="shared" si="86"/>
        <v>Clear</v>
      </c>
      <c r="W594" t="str">
        <f t="shared" si="87"/>
        <v>Off Peak</v>
      </c>
      <c r="X594" t="str">
        <f t="shared" si="88"/>
        <v>Low</v>
      </c>
      <c r="Y594" t="str">
        <f t="shared" si="89"/>
        <v>High</v>
      </c>
    </row>
    <row r="595" spans="1:25" ht="15.75" thickBot="1">
      <c r="A595" s="1">
        <v>594</v>
      </c>
      <c r="B595" s="2">
        <v>40570</v>
      </c>
      <c r="C595" s="1">
        <v>1</v>
      </c>
      <c r="D595" s="1">
        <v>0</v>
      </c>
      <c r="E595" s="1">
        <v>1</v>
      </c>
      <c r="F595" s="1">
        <v>22</v>
      </c>
      <c r="G595" s="3" t="b">
        <v>0</v>
      </c>
      <c r="H595" s="1">
        <v>4</v>
      </c>
      <c r="I595" s="1">
        <v>1</v>
      </c>
      <c r="J595" s="7">
        <v>0.18</v>
      </c>
      <c r="K595" s="8">
        <f>VLOOKUP($A595,'Temprorary Data'!$A:$G,2,FALSE)</f>
        <v>0.21210000000000001</v>
      </c>
      <c r="L595" s="8">
        <f>VLOOKUP($A595,'Temprorary Data'!$A:$G,3,FALSE)</f>
        <v>0.74</v>
      </c>
      <c r="M595" s="8">
        <f>VLOOKUP($A595,'Temprorary Data'!$A:$G,4,FALSE)</f>
        <v>8.9599999999999999E-2</v>
      </c>
      <c r="N595" s="9">
        <f>VLOOKUP($A595,'Temprorary Data'!$A:$G,5,FALSE)</f>
        <v>0</v>
      </c>
      <c r="O595" s="9">
        <f>VLOOKUP($A595,'Temprorary Data'!$A:$G,6,FALSE)</f>
        <v>27</v>
      </c>
      <c r="P595" s="9">
        <f>VLOOKUP($A595,'Temprorary Data'!$A:$G,7,FALSE)</f>
        <v>27</v>
      </c>
      <c r="Q595" t="b">
        <f t="shared" si="81"/>
        <v>1</v>
      </c>
      <c r="R595" t="str">
        <f t="shared" si="82"/>
        <v>January</v>
      </c>
      <c r="S595" t="str">
        <f t="shared" si="83"/>
        <v>Thursday</v>
      </c>
      <c r="T595" t="str">
        <f t="shared" si="84"/>
        <v>Weekday</v>
      </c>
      <c r="U595" t="str">
        <f t="shared" si="85"/>
        <v>Spring</v>
      </c>
      <c r="V595" t="str">
        <f t="shared" si="86"/>
        <v>Clear</v>
      </c>
      <c r="W595" t="str">
        <f t="shared" si="87"/>
        <v>Off Peak</v>
      </c>
      <c r="X595" t="str">
        <f t="shared" si="88"/>
        <v>Low</v>
      </c>
      <c r="Y595" t="str">
        <f t="shared" si="89"/>
        <v>High</v>
      </c>
    </row>
    <row r="596" spans="1:25" ht="15.75" thickBot="1">
      <c r="A596" s="1">
        <v>595</v>
      </c>
      <c r="B596" s="2">
        <v>40570</v>
      </c>
      <c r="C596" s="1">
        <v>1</v>
      </c>
      <c r="D596" s="1">
        <v>0</v>
      </c>
      <c r="E596" s="1">
        <v>1</v>
      </c>
      <c r="F596" s="1">
        <v>23</v>
      </c>
      <c r="G596" s="3" t="b">
        <v>0</v>
      </c>
      <c r="H596" s="1">
        <v>4</v>
      </c>
      <c r="I596" s="1">
        <v>1</v>
      </c>
      <c r="J596" s="7">
        <v>0.18</v>
      </c>
      <c r="K596" s="8">
        <f>VLOOKUP($A596,'Temprorary Data'!$A:$G,2,FALSE)</f>
        <v>0.19700000000000001</v>
      </c>
      <c r="L596" s="8">
        <f>VLOOKUP($A596,'Temprorary Data'!$A:$G,3,FALSE)</f>
        <v>0.8</v>
      </c>
      <c r="M596" s="8">
        <f>VLOOKUP($A596,'Temprorary Data'!$A:$G,4,FALSE)</f>
        <v>0.16420000000000001</v>
      </c>
      <c r="N596" s="9">
        <f>VLOOKUP($A596,'Temprorary Data'!$A:$G,5,FALSE)</f>
        <v>0</v>
      </c>
      <c r="O596" s="9">
        <f>VLOOKUP($A596,'Temprorary Data'!$A:$G,6,FALSE)</f>
        <v>16</v>
      </c>
      <c r="P596" s="9">
        <f>VLOOKUP($A596,'Temprorary Data'!$A:$G,7,FALSE)</f>
        <v>16</v>
      </c>
      <c r="Q596" t="b">
        <f t="shared" si="81"/>
        <v>1</v>
      </c>
      <c r="R596" t="str">
        <f t="shared" si="82"/>
        <v>January</v>
      </c>
      <c r="S596" t="str">
        <f t="shared" si="83"/>
        <v>Thursday</v>
      </c>
      <c r="T596" t="str">
        <f t="shared" si="84"/>
        <v>Weekday</v>
      </c>
      <c r="U596" t="str">
        <f t="shared" si="85"/>
        <v>Spring</v>
      </c>
      <c r="V596" t="str">
        <f t="shared" si="86"/>
        <v>Clear</v>
      </c>
      <c r="W596" t="str">
        <f t="shared" si="87"/>
        <v>Off Peak</v>
      </c>
      <c r="X596" t="str">
        <f t="shared" si="88"/>
        <v>Low</v>
      </c>
      <c r="Y596" t="str">
        <f t="shared" si="89"/>
        <v>High</v>
      </c>
    </row>
    <row r="597" spans="1:25" ht="15.75" thickBot="1">
      <c r="A597" s="1">
        <v>596</v>
      </c>
      <c r="B597" s="2">
        <v>40571</v>
      </c>
      <c r="C597" s="1">
        <v>1</v>
      </c>
      <c r="D597" s="1">
        <v>0</v>
      </c>
      <c r="E597" s="1">
        <v>1</v>
      </c>
      <c r="F597" s="1">
        <v>0</v>
      </c>
      <c r="G597" s="3" t="b">
        <v>0</v>
      </c>
      <c r="H597" s="1">
        <v>5</v>
      </c>
      <c r="I597" s="1">
        <v>2</v>
      </c>
      <c r="J597" s="7">
        <v>0.2</v>
      </c>
      <c r="K597" s="8">
        <f>VLOOKUP($A597,'Temprorary Data'!$A:$G,2,FALSE)</f>
        <v>0.21210000000000001</v>
      </c>
      <c r="L597" s="8">
        <f>VLOOKUP($A597,'Temprorary Data'!$A:$G,3,FALSE)</f>
        <v>0.75</v>
      </c>
      <c r="M597" s="8">
        <f>VLOOKUP($A597,'Temprorary Data'!$A:$G,4,FALSE)</f>
        <v>0.1343</v>
      </c>
      <c r="N597" s="9">
        <f>VLOOKUP($A597,'Temprorary Data'!$A:$G,5,FALSE)</f>
        <v>0</v>
      </c>
      <c r="O597" s="9">
        <f>VLOOKUP($A597,'Temprorary Data'!$A:$G,6,FALSE)</f>
        <v>9</v>
      </c>
      <c r="P597" s="9">
        <f>VLOOKUP($A597,'Temprorary Data'!$A:$G,7,FALSE)</f>
        <v>9</v>
      </c>
      <c r="Q597" t="b">
        <f t="shared" si="81"/>
        <v>1</v>
      </c>
      <c r="R597" t="str">
        <f t="shared" si="82"/>
        <v>January</v>
      </c>
      <c r="S597" t="str">
        <f t="shared" si="83"/>
        <v>Friday</v>
      </c>
      <c r="T597" t="str">
        <f t="shared" si="84"/>
        <v>Weekday</v>
      </c>
      <c r="U597" t="str">
        <f t="shared" si="85"/>
        <v>Spring</v>
      </c>
      <c r="V597" t="str">
        <f t="shared" si="86"/>
        <v>Mist</v>
      </c>
      <c r="W597" t="str">
        <f t="shared" si="87"/>
        <v>Off Peak</v>
      </c>
      <c r="X597" t="str">
        <f t="shared" si="88"/>
        <v>Low</v>
      </c>
      <c r="Y597" t="str">
        <f t="shared" si="89"/>
        <v>High</v>
      </c>
    </row>
    <row r="598" spans="1:25" ht="15.75" thickBot="1">
      <c r="A598" s="1">
        <v>597</v>
      </c>
      <c r="B598" s="2">
        <v>40571</v>
      </c>
      <c r="C598" s="1">
        <v>1</v>
      </c>
      <c r="D598" s="1">
        <v>0</v>
      </c>
      <c r="E598" s="1">
        <v>1</v>
      </c>
      <c r="F598" s="1">
        <v>1</v>
      </c>
      <c r="G598" s="3" t="b">
        <v>0</v>
      </c>
      <c r="H598" s="1">
        <v>5</v>
      </c>
      <c r="I598" s="1">
        <v>2</v>
      </c>
      <c r="J598" s="7">
        <v>0.2</v>
      </c>
      <c r="K598" s="8">
        <f>VLOOKUP($A598,'Temprorary Data'!$A:$G,2,FALSE)</f>
        <v>0.21210000000000001</v>
      </c>
      <c r="L598" s="8">
        <f>VLOOKUP($A598,'Temprorary Data'!$A:$G,3,FALSE)</f>
        <v>0.75</v>
      </c>
      <c r="M598" s="8">
        <f>VLOOKUP($A598,'Temprorary Data'!$A:$G,4,FALSE)</f>
        <v>0.1343</v>
      </c>
      <c r="N598" s="9">
        <f>VLOOKUP($A598,'Temprorary Data'!$A:$G,5,FALSE)</f>
        <v>1</v>
      </c>
      <c r="O598" s="9">
        <f>VLOOKUP($A598,'Temprorary Data'!$A:$G,6,FALSE)</f>
        <v>2</v>
      </c>
      <c r="P598" s="9">
        <f>VLOOKUP($A598,'Temprorary Data'!$A:$G,7,FALSE)</f>
        <v>3</v>
      </c>
      <c r="Q598" t="b">
        <f t="shared" si="81"/>
        <v>1</v>
      </c>
      <c r="R598" t="str">
        <f t="shared" si="82"/>
        <v>January</v>
      </c>
      <c r="S598" t="str">
        <f t="shared" si="83"/>
        <v>Friday</v>
      </c>
      <c r="T598" t="str">
        <f t="shared" si="84"/>
        <v>Weekday</v>
      </c>
      <c r="U598" t="str">
        <f t="shared" si="85"/>
        <v>Spring</v>
      </c>
      <c r="V598" t="str">
        <f t="shared" si="86"/>
        <v>Mist</v>
      </c>
      <c r="W598" t="str">
        <f t="shared" si="87"/>
        <v>Off Peak</v>
      </c>
      <c r="X598" t="str">
        <f t="shared" si="88"/>
        <v>Low</v>
      </c>
      <c r="Y598" t="str">
        <f t="shared" si="89"/>
        <v>High</v>
      </c>
    </row>
    <row r="599" spans="1:25" ht="15.75" thickBot="1">
      <c r="A599" s="1">
        <v>598</v>
      </c>
      <c r="B599" s="2">
        <v>40571</v>
      </c>
      <c r="C599" s="1">
        <v>1</v>
      </c>
      <c r="D599" s="1">
        <v>0</v>
      </c>
      <c r="E599" s="1">
        <v>1</v>
      </c>
      <c r="F599" s="1">
        <v>2</v>
      </c>
      <c r="G599" s="3" t="b">
        <v>0</v>
      </c>
      <c r="H599" s="1">
        <v>5</v>
      </c>
      <c r="I599" s="1">
        <v>2</v>
      </c>
      <c r="J599" s="7">
        <v>0.2</v>
      </c>
      <c r="K599" s="8">
        <f>VLOOKUP($A599,'Temprorary Data'!$A:$G,2,FALSE)</f>
        <v>0.21210000000000001</v>
      </c>
      <c r="L599" s="8">
        <f>VLOOKUP($A599,'Temprorary Data'!$A:$G,3,FALSE)</f>
        <v>0.75</v>
      </c>
      <c r="M599" s="8">
        <f>VLOOKUP($A599,'Temprorary Data'!$A:$G,4,FALSE)</f>
        <v>0.16420000000000001</v>
      </c>
      <c r="N599" s="9">
        <f>VLOOKUP($A599,'Temprorary Data'!$A:$G,5,FALSE)</f>
        <v>0</v>
      </c>
      <c r="O599" s="9">
        <f>VLOOKUP($A599,'Temprorary Data'!$A:$G,6,FALSE)</f>
        <v>2</v>
      </c>
      <c r="P599" s="9">
        <f>VLOOKUP($A599,'Temprorary Data'!$A:$G,7,FALSE)</f>
        <v>2</v>
      </c>
      <c r="Q599" t="b">
        <f t="shared" si="81"/>
        <v>1</v>
      </c>
      <c r="R599" t="str">
        <f t="shared" si="82"/>
        <v>January</v>
      </c>
      <c r="S599" t="str">
        <f t="shared" si="83"/>
        <v>Friday</v>
      </c>
      <c r="T599" t="str">
        <f t="shared" si="84"/>
        <v>Weekday</v>
      </c>
      <c r="U599" t="str">
        <f t="shared" si="85"/>
        <v>Spring</v>
      </c>
      <c r="V599" t="str">
        <f t="shared" si="86"/>
        <v>Mist</v>
      </c>
      <c r="W599" t="str">
        <f t="shared" si="87"/>
        <v>Off Peak</v>
      </c>
      <c r="X599" t="str">
        <f t="shared" si="88"/>
        <v>Low</v>
      </c>
      <c r="Y599" t="str">
        <f t="shared" si="89"/>
        <v>High</v>
      </c>
    </row>
    <row r="600" spans="1:25" ht="15.75" thickBot="1">
      <c r="A600" s="1">
        <v>599</v>
      </c>
      <c r="B600" s="2">
        <v>40571</v>
      </c>
      <c r="C600" s="1">
        <v>1</v>
      </c>
      <c r="D600" s="1">
        <v>0</v>
      </c>
      <c r="E600" s="1">
        <v>1</v>
      </c>
      <c r="F600" s="1">
        <v>3</v>
      </c>
      <c r="G600" s="3" t="b">
        <v>0</v>
      </c>
      <c r="H600" s="1">
        <v>5</v>
      </c>
      <c r="I600" s="1">
        <v>2</v>
      </c>
      <c r="J600" s="7">
        <v>0.2</v>
      </c>
      <c r="K600" s="8">
        <f>VLOOKUP($A600,'Temprorary Data'!$A:$G,2,FALSE)</f>
        <v>0.2273</v>
      </c>
      <c r="L600" s="8">
        <f>VLOOKUP($A600,'Temprorary Data'!$A:$G,3,FALSE)</f>
        <v>0.75</v>
      </c>
      <c r="M600" s="8">
        <f>VLOOKUP($A600,'Temprorary Data'!$A:$G,4,FALSE)</f>
        <v>0.1045</v>
      </c>
      <c r="N600" s="9">
        <f>VLOOKUP($A600,'Temprorary Data'!$A:$G,5,FALSE)</f>
        <v>1</v>
      </c>
      <c r="O600" s="9">
        <f>VLOOKUP($A600,'Temprorary Data'!$A:$G,6,FALSE)</f>
        <v>0</v>
      </c>
      <c r="P600" s="9">
        <f>VLOOKUP($A600,'Temprorary Data'!$A:$G,7,FALSE)</f>
        <v>1</v>
      </c>
      <c r="Q600" t="b">
        <f t="shared" si="81"/>
        <v>1</v>
      </c>
      <c r="R600" t="str">
        <f t="shared" si="82"/>
        <v>January</v>
      </c>
      <c r="S600" t="str">
        <f t="shared" si="83"/>
        <v>Friday</v>
      </c>
      <c r="T600" t="str">
        <f t="shared" si="84"/>
        <v>Weekday</v>
      </c>
      <c r="U600" t="str">
        <f t="shared" si="85"/>
        <v>Spring</v>
      </c>
      <c r="V600" t="str">
        <f t="shared" si="86"/>
        <v>Mist</v>
      </c>
      <c r="W600" t="str">
        <f t="shared" si="87"/>
        <v>Off Peak</v>
      </c>
      <c r="X600" t="str">
        <f t="shared" si="88"/>
        <v>Low</v>
      </c>
      <c r="Y600" t="str">
        <f t="shared" si="89"/>
        <v>High</v>
      </c>
    </row>
    <row r="601" spans="1:25" ht="15.75" thickBot="1">
      <c r="A601" s="1">
        <v>600</v>
      </c>
      <c r="B601" s="2">
        <v>40571</v>
      </c>
      <c r="C601" s="1">
        <v>1</v>
      </c>
      <c r="D601" s="1">
        <v>0</v>
      </c>
      <c r="E601" s="1">
        <v>1</v>
      </c>
      <c r="F601" s="1">
        <v>5</v>
      </c>
      <c r="G601" s="3" t="b">
        <v>0</v>
      </c>
      <c r="H601" s="1">
        <v>5</v>
      </c>
      <c r="I601" s="1">
        <v>2</v>
      </c>
      <c r="J601" s="7">
        <v>0.18</v>
      </c>
      <c r="K601" s="8">
        <f>VLOOKUP($A601,'Temprorary Data'!$A:$G,2,FALSE)</f>
        <v>0.21210000000000001</v>
      </c>
      <c r="L601" s="8">
        <f>VLOOKUP($A601,'Temprorary Data'!$A:$G,3,FALSE)</f>
        <v>0.8</v>
      </c>
      <c r="M601" s="8">
        <f>VLOOKUP($A601,'Temprorary Data'!$A:$G,4,FALSE)</f>
        <v>0.1045</v>
      </c>
      <c r="N601" s="9">
        <f>VLOOKUP($A601,'Temprorary Data'!$A:$G,5,FALSE)</f>
        <v>0</v>
      </c>
      <c r="O601" s="9">
        <f>VLOOKUP($A601,'Temprorary Data'!$A:$G,6,FALSE)</f>
        <v>4</v>
      </c>
      <c r="P601" s="9">
        <f>VLOOKUP($A601,'Temprorary Data'!$A:$G,7,FALSE)</f>
        <v>4</v>
      </c>
      <c r="Q601" t="b">
        <f t="shared" si="81"/>
        <v>1</v>
      </c>
      <c r="R601" t="str">
        <f t="shared" si="82"/>
        <v>January</v>
      </c>
      <c r="S601" t="str">
        <f t="shared" si="83"/>
        <v>Friday</v>
      </c>
      <c r="T601" t="str">
        <f t="shared" si="84"/>
        <v>Weekday</v>
      </c>
      <c r="U601" t="str">
        <f t="shared" si="85"/>
        <v>Spring</v>
      </c>
      <c r="V601" t="str">
        <f t="shared" si="86"/>
        <v>Mist</v>
      </c>
      <c r="W601" t="str">
        <f t="shared" si="87"/>
        <v>Off Peak</v>
      </c>
      <c r="X601" t="str">
        <f t="shared" si="88"/>
        <v>Low</v>
      </c>
      <c r="Y601" t="str">
        <f t="shared" si="89"/>
        <v>High</v>
      </c>
    </row>
    <row r="602" spans="1:25" ht="15.75" thickBot="1">
      <c r="A602" s="1">
        <v>601</v>
      </c>
      <c r="B602" s="2">
        <v>40571</v>
      </c>
      <c r="C602" s="1">
        <v>1</v>
      </c>
      <c r="D602" s="1">
        <v>0</v>
      </c>
      <c r="E602" s="1">
        <v>1</v>
      </c>
      <c r="F602" s="1">
        <v>6</v>
      </c>
      <c r="G602" s="3" t="b">
        <v>0</v>
      </c>
      <c r="H602" s="1">
        <v>5</v>
      </c>
      <c r="I602" s="1">
        <v>2</v>
      </c>
      <c r="J602" s="7">
        <v>0.18</v>
      </c>
      <c r="K602" s="8">
        <f>VLOOKUP($A602,'Temprorary Data'!$A:$G,2,FALSE)</f>
        <v>0.19700000000000001</v>
      </c>
      <c r="L602" s="8">
        <f>VLOOKUP($A602,'Temprorary Data'!$A:$G,3,FALSE)</f>
        <v>0.8</v>
      </c>
      <c r="M602" s="8">
        <f>VLOOKUP($A602,'Temprorary Data'!$A:$G,4,FALSE)</f>
        <v>0.1343</v>
      </c>
      <c r="N602" s="9">
        <f>VLOOKUP($A602,'Temprorary Data'!$A:$G,5,FALSE)</f>
        <v>0</v>
      </c>
      <c r="O602" s="9">
        <f>VLOOKUP($A602,'Temprorary Data'!$A:$G,6,FALSE)</f>
        <v>16</v>
      </c>
      <c r="P602" s="9">
        <f>VLOOKUP($A602,'Temprorary Data'!$A:$G,7,FALSE)</f>
        <v>16</v>
      </c>
      <c r="Q602" t="b">
        <f t="shared" si="81"/>
        <v>1</v>
      </c>
      <c r="R602" t="str">
        <f t="shared" si="82"/>
        <v>January</v>
      </c>
      <c r="S602" t="str">
        <f t="shared" si="83"/>
        <v>Friday</v>
      </c>
      <c r="T602" t="str">
        <f t="shared" si="84"/>
        <v>Weekday</v>
      </c>
      <c r="U602" t="str">
        <f t="shared" si="85"/>
        <v>Spring</v>
      </c>
      <c r="V602" t="str">
        <f t="shared" si="86"/>
        <v>Mist</v>
      </c>
      <c r="W602" t="str">
        <f t="shared" si="87"/>
        <v>Off Peak</v>
      </c>
      <c r="X602" t="str">
        <f t="shared" si="88"/>
        <v>Low</v>
      </c>
      <c r="Y602" t="str">
        <f t="shared" si="89"/>
        <v>High</v>
      </c>
    </row>
    <row r="603" spans="1:25" ht="15.75" thickBot="1">
      <c r="A603" s="1">
        <v>602</v>
      </c>
      <c r="B603" s="2">
        <v>40571</v>
      </c>
      <c r="C603" s="1">
        <v>1</v>
      </c>
      <c r="D603" s="1">
        <v>0</v>
      </c>
      <c r="E603" s="1">
        <v>1</v>
      </c>
      <c r="F603" s="1">
        <v>7</v>
      </c>
      <c r="G603" s="3" t="b">
        <v>0</v>
      </c>
      <c r="H603" s="1">
        <v>5</v>
      </c>
      <c r="I603" s="1">
        <v>2</v>
      </c>
      <c r="J603" s="7">
        <v>0.16</v>
      </c>
      <c r="K603" s="8">
        <f>VLOOKUP($A603,'Temprorary Data'!$A:$G,2,FALSE)</f>
        <v>0.19700000000000001</v>
      </c>
      <c r="L603" s="8">
        <f>VLOOKUP($A603,'Temprorary Data'!$A:$G,3,FALSE)</f>
        <v>0.86</v>
      </c>
      <c r="M603" s="8">
        <f>VLOOKUP($A603,'Temprorary Data'!$A:$G,4,FALSE)</f>
        <v>8.9599999999999999E-2</v>
      </c>
      <c r="N603" s="9">
        <f>VLOOKUP($A603,'Temprorary Data'!$A:$G,5,FALSE)</f>
        <v>2</v>
      </c>
      <c r="O603" s="9">
        <f>VLOOKUP($A603,'Temprorary Data'!$A:$G,6,FALSE)</f>
        <v>58</v>
      </c>
      <c r="P603" s="9">
        <f>VLOOKUP($A603,'Temprorary Data'!$A:$G,7,FALSE)</f>
        <v>60</v>
      </c>
      <c r="Q603" t="b">
        <f t="shared" si="81"/>
        <v>1</v>
      </c>
      <c r="R603" t="str">
        <f t="shared" si="82"/>
        <v>January</v>
      </c>
      <c r="S603" t="str">
        <f t="shared" si="83"/>
        <v>Friday</v>
      </c>
      <c r="T603" t="str">
        <f t="shared" si="84"/>
        <v>Weekday</v>
      </c>
      <c r="U603" t="str">
        <f t="shared" si="85"/>
        <v>Spring</v>
      </c>
      <c r="V603" t="str">
        <f t="shared" si="86"/>
        <v>Mist</v>
      </c>
      <c r="W603" t="str">
        <f t="shared" si="87"/>
        <v>Morning Peak</v>
      </c>
      <c r="X603" t="str">
        <f t="shared" si="88"/>
        <v>Low</v>
      </c>
      <c r="Y603" t="str">
        <f t="shared" si="89"/>
        <v>High</v>
      </c>
    </row>
    <row r="604" spans="1:25" ht="15.75" thickBot="1">
      <c r="A604" s="1">
        <v>603</v>
      </c>
      <c r="B604" s="2">
        <v>40571</v>
      </c>
      <c r="C604" s="1">
        <v>1</v>
      </c>
      <c r="D604" s="1">
        <v>0</v>
      </c>
      <c r="E604" s="1">
        <v>1</v>
      </c>
      <c r="F604" s="1">
        <v>8</v>
      </c>
      <c r="G604" s="3" t="b">
        <v>0</v>
      </c>
      <c r="H604" s="1">
        <v>5</v>
      </c>
      <c r="I604" s="1">
        <v>2</v>
      </c>
      <c r="J604" s="7">
        <v>0.16</v>
      </c>
      <c r="K604" s="8">
        <f>VLOOKUP($A604,'Temprorary Data'!$A:$G,2,FALSE)</f>
        <v>0.19700000000000001</v>
      </c>
      <c r="L604" s="8">
        <f>VLOOKUP($A604,'Temprorary Data'!$A:$G,3,FALSE)</f>
        <v>0.86</v>
      </c>
      <c r="M604" s="8">
        <f>VLOOKUP($A604,'Temprorary Data'!$A:$G,4,FALSE)</f>
        <v>8.9599999999999999E-2</v>
      </c>
      <c r="N604" s="9">
        <f>VLOOKUP($A604,'Temprorary Data'!$A:$G,5,FALSE)</f>
        <v>2</v>
      </c>
      <c r="O604" s="9">
        <f>VLOOKUP($A604,'Temprorary Data'!$A:$G,6,FALSE)</f>
        <v>155</v>
      </c>
      <c r="P604" s="9">
        <f>VLOOKUP($A604,'Temprorary Data'!$A:$G,7,FALSE)</f>
        <v>157</v>
      </c>
      <c r="Q604" t="b">
        <f t="shared" si="81"/>
        <v>1</v>
      </c>
      <c r="R604" t="str">
        <f t="shared" si="82"/>
        <v>January</v>
      </c>
      <c r="S604" t="str">
        <f t="shared" si="83"/>
        <v>Friday</v>
      </c>
      <c r="T604" t="str">
        <f t="shared" si="84"/>
        <v>Weekday</v>
      </c>
      <c r="U604" t="str">
        <f t="shared" si="85"/>
        <v>Spring</v>
      </c>
      <c r="V604" t="str">
        <f t="shared" si="86"/>
        <v>Mist</v>
      </c>
      <c r="W604" t="str">
        <f t="shared" si="87"/>
        <v>Morning Peak</v>
      </c>
      <c r="X604" t="str">
        <f t="shared" si="88"/>
        <v>Low</v>
      </c>
      <c r="Y604" t="str">
        <f t="shared" si="89"/>
        <v>High</v>
      </c>
    </row>
    <row r="605" spans="1:25" ht="15.75" thickBot="1">
      <c r="A605" s="1">
        <v>604</v>
      </c>
      <c r="B605" s="2">
        <v>40571</v>
      </c>
      <c r="C605" s="1">
        <v>1</v>
      </c>
      <c r="D605" s="1">
        <v>0</v>
      </c>
      <c r="E605" s="1">
        <v>1</v>
      </c>
      <c r="F605" s="1">
        <v>9</v>
      </c>
      <c r="G605" s="3" t="b">
        <v>0</v>
      </c>
      <c r="H605" s="1">
        <v>5</v>
      </c>
      <c r="I605" s="1">
        <v>3</v>
      </c>
      <c r="J605" s="7">
        <v>0.18</v>
      </c>
      <c r="K605" s="8">
        <f>VLOOKUP($A605,'Temprorary Data'!$A:$G,2,FALSE)</f>
        <v>0.21210000000000001</v>
      </c>
      <c r="L605" s="8">
        <f>VLOOKUP($A605,'Temprorary Data'!$A:$G,3,FALSE)</f>
        <v>0.86</v>
      </c>
      <c r="M605" s="8">
        <f>VLOOKUP($A605,'Temprorary Data'!$A:$G,4,FALSE)</f>
        <v>8.9599999999999999E-2</v>
      </c>
      <c r="N605" s="9">
        <f>VLOOKUP($A605,'Temprorary Data'!$A:$G,5,FALSE)</f>
        <v>6</v>
      </c>
      <c r="O605" s="9">
        <f>VLOOKUP($A605,'Temprorary Data'!$A:$G,6,FALSE)</f>
        <v>95</v>
      </c>
      <c r="P605" s="9">
        <f>VLOOKUP($A605,'Temprorary Data'!$A:$G,7,FALSE)</f>
        <v>101</v>
      </c>
      <c r="Q605" t="b">
        <f t="shared" si="81"/>
        <v>1</v>
      </c>
      <c r="R605" t="str">
        <f t="shared" si="82"/>
        <v>January</v>
      </c>
      <c r="S605" t="str">
        <f t="shared" si="83"/>
        <v>Friday</v>
      </c>
      <c r="T605" t="str">
        <f t="shared" si="84"/>
        <v>Weekday</v>
      </c>
      <c r="U605" t="str">
        <f t="shared" si="85"/>
        <v>Spring</v>
      </c>
      <c r="V605" t="str">
        <f t="shared" si="86"/>
        <v>Light Rain</v>
      </c>
      <c r="W605" t="str">
        <f t="shared" si="87"/>
        <v>Morning Peak</v>
      </c>
      <c r="X605" t="str">
        <f t="shared" si="88"/>
        <v>Low</v>
      </c>
      <c r="Y605" t="str">
        <f t="shared" si="89"/>
        <v>High</v>
      </c>
    </row>
    <row r="606" spans="1:25" ht="15.75" thickBot="1">
      <c r="A606" s="1">
        <v>605</v>
      </c>
      <c r="B606" s="2">
        <v>40571</v>
      </c>
      <c r="C606" s="1">
        <v>1</v>
      </c>
      <c r="D606" s="1">
        <v>0</v>
      </c>
      <c r="E606" s="1">
        <v>1</v>
      </c>
      <c r="F606" s="1">
        <v>10</v>
      </c>
      <c r="G606" s="3" t="b">
        <v>0</v>
      </c>
      <c r="H606" s="1">
        <v>5</v>
      </c>
      <c r="I606" s="1">
        <v>3</v>
      </c>
      <c r="J606" s="7">
        <v>0.18</v>
      </c>
      <c r="K606" s="8">
        <f>VLOOKUP($A606,'Temprorary Data'!$A:$G,2,FALSE)</f>
        <v>0.21210000000000001</v>
      </c>
      <c r="L606" s="8">
        <f>VLOOKUP($A606,'Temprorary Data'!$A:$G,3,FALSE)</f>
        <v>0.86</v>
      </c>
      <c r="M606" s="8">
        <f>VLOOKUP($A606,'Temprorary Data'!$A:$G,4,FALSE)</f>
        <v>0.1045</v>
      </c>
      <c r="N606" s="9">
        <f>VLOOKUP($A606,'Temprorary Data'!$A:$G,5,FALSE)</f>
        <v>0</v>
      </c>
      <c r="O606" s="9">
        <f>VLOOKUP($A606,'Temprorary Data'!$A:$G,6,FALSE)</f>
        <v>49</v>
      </c>
      <c r="P606" s="9">
        <f>VLOOKUP($A606,'Temprorary Data'!$A:$G,7,FALSE)</f>
        <v>49</v>
      </c>
      <c r="Q606" t="b">
        <f t="shared" si="81"/>
        <v>1</v>
      </c>
      <c r="R606" t="str">
        <f t="shared" si="82"/>
        <v>January</v>
      </c>
      <c r="S606" t="str">
        <f t="shared" si="83"/>
        <v>Friday</v>
      </c>
      <c r="T606" t="str">
        <f t="shared" si="84"/>
        <v>Weekday</v>
      </c>
      <c r="U606" t="str">
        <f t="shared" si="85"/>
        <v>Spring</v>
      </c>
      <c r="V606" t="str">
        <f t="shared" si="86"/>
        <v>Light Rain</v>
      </c>
      <c r="W606" t="str">
        <f t="shared" si="87"/>
        <v>Off Peak</v>
      </c>
      <c r="X606" t="str">
        <f t="shared" si="88"/>
        <v>Low</v>
      </c>
      <c r="Y606" t="str">
        <f t="shared" si="89"/>
        <v>High</v>
      </c>
    </row>
    <row r="607" spans="1:25" ht="15.75" thickBot="1">
      <c r="A607" s="1">
        <v>606</v>
      </c>
      <c r="B607" s="2">
        <v>40571</v>
      </c>
      <c r="C607" s="1">
        <v>1</v>
      </c>
      <c r="D607" s="1">
        <v>0</v>
      </c>
      <c r="E607" s="1">
        <v>1</v>
      </c>
      <c r="F607" s="1">
        <v>11</v>
      </c>
      <c r="G607" s="3" t="b">
        <v>0</v>
      </c>
      <c r="H607" s="1">
        <v>5</v>
      </c>
      <c r="I607" s="1">
        <v>3</v>
      </c>
      <c r="J607" s="7">
        <v>0.18</v>
      </c>
      <c r="K607" s="8">
        <f>VLOOKUP($A607,'Temprorary Data'!$A:$G,2,FALSE)</f>
        <v>0.21210000000000001</v>
      </c>
      <c r="L607" s="8">
        <f>VLOOKUP($A607,'Temprorary Data'!$A:$G,3,FALSE)</f>
        <v>0.93</v>
      </c>
      <c r="M607" s="8">
        <f>VLOOKUP($A607,'Temprorary Data'!$A:$G,4,FALSE)</f>
        <v>0.1045</v>
      </c>
      <c r="N607" s="9">
        <f>VLOOKUP($A607,'Temprorary Data'!$A:$G,5,FALSE)</f>
        <v>0</v>
      </c>
      <c r="O607" s="9">
        <f>VLOOKUP($A607,'Temprorary Data'!$A:$G,6,FALSE)</f>
        <v>30</v>
      </c>
      <c r="P607" s="9">
        <f>VLOOKUP($A607,'Temprorary Data'!$A:$G,7,FALSE)</f>
        <v>30</v>
      </c>
      <c r="Q607" t="b">
        <f t="shared" si="81"/>
        <v>1</v>
      </c>
      <c r="R607" t="str">
        <f t="shared" si="82"/>
        <v>January</v>
      </c>
      <c r="S607" t="str">
        <f t="shared" si="83"/>
        <v>Friday</v>
      </c>
      <c r="T607" t="str">
        <f t="shared" si="84"/>
        <v>Weekday</v>
      </c>
      <c r="U607" t="str">
        <f t="shared" si="85"/>
        <v>Spring</v>
      </c>
      <c r="V607" t="str">
        <f t="shared" si="86"/>
        <v>Light Rain</v>
      </c>
      <c r="W607" t="str">
        <f t="shared" si="87"/>
        <v>Off Peak</v>
      </c>
      <c r="X607" t="str">
        <f t="shared" si="88"/>
        <v>Low</v>
      </c>
      <c r="Y607" t="str">
        <f t="shared" si="89"/>
        <v>High</v>
      </c>
    </row>
    <row r="608" spans="1:25" ht="15.75" thickBot="1">
      <c r="A608" s="1">
        <v>607</v>
      </c>
      <c r="B608" s="2">
        <v>40571</v>
      </c>
      <c r="C608" s="1">
        <v>1</v>
      </c>
      <c r="D608" s="1">
        <v>0</v>
      </c>
      <c r="E608" s="1">
        <v>1</v>
      </c>
      <c r="F608" s="1">
        <v>12</v>
      </c>
      <c r="G608" s="3" t="b">
        <v>0</v>
      </c>
      <c r="H608" s="1">
        <v>5</v>
      </c>
      <c r="I608" s="1">
        <v>3</v>
      </c>
      <c r="J608" s="7">
        <v>0.18</v>
      </c>
      <c r="K608" s="8">
        <f>VLOOKUP($A608,'Temprorary Data'!$A:$G,2,FALSE)</f>
        <v>0.21210000000000001</v>
      </c>
      <c r="L608" s="8">
        <f>VLOOKUP($A608,'Temprorary Data'!$A:$G,3,FALSE)</f>
        <v>0.93</v>
      </c>
      <c r="M608" s="8">
        <f>VLOOKUP($A608,'Temprorary Data'!$A:$G,4,FALSE)</f>
        <v>0.1045</v>
      </c>
      <c r="N608" s="9">
        <f>VLOOKUP($A608,'Temprorary Data'!$A:$G,5,FALSE)</f>
        <v>1</v>
      </c>
      <c r="O608" s="9">
        <f>VLOOKUP($A608,'Temprorary Data'!$A:$G,6,FALSE)</f>
        <v>28</v>
      </c>
      <c r="P608" s="9">
        <f>VLOOKUP($A608,'Temprorary Data'!$A:$G,7,FALSE)</f>
        <v>29</v>
      </c>
      <c r="Q608" t="b">
        <f t="shared" si="81"/>
        <v>1</v>
      </c>
      <c r="R608" t="str">
        <f t="shared" si="82"/>
        <v>January</v>
      </c>
      <c r="S608" t="str">
        <f t="shared" si="83"/>
        <v>Friday</v>
      </c>
      <c r="T608" t="str">
        <f t="shared" si="84"/>
        <v>Weekday</v>
      </c>
      <c r="U608" t="str">
        <f t="shared" si="85"/>
        <v>Spring</v>
      </c>
      <c r="V608" t="str">
        <f t="shared" si="86"/>
        <v>Light Rain</v>
      </c>
      <c r="W608" t="str">
        <f t="shared" si="87"/>
        <v>Off Peak</v>
      </c>
      <c r="X608" t="str">
        <f t="shared" si="88"/>
        <v>Low</v>
      </c>
      <c r="Y608" t="str">
        <f t="shared" si="89"/>
        <v>High</v>
      </c>
    </row>
    <row r="609" spans="1:25" ht="15.75" thickBot="1">
      <c r="A609" s="1">
        <v>608</v>
      </c>
      <c r="B609" s="2">
        <v>40571</v>
      </c>
      <c r="C609" s="1">
        <v>1</v>
      </c>
      <c r="D609" s="1">
        <v>0</v>
      </c>
      <c r="E609" s="1">
        <v>1</v>
      </c>
      <c r="F609" s="1">
        <v>13</v>
      </c>
      <c r="G609" s="3" t="b">
        <v>0</v>
      </c>
      <c r="H609" s="1">
        <v>5</v>
      </c>
      <c r="I609" s="1">
        <v>3</v>
      </c>
      <c r="J609" s="7">
        <v>0.18</v>
      </c>
      <c r="K609" s="8">
        <f>VLOOKUP($A609,'Temprorary Data'!$A:$G,2,FALSE)</f>
        <v>0.21210000000000001</v>
      </c>
      <c r="L609" s="8">
        <f>VLOOKUP($A609,'Temprorary Data'!$A:$G,3,FALSE)</f>
        <v>0.93</v>
      </c>
      <c r="M609" s="8">
        <f>VLOOKUP($A609,'Temprorary Data'!$A:$G,4,FALSE)</f>
        <v>0.1045</v>
      </c>
      <c r="N609" s="9">
        <f>VLOOKUP($A609,'Temprorary Data'!$A:$G,5,FALSE)</f>
        <v>0</v>
      </c>
      <c r="O609" s="9">
        <f>VLOOKUP($A609,'Temprorary Data'!$A:$G,6,FALSE)</f>
        <v>31</v>
      </c>
      <c r="P609" s="9">
        <f>VLOOKUP($A609,'Temprorary Data'!$A:$G,7,FALSE)</f>
        <v>31</v>
      </c>
      <c r="Q609" t="b">
        <f t="shared" si="81"/>
        <v>1</v>
      </c>
      <c r="R609" t="str">
        <f t="shared" si="82"/>
        <v>January</v>
      </c>
      <c r="S609" t="str">
        <f t="shared" si="83"/>
        <v>Friday</v>
      </c>
      <c r="T609" t="str">
        <f t="shared" si="84"/>
        <v>Weekday</v>
      </c>
      <c r="U609" t="str">
        <f t="shared" si="85"/>
        <v>Spring</v>
      </c>
      <c r="V609" t="str">
        <f t="shared" si="86"/>
        <v>Light Rain</v>
      </c>
      <c r="W609" t="str">
        <f t="shared" si="87"/>
        <v>Off Peak</v>
      </c>
      <c r="X609" t="str">
        <f t="shared" si="88"/>
        <v>Low</v>
      </c>
      <c r="Y609" t="str">
        <f t="shared" si="89"/>
        <v>High</v>
      </c>
    </row>
    <row r="610" spans="1:25" ht="15.75" thickBot="1">
      <c r="A610" s="1">
        <v>609</v>
      </c>
      <c r="B610" s="2">
        <v>40571</v>
      </c>
      <c r="C610" s="1">
        <v>1</v>
      </c>
      <c r="D610" s="1">
        <v>0</v>
      </c>
      <c r="E610" s="1">
        <v>1</v>
      </c>
      <c r="F610" s="1">
        <v>14</v>
      </c>
      <c r="G610" s="3" t="b">
        <v>0</v>
      </c>
      <c r="H610" s="1">
        <v>5</v>
      </c>
      <c r="I610" s="1">
        <v>3</v>
      </c>
      <c r="J610" s="7">
        <v>0.22</v>
      </c>
      <c r="K610" s="8">
        <f>VLOOKUP($A610,'Temprorary Data'!$A:$G,2,FALSE)</f>
        <v>0.2727</v>
      </c>
      <c r="L610" s="8">
        <f>VLOOKUP($A610,'Temprorary Data'!$A:$G,3,FALSE)</f>
        <v>0.8</v>
      </c>
      <c r="M610" s="8">
        <f>VLOOKUP($A610,'Temprorary Data'!$A:$G,4,FALSE)</f>
        <v>0</v>
      </c>
      <c r="N610" s="9">
        <f>VLOOKUP($A610,'Temprorary Data'!$A:$G,5,FALSE)</f>
        <v>2</v>
      </c>
      <c r="O610" s="9">
        <f>VLOOKUP($A610,'Temprorary Data'!$A:$G,6,FALSE)</f>
        <v>36</v>
      </c>
      <c r="P610" s="9">
        <f>VLOOKUP($A610,'Temprorary Data'!$A:$G,7,FALSE)</f>
        <v>38</v>
      </c>
      <c r="Q610" t="b">
        <f t="shared" si="81"/>
        <v>1</v>
      </c>
      <c r="R610" t="str">
        <f t="shared" si="82"/>
        <v>January</v>
      </c>
      <c r="S610" t="str">
        <f t="shared" si="83"/>
        <v>Friday</v>
      </c>
      <c r="T610" t="str">
        <f t="shared" si="84"/>
        <v>Weekday</v>
      </c>
      <c r="U610" t="str">
        <f t="shared" si="85"/>
        <v>Spring</v>
      </c>
      <c r="V610" t="str">
        <f t="shared" si="86"/>
        <v>Light Rain</v>
      </c>
      <c r="W610" t="str">
        <f t="shared" si="87"/>
        <v>Off Peak</v>
      </c>
      <c r="X610" t="str">
        <f t="shared" si="88"/>
        <v>Low</v>
      </c>
      <c r="Y610" t="str">
        <f t="shared" si="89"/>
        <v>High</v>
      </c>
    </row>
    <row r="611" spans="1:25" ht="15.75" thickBot="1">
      <c r="A611" s="1">
        <v>610</v>
      </c>
      <c r="B611" s="2">
        <v>40571</v>
      </c>
      <c r="C611" s="1">
        <v>1</v>
      </c>
      <c r="D611" s="1">
        <v>0</v>
      </c>
      <c r="E611" s="1">
        <v>1</v>
      </c>
      <c r="F611" s="1">
        <v>15</v>
      </c>
      <c r="G611" s="3" t="b">
        <v>0</v>
      </c>
      <c r="H611" s="1">
        <v>5</v>
      </c>
      <c r="I611" s="1">
        <v>2</v>
      </c>
      <c r="J611" s="7">
        <v>0.2</v>
      </c>
      <c r="K611" s="8">
        <f>VLOOKUP($A611,'Temprorary Data'!$A:$G,2,FALSE)</f>
        <v>0.2576</v>
      </c>
      <c r="L611" s="8">
        <f>VLOOKUP($A611,'Temprorary Data'!$A:$G,3,FALSE)</f>
        <v>0.86</v>
      </c>
      <c r="M611" s="8">
        <f>VLOOKUP($A611,'Temprorary Data'!$A:$G,4,FALSE)</f>
        <v>0</v>
      </c>
      <c r="N611" s="9">
        <f>VLOOKUP($A611,'Temprorary Data'!$A:$G,5,FALSE)</f>
        <v>1</v>
      </c>
      <c r="O611" s="9">
        <f>VLOOKUP($A611,'Temprorary Data'!$A:$G,6,FALSE)</f>
        <v>40</v>
      </c>
      <c r="P611" s="9">
        <f>VLOOKUP($A611,'Temprorary Data'!$A:$G,7,FALSE)</f>
        <v>41</v>
      </c>
      <c r="Q611" t="b">
        <f t="shared" si="81"/>
        <v>1</v>
      </c>
      <c r="R611" t="str">
        <f t="shared" si="82"/>
        <v>January</v>
      </c>
      <c r="S611" t="str">
        <f t="shared" si="83"/>
        <v>Friday</v>
      </c>
      <c r="T611" t="str">
        <f t="shared" si="84"/>
        <v>Weekday</v>
      </c>
      <c r="U611" t="str">
        <f t="shared" si="85"/>
        <v>Spring</v>
      </c>
      <c r="V611" t="str">
        <f t="shared" si="86"/>
        <v>Mist</v>
      </c>
      <c r="W611" t="str">
        <f t="shared" si="87"/>
        <v>Off Peak</v>
      </c>
      <c r="X611" t="str">
        <f t="shared" si="88"/>
        <v>Low</v>
      </c>
      <c r="Y611" t="str">
        <f t="shared" si="89"/>
        <v>High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87"/>
  <sheetViews>
    <sheetView topLeftCell="A56" zoomScale="70" zoomScaleNormal="70" workbookViewId="0">
      <selection activeCell="A71" sqref="A71"/>
    </sheetView>
  </sheetViews>
  <sheetFormatPr defaultRowHeight="15"/>
  <cols>
    <col min="1" max="1" width="17.85546875" customWidth="1"/>
    <col min="2" max="2" width="7.42578125" customWidth="1"/>
  </cols>
  <sheetData>
    <row r="1" spans="1:2">
      <c r="A1" s="14" t="s">
        <v>29</v>
      </c>
      <c r="B1" t="s">
        <v>36</v>
      </c>
    </row>
    <row r="2" spans="1:2">
      <c r="A2" s="15" t="s">
        <v>25</v>
      </c>
      <c r="B2" s="16">
        <v>33898</v>
      </c>
    </row>
    <row r="3" spans="1:2">
      <c r="A3" s="15" t="s">
        <v>26</v>
      </c>
      <c r="B3" s="16">
        <v>33898</v>
      </c>
    </row>
    <row r="12" spans="1:2">
      <c r="A12" s="14" t="s">
        <v>28</v>
      </c>
      <c r="B12" t="s">
        <v>30</v>
      </c>
    </row>
    <row r="13" spans="1:2">
      <c r="A13" s="15">
        <v>0</v>
      </c>
      <c r="B13" s="16">
        <v>370</v>
      </c>
    </row>
    <row r="14" spans="1:2">
      <c r="A14" s="15">
        <v>1</v>
      </c>
      <c r="B14" s="16">
        <v>239</v>
      </c>
    </row>
    <row r="15" spans="1:2">
      <c r="A15" s="15">
        <v>2</v>
      </c>
      <c r="B15" s="16">
        <v>170</v>
      </c>
    </row>
    <row r="16" spans="1:2">
      <c r="A16" s="15">
        <v>3</v>
      </c>
      <c r="B16" s="16">
        <v>76</v>
      </c>
    </row>
    <row r="17" spans="1:2">
      <c r="A17" s="15">
        <v>4</v>
      </c>
      <c r="B17" s="16">
        <v>38</v>
      </c>
    </row>
    <row r="18" spans="1:2">
      <c r="A18" s="15">
        <v>5</v>
      </c>
      <c r="B18" s="16">
        <v>95</v>
      </c>
    </row>
    <row r="19" spans="1:2">
      <c r="A19" s="15">
        <v>6</v>
      </c>
      <c r="B19" s="16">
        <v>476</v>
      </c>
    </row>
    <row r="20" spans="1:2">
      <c r="A20" s="15">
        <v>7</v>
      </c>
      <c r="B20" s="16">
        <v>1393</v>
      </c>
    </row>
    <row r="21" spans="1:2">
      <c r="A21" s="15">
        <v>8</v>
      </c>
      <c r="B21" s="16">
        <v>3318</v>
      </c>
    </row>
    <row r="22" spans="1:2">
      <c r="A22" s="15">
        <v>9</v>
      </c>
      <c r="B22" s="16">
        <v>2196</v>
      </c>
    </row>
    <row r="23" spans="1:2">
      <c r="A23" s="15">
        <v>10</v>
      </c>
      <c r="B23" s="16">
        <v>1301</v>
      </c>
    </row>
    <row r="24" spans="1:2">
      <c r="A24" s="15">
        <v>11</v>
      </c>
      <c r="B24" s="16">
        <v>1455</v>
      </c>
    </row>
    <row r="25" spans="1:2">
      <c r="A25" s="15">
        <v>12</v>
      </c>
      <c r="B25" s="16">
        <v>1936</v>
      </c>
    </row>
    <row r="26" spans="1:2">
      <c r="A26" s="15">
        <v>13</v>
      </c>
      <c r="B26" s="16">
        <v>2015</v>
      </c>
    </row>
    <row r="27" spans="1:2">
      <c r="A27" s="15">
        <v>14</v>
      </c>
      <c r="B27" s="16">
        <v>1827</v>
      </c>
    </row>
    <row r="28" spans="1:2">
      <c r="A28" s="15">
        <v>15</v>
      </c>
      <c r="B28" s="16">
        <v>1934</v>
      </c>
    </row>
    <row r="29" spans="1:2">
      <c r="A29" s="15">
        <v>16</v>
      </c>
      <c r="B29" s="16">
        <v>2200</v>
      </c>
    </row>
    <row r="30" spans="1:2">
      <c r="A30" s="15">
        <v>17</v>
      </c>
      <c r="B30" s="16">
        <v>3550</v>
      </c>
    </row>
    <row r="31" spans="1:2">
      <c r="A31" s="15">
        <v>18</v>
      </c>
      <c r="B31" s="16">
        <v>3082</v>
      </c>
    </row>
    <row r="32" spans="1:2">
      <c r="A32" s="15">
        <v>19</v>
      </c>
      <c r="B32" s="16">
        <v>2213</v>
      </c>
    </row>
    <row r="33" spans="1:2">
      <c r="A33" s="15">
        <v>20</v>
      </c>
      <c r="B33" s="16">
        <v>1541</v>
      </c>
    </row>
    <row r="34" spans="1:2">
      <c r="A34" s="15">
        <v>21</v>
      </c>
      <c r="B34" s="16">
        <v>1075</v>
      </c>
    </row>
    <row r="35" spans="1:2">
      <c r="A35" s="15">
        <v>22</v>
      </c>
      <c r="B35" s="16">
        <v>838</v>
      </c>
    </row>
    <row r="36" spans="1:2">
      <c r="A36" s="15">
        <v>23</v>
      </c>
      <c r="B36" s="16">
        <v>560</v>
      </c>
    </row>
    <row r="37" spans="1:2">
      <c r="A37" s="15" t="s">
        <v>26</v>
      </c>
      <c r="B37" s="16">
        <v>33898</v>
      </c>
    </row>
    <row r="42" spans="1:2">
      <c r="A42" s="14" t="s">
        <v>21</v>
      </c>
      <c r="B42" t="s">
        <v>35</v>
      </c>
    </row>
    <row r="43" spans="1:2">
      <c r="A43" s="15" t="s">
        <v>31</v>
      </c>
      <c r="B43" s="16">
        <v>21973</v>
      </c>
    </row>
    <row r="44" spans="1:2">
      <c r="A44" s="15" t="s">
        <v>32</v>
      </c>
      <c r="B44" s="16">
        <v>36</v>
      </c>
    </row>
    <row r="45" spans="1:2">
      <c r="A45" s="15" t="s">
        <v>33</v>
      </c>
      <c r="B45" s="16">
        <v>1463</v>
      </c>
    </row>
    <row r="46" spans="1:2">
      <c r="A46" s="15" t="s">
        <v>34</v>
      </c>
      <c r="B46" s="16">
        <v>10426</v>
      </c>
    </row>
    <row r="47" spans="1:2">
      <c r="A47" s="15" t="s">
        <v>26</v>
      </c>
      <c r="B47" s="16">
        <v>33898</v>
      </c>
    </row>
    <row r="56" spans="1:2">
      <c r="A56" s="14" t="s">
        <v>39</v>
      </c>
    </row>
    <row r="57" spans="1:2">
      <c r="A57" s="15" t="s">
        <v>37</v>
      </c>
      <c r="B57" s="16">
        <v>2746</v>
      </c>
    </row>
    <row r="58" spans="1:2">
      <c r="A58" s="15" t="s">
        <v>38</v>
      </c>
      <c r="B58" s="16">
        <v>31152</v>
      </c>
    </row>
    <row r="70" spans="1:2">
      <c r="A70" s="14" t="s">
        <v>22</v>
      </c>
      <c r="B70" t="s">
        <v>27</v>
      </c>
    </row>
    <row r="71" spans="1:2">
      <c r="A71" s="15" t="s">
        <v>40</v>
      </c>
      <c r="B71" s="16">
        <v>10386</v>
      </c>
    </row>
    <row r="72" spans="1:2">
      <c r="A72" s="15" t="s">
        <v>41</v>
      </c>
      <c r="B72" s="16">
        <v>6907</v>
      </c>
    </row>
    <row r="73" spans="1:2">
      <c r="A73" s="15" t="s">
        <v>42</v>
      </c>
      <c r="B73" s="16">
        <v>16605</v>
      </c>
    </row>
    <row r="74" spans="1:2">
      <c r="A74" s="15" t="s">
        <v>26</v>
      </c>
      <c r="B74" s="16">
        <v>33898</v>
      </c>
    </row>
    <row r="84" spans="1:2">
      <c r="A84" s="14" t="s">
        <v>23</v>
      </c>
      <c r="B84" t="s">
        <v>27</v>
      </c>
    </row>
    <row r="85" spans="1:2">
      <c r="A85" s="15" t="s">
        <v>43</v>
      </c>
      <c r="B85" s="16">
        <v>28839</v>
      </c>
    </row>
    <row r="86" spans="1:2">
      <c r="A86" s="15" t="s">
        <v>44</v>
      </c>
      <c r="B86" s="16">
        <v>5059</v>
      </c>
    </row>
    <row r="87" spans="1:2">
      <c r="A87" s="15" t="s">
        <v>26</v>
      </c>
      <c r="B87" s="16">
        <v>33898</v>
      </c>
    </row>
  </sheetData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23"/>
  <sheetViews>
    <sheetView tabSelected="1" workbookViewId="0">
      <selection activeCell="E22" sqref="E22"/>
    </sheetView>
  </sheetViews>
  <sheetFormatPr defaultRowHeight="15"/>
  <cols>
    <col min="1" max="1" width="21.85546875" customWidth="1"/>
  </cols>
  <sheetData>
    <row r="1" spans="1:2">
      <c r="A1" s="10" t="s">
        <v>51</v>
      </c>
    </row>
    <row r="2" spans="1:2">
      <c r="A2" s="23" t="s">
        <v>49</v>
      </c>
      <c r="B2" s="24" t="s">
        <v>50</v>
      </c>
    </row>
    <row r="3" spans="1:2" ht="30">
      <c r="A3" s="25" t="s">
        <v>30</v>
      </c>
      <c r="B3" s="26">
        <v>33898</v>
      </c>
    </row>
    <row r="4" spans="1:2" ht="30">
      <c r="A4" s="25" t="s">
        <v>46</v>
      </c>
      <c r="B4" s="26">
        <v>55.57</v>
      </c>
    </row>
    <row r="5" spans="1:2" ht="30">
      <c r="A5" s="25" t="s">
        <v>48</v>
      </c>
      <c r="B5" s="26">
        <v>2746</v>
      </c>
    </row>
    <row r="6" spans="1:2" ht="30">
      <c r="A6" s="25" t="s">
        <v>47</v>
      </c>
      <c r="B6" s="26">
        <v>31152</v>
      </c>
    </row>
    <row r="8" spans="1:2" ht="12.75" customHeight="1"/>
    <row r="10" spans="1:2">
      <c r="A10" s="10" t="s">
        <v>52</v>
      </c>
    </row>
    <row r="11" spans="1:2">
      <c r="A11" s="23" t="s">
        <v>21</v>
      </c>
      <c r="B11" s="24" t="s">
        <v>35</v>
      </c>
    </row>
    <row r="12" spans="1:2">
      <c r="A12" s="25" t="s">
        <v>31</v>
      </c>
      <c r="B12" s="26">
        <v>21973</v>
      </c>
    </row>
    <row r="13" spans="1:2">
      <c r="A13" s="25" t="s">
        <v>34</v>
      </c>
      <c r="B13" s="26">
        <v>10426</v>
      </c>
    </row>
    <row r="14" spans="1:2">
      <c r="A14" s="25" t="s">
        <v>33</v>
      </c>
      <c r="B14" s="26">
        <v>1463</v>
      </c>
    </row>
    <row r="15" spans="1:2">
      <c r="A15" s="25" t="s">
        <v>32</v>
      </c>
      <c r="B15" s="26">
        <v>36</v>
      </c>
    </row>
    <row r="19" spans="1:2">
      <c r="A19" s="10" t="s">
        <v>53</v>
      </c>
    </row>
    <row r="20" spans="1:2">
      <c r="A20" s="23" t="s">
        <v>54</v>
      </c>
      <c r="B20" s="24" t="s">
        <v>35</v>
      </c>
    </row>
    <row r="21" spans="1:2">
      <c r="A21" s="25" t="s">
        <v>41</v>
      </c>
      <c r="B21" s="26">
        <v>6907</v>
      </c>
    </row>
    <row r="22" spans="1:2">
      <c r="A22" s="25" t="s">
        <v>40</v>
      </c>
      <c r="B22" s="26">
        <v>10386</v>
      </c>
    </row>
    <row r="23" spans="1:2">
      <c r="A23" s="25" t="s">
        <v>42</v>
      </c>
      <c r="B23" s="26">
        <v>16605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L7"/>
  <sheetViews>
    <sheetView showGridLines="0" zoomScale="70" zoomScaleNormal="70" workbookViewId="0">
      <selection activeCell="B4" sqref="B4"/>
    </sheetView>
  </sheetViews>
  <sheetFormatPr defaultRowHeight="15"/>
  <cols>
    <col min="1" max="1" width="22.7109375" customWidth="1"/>
    <col min="4" max="4" width="22.7109375" customWidth="1"/>
    <col min="7" max="7" width="22.7109375" customWidth="1"/>
    <col min="10" max="10" width="22.7109375" customWidth="1"/>
  </cols>
  <sheetData>
    <row r="1" spans="1:12" ht="27" customHeight="1">
      <c r="A1" s="19" t="s">
        <v>45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43.5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</row>
    <row r="3" spans="1:12" ht="15.75" thickBot="1"/>
    <row r="4" spans="1:12" ht="22.5" thickTop="1" thickBot="1">
      <c r="A4" s="18" t="s">
        <v>30</v>
      </c>
      <c r="D4" s="18" t="s">
        <v>46</v>
      </c>
      <c r="G4" s="18" t="s">
        <v>48</v>
      </c>
      <c r="J4" s="18" t="s">
        <v>47</v>
      </c>
    </row>
    <row r="5" spans="1:12" ht="15.75" thickTop="1">
      <c r="A5" s="21">
        <f>SUM('Cleaned_Data Sheet'!P:P)</f>
        <v>33898</v>
      </c>
      <c r="D5" s="22">
        <f>AVERAGE('Cleaned_Data Sheet'!P:P)</f>
        <v>55.570491803278685</v>
      </c>
      <c r="G5" s="21">
        <f>SUM('Cleaned_Data Sheet'!N:N)</f>
        <v>2746</v>
      </c>
      <c r="J5" s="21">
        <f>SUM('Cleaned_Data Sheet'!O:O)</f>
        <v>31152</v>
      </c>
    </row>
    <row r="7" spans="1:12">
      <c r="F7" s="17"/>
    </row>
  </sheetData>
  <mergeCells count="1">
    <mergeCell ref="A1:L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611"/>
  <sheetViews>
    <sheetView workbookViewId="0">
      <selection activeCell="A1194" sqref="A1194"/>
    </sheetView>
  </sheetViews>
  <sheetFormatPr defaultRowHeight="15"/>
  <cols>
    <col min="7" max="7" width="13.28515625" customWidth="1"/>
  </cols>
  <sheetData>
    <row r="1" spans="1:7" ht="30.75" thickBot="1">
      <c r="A1" s="5" t="s">
        <v>0</v>
      </c>
      <c r="B1" s="5" t="s">
        <v>10</v>
      </c>
      <c r="C1" s="5" t="s">
        <v>11</v>
      </c>
      <c r="D1" s="5" t="s">
        <v>12</v>
      </c>
      <c r="E1" s="5" t="s">
        <v>13</v>
      </c>
      <c r="F1" s="5" t="s">
        <v>14</v>
      </c>
      <c r="G1" s="5" t="s">
        <v>15</v>
      </c>
    </row>
    <row r="2" spans="1:7" ht="15.75" thickBot="1">
      <c r="A2" s="6">
        <v>1</v>
      </c>
      <c r="B2" s="6">
        <v>0.28789999999999999</v>
      </c>
      <c r="C2" s="6">
        <v>0.81</v>
      </c>
      <c r="D2" s="6">
        <v>0</v>
      </c>
      <c r="E2" s="6">
        <v>3</v>
      </c>
      <c r="F2" s="6">
        <v>13</v>
      </c>
      <c r="G2" s="6">
        <v>16</v>
      </c>
    </row>
    <row r="3" spans="1:7" ht="15.75" thickBot="1">
      <c r="A3" s="6">
        <v>2</v>
      </c>
      <c r="B3" s="6">
        <v>0.2727</v>
      </c>
      <c r="C3" s="6">
        <v>0.8</v>
      </c>
      <c r="D3" s="6">
        <v>0</v>
      </c>
      <c r="E3" s="6">
        <v>8</v>
      </c>
      <c r="F3" s="6">
        <v>32</v>
      </c>
      <c r="G3" s="6">
        <v>40</v>
      </c>
    </row>
    <row r="4" spans="1:7" ht="15.75" thickBot="1">
      <c r="A4" s="6">
        <v>3</v>
      </c>
      <c r="B4" s="6">
        <v>0.2727</v>
      </c>
      <c r="C4" s="6">
        <v>0.8</v>
      </c>
      <c r="D4" s="6">
        <v>0</v>
      </c>
      <c r="E4" s="6">
        <v>5</v>
      </c>
      <c r="F4" s="6">
        <v>27</v>
      </c>
      <c r="G4" s="6">
        <v>32</v>
      </c>
    </row>
    <row r="5" spans="1:7" ht="15.75" thickBot="1">
      <c r="A5" s="6">
        <v>4</v>
      </c>
      <c r="B5" s="6">
        <v>0.28789999999999999</v>
      </c>
      <c r="C5" s="6">
        <v>0.75</v>
      </c>
      <c r="D5" s="6">
        <v>0</v>
      </c>
      <c r="E5" s="6">
        <v>3</v>
      </c>
      <c r="F5" s="6">
        <v>10</v>
      </c>
      <c r="G5" s="6">
        <v>13</v>
      </c>
    </row>
    <row r="6" spans="1:7" ht="15.75" thickBot="1">
      <c r="A6" s="6">
        <v>5</v>
      </c>
      <c r="B6" s="6">
        <v>0.28789999999999999</v>
      </c>
      <c r="C6" s="6">
        <v>0.75</v>
      </c>
      <c r="D6" s="6">
        <v>0</v>
      </c>
      <c r="E6" s="6">
        <v>0</v>
      </c>
      <c r="F6" s="6">
        <v>1</v>
      </c>
      <c r="G6" s="6">
        <v>1</v>
      </c>
    </row>
    <row r="7" spans="1:7" ht="15.75" thickBot="1">
      <c r="A7" s="6">
        <v>6</v>
      </c>
      <c r="B7" s="6">
        <v>0.2576</v>
      </c>
      <c r="C7" s="6">
        <v>0.75</v>
      </c>
      <c r="D7" s="6">
        <v>8.9599999999999999E-2</v>
      </c>
      <c r="E7" s="6">
        <v>0</v>
      </c>
      <c r="F7" s="6">
        <v>1</v>
      </c>
      <c r="G7" s="6">
        <v>1</v>
      </c>
    </row>
    <row r="8" spans="1:7" ht="15.75" thickBot="1">
      <c r="A8" s="6">
        <v>7</v>
      </c>
      <c r="B8" s="6">
        <v>0.2727</v>
      </c>
      <c r="C8" s="6">
        <v>0.8</v>
      </c>
      <c r="D8" s="6">
        <v>0</v>
      </c>
      <c r="E8" s="6">
        <v>2</v>
      </c>
      <c r="F8" s="6">
        <v>0</v>
      </c>
      <c r="G8" s="6">
        <v>2</v>
      </c>
    </row>
    <row r="9" spans="1:7" ht="15.75" thickBot="1">
      <c r="A9" s="6">
        <v>8</v>
      </c>
      <c r="B9" s="6">
        <v>0.2576</v>
      </c>
      <c r="C9" s="6">
        <v>0.86</v>
      </c>
      <c r="D9" s="6">
        <v>0</v>
      </c>
      <c r="E9" s="6">
        <v>1</v>
      </c>
      <c r="F9" s="6">
        <v>2</v>
      </c>
      <c r="G9" s="6">
        <v>3</v>
      </c>
    </row>
    <row r="10" spans="1:7" ht="15.75" thickBot="1">
      <c r="A10" s="6">
        <v>9</v>
      </c>
      <c r="B10" s="5"/>
      <c r="C10" s="6">
        <v>0.75</v>
      </c>
      <c r="D10" s="6">
        <v>0</v>
      </c>
      <c r="E10" s="6">
        <v>1</v>
      </c>
      <c r="F10" s="6">
        <v>7</v>
      </c>
      <c r="G10" s="6">
        <v>8</v>
      </c>
    </row>
    <row r="11" spans="1:7" ht="15.75" thickBot="1">
      <c r="A11" s="6">
        <v>10</v>
      </c>
      <c r="B11" s="6">
        <v>0.34849999999999998</v>
      </c>
      <c r="C11" s="6">
        <v>0.76</v>
      </c>
      <c r="D11" s="6">
        <v>0</v>
      </c>
      <c r="E11" s="6">
        <v>8</v>
      </c>
      <c r="F11" s="6">
        <v>6</v>
      </c>
      <c r="G11" s="6">
        <v>14</v>
      </c>
    </row>
    <row r="12" spans="1:7" ht="15.75" thickBot="1">
      <c r="A12" s="6">
        <v>11</v>
      </c>
      <c r="B12" s="6">
        <v>0.39389999999999997</v>
      </c>
      <c r="C12" s="6">
        <v>0.76</v>
      </c>
      <c r="D12" s="6">
        <v>0.25369999999999998</v>
      </c>
      <c r="E12" s="6">
        <v>12</v>
      </c>
      <c r="F12" s="6">
        <v>24</v>
      </c>
      <c r="G12" s="6">
        <v>36</v>
      </c>
    </row>
    <row r="13" spans="1:7" ht="15.75" thickBot="1">
      <c r="A13" s="6">
        <v>12</v>
      </c>
      <c r="B13" s="6">
        <v>0.33329999999999999</v>
      </c>
      <c r="C13" s="6">
        <v>0.81</v>
      </c>
      <c r="D13" s="6">
        <v>0.28360000000000002</v>
      </c>
      <c r="E13" s="6">
        <v>26</v>
      </c>
      <c r="F13" s="6">
        <v>30</v>
      </c>
      <c r="G13" s="6">
        <v>56</v>
      </c>
    </row>
    <row r="14" spans="1:7" ht="15.75" thickBot="1">
      <c r="A14" s="6">
        <v>13</v>
      </c>
      <c r="B14" s="6">
        <v>0.42420000000000002</v>
      </c>
      <c r="C14" s="6">
        <v>0.77</v>
      </c>
      <c r="D14" s="6">
        <v>0.28360000000000002</v>
      </c>
      <c r="E14" s="6">
        <v>29</v>
      </c>
      <c r="F14" s="6">
        <v>55</v>
      </c>
      <c r="G14" s="6">
        <v>84</v>
      </c>
    </row>
    <row r="15" spans="1:7" ht="15.75" thickBot="1">
      <c r="A15" s="6">
        <v>14</v>
      </c>
      <c r="B15" s="6">
        <v>0.45450000000000002</v>
      </c>
      <c r="C15" s="6">
        <v>0.72</v>
      </c>
      <c r="D15" s="6">
        <v>0.29849999999999999</v>
      </c>
      <c r="E15" s="6">
        <v>47</v>
      </c>
      <c r="F15" s="6">
        <v>47</v>
      </c>
      <c r="G15" s="6">
        <v>94</v>
      </c>
    </row>
    <row r="16" spans="1:7" ht="15.75" thickBot="1">
      <c r="A16" s="6">
        <v>15</v>
      </c>
      <c r="B16" s="6">
        <v>0.45450000000000002</v>
      </c>
      <c r="C16" s="6">
        <v>0.72</v>
      </c>
      <c r="D16" s="6">
        <v>0.28360000000000002</v>
      </c>
      <c r="E16" s="6">
        <v>35</v>
      </c>
      <c r="F16" s="6">
        <v>71</v>
      </c>
      <c r="G16" s="6">
        <v>106</v>
      </c>
    </row>
    <row r="17" spans="1:7" ht="15.75" thickBot="1">
      <c r="A17" s="6">
        <v>16</v>
      </c>
      <c r="B17" s="6">
        <v>0.43940000000000001</v>
      </c>
      <c r="C17" s="6">
        <v>0.77</v>
      </c>
      <c r="D17" s="6">
        <v>0.29849999999999999</v>
      </c>
      <c r="E17" s="6">
        <v>40</v>
      </c>
      <c r="F17" s="6">
        <v>70</v>
      </c>
      <c r="G17" s="6">
        <v>110</v>
      </c>
    </row>
    <row r="18" spans="1:7" ht="15.75" thickBot="1">
      <c r="A18" s="6">
        <v>17</v>
      </c>
      <c r="B18" s="6">
        <v>0.42420000000000002</v>
      </c>
      <c r="C18" s="6">
        <v>0.82</v>
      </c>
      <c r="D18" s="6">
        <v>0.29849999999999999</v>
      </c>
      <c r="E18" s="6">
        <v>41</v>
      </c>
      <c r="F18" s="6">
        <v>52</v>
      </c>
      <c r="G18" s="6">
        <v>93</v>
      </c>
    </row>
    <row r="19" spans="1:7" ht="15.75" thickBot="1">
      <c r="A19" s="6">
        <v>18</v>
      </c>
      <c r="B19" s="5"/>
      <c r="C19" s="6">
        <v>0.82</v>
      </c>
      <c r="D19" s="6">
        <v>0.28360000000000002</v>
      </c>
      <c r="E19" s="6">
        <v>15</v>
      </c>
      <c r="F19" s="6">
        <v>52</v>
      </c>
      <c r="G19" s="6">
        <v>67</v>
      </c>
    </row>
    <row r="20" spans="1:7" ht="15.75" thickBot="1">
      <c r="A20" s="6">
        <v>19</v>
      </c>
      <c r="B20" s="6">
        <v>0.42420000000000002</v>
      </c>
      <c r="C20" s="6">
        <v>0.88</v>
      </c>
      <c r="D20" s="6">
        <v>0.25369999999999998</v>
      </c>
      <c r="E20" s="6">
        <v>9</v>
      </c>
      <c r="F20" s="6">
        <v>26</v>
      </c>
      <c r="G20" s="6">
        <v>35</v>
      </c>
    </row>
    <row r="21" spans="1:7" ht="15.75" thickBot="1">
      <c r="A21" s="6">
        <v>20</v>
      </c>
      <c r="B21" s="6">
        <v>0.42420000000000002</v>
      </c>
      <c r="C21" s="6">
        <v>0.88</v>
      </c>
      <c r="D21" s="6">
        <v>0.25369999999999998</v>
      </c>
      <c r="E21" s="6">
        <v>6</v>
      </c>
      <c r="F21" s="6">
        <v>31</v>
      </c>
      <c r="G21" s="6">
        <v>37</v>
      </c>
    </row>
    <row r="22" spans="1:7" ht="15.75" thickBot="1">
      <c r="A22" s="6">
        <v>21</v>
      </c>
      <c r="B22" s="6">
        <v>0.40910000000000002</v>
      </c>
      <c r="C22" s="6">
        <v>0.87</v>
      </c>
      <c r="D22" s="6">
        <v>0.25369999999999998</v>
      </c>
      <c r="E22" s="6">
        <v>11</v>
      </c>
      <c r="F22" s="6">
        <v>25</v>
      </c>
      <c r="G22" s="6">
        <v>36</v>
      </c>
    </row>
    <row r="23" spans="1:7" ht="15.75" thickBot="1">
      <c r="A23" s="6">
        <v>22</v>
      </c>
      <c r="B23" s="6">
        <v>0.40910000000000002</v>
      </c>
      <c r="C23" s="6">
        <v>0.87</v>
      </c>
      <c r="D23" s="6">
        <v>0.19400000000000001</v>
      </c>
      <c r="E23" s="6">
        <v>3</v>
      </c>
      <c r="F23" s="6">
        <v>31</v>
      </c>
      <c r="G23" s="6">
        <v>34</v>
      </c>
    </row>
    <row r="24" spans="1:7" ht="15.75" thickBot="1">
      <c r="A24" s="6">
        <v>23</v>
      </c>
      <c r="B24" s="6">
        <v>0.40910000000000002</v>
      </c>
      <c r="C24" s="6">
        <v>0.94</v>
      </c>
      <c r="D24" s="6">
        <v>0.22389999999999999</v>
      </c>
      <c r="E24" s="6">
        <v>11</v>
      </c>
      <c r="F24" s="6">
        <v>17</v>
      </c>
      <c r="G24" s="6">
        <v>28</v>
      </c>
    </row>
    <row r="25" spans="1:7" ht="15.75" thickBot="1">
      <c r="A25" s="6">
        <v>24</v>
      </c>
      <c r="B25" s="5"/>
      <c r="C25" s="6">
        <v>0.88</v>
      </c>
      <c r="D25" s="6">
        <v>0.29849999999999999</v>
      </c>
      <c r="E25" s="6">
        <v>15</v>
      </c>
      <c r="F25" s="6">
        <v>24</v>
      </c>
      <c r="G25" s="6">
        <v>39</v>
      </c>
    </row>
    <row r="26" spans="1:7" ht="15.75" thickBot="1">
      <c r="A26" s="6">
        <v>25</v>
      </c>
      <c r="B26" s="6">
        <v>0.45450000000000002</v>
      </c>
      <c r="C26" s="6">
        <v>0.88</v>
      </c>
      <c r="D26" s="6">
        <v>0.29849999999999999</v>
      </c>
      <c r="E26" s="6">
        <v>4</v>
      </c>
      <c r="F26" s="6">
        <v>13</v>
      </c>
      <c r="G26" s="6">
        <v>17</v>
      </c>
    </row>
    <row r="27" spans="1:7" ht="15.75" thickBot="1">
      <c r="A27" s="6">
        <v>26</v>
      </c>
      <c r="B27" s="6">
        <v>0.43940000000000001</v>
      </c>
      <c r="C27" s="6">
        <v>0.94</v>
      </c>
      <c r="D27" s="6">
        <v>0.25369999999999998</v>
      </c>
      <c r="E27" s="6">
        <v>1</v>
      </c>
      <c r="F27" s="6">
        <v>16</v>
      </c>
      <c r="G27" s="6">
        <v>17</v>
      </c>
    </row>
    <row r="28" spans="1:7" ht="15.75" thickBot="1">
      <c r="A28" s="6">
        <v>27</v>
      </c>
      <c r="B28" s="6">
        <v>0.42420000000000002</v>
      </c>
      <c r="C28" s="6">
        <v>1</v>
      </c>
      <c r="D28" s="6">
        <v>0.28360000000000002</v>
      </c>
      <c r="E28" s="6">
        <v>1</v>
      </c>
      <c r="F28" s="6">
        <v>8</v>
      </c>
      <c r="G28" s="6">
        <v>9</v>
      </c>
    </row>
    <row r="29" spans="1:7" ht="15.75" thickBot="1">
      <c r="A29" s="6">
        <v>28</v>
      </c>
      <c r="B29" s="6">
        <v>0.45450000000000002</v>
      </c>
      <c r="C29" s="6">
        <v>0.94</v>
      </c>
      <c r="D29" s="6">
        <v>0.19400000000000001</v>
      </c>
      <c r="E29" s="6">
        <v>2</v>
      </c>
      <c r="F29" s="6">
        <v>4</v>
      </c>
      <c r="G29" s="6">
        <v>6</v>
      </c>
    </row>
    <row r="30" spans="1:7" ht="15.75" thickBot="1">
      <c r="A30" s="6">
        <v>29</v>
      </c>
      <c r="B30" s="5"/>
      <c r="C30" s="6">
        <v>0.94</v>
      </c>
      <c r="D30" s="6">
        <v>0.19400000000000001</v>
      </c>
      <c r="E30" s="6">
        <v>2</v>
      </c>
      <c r="F30" s="6">
        <v>1</v>
      </c>
      <c r="G30" s="6">
        <v>3</v>
      </c>
    </row>
    <row r="31" spans="1:7" ht="15.75" thickBot="1">
      <c r="A31" s="6">
        <v>30</v>
      </c>
      <c r="B31" s="6">
        <v>0.42420000000000002</v>
      </c>
      <c r="C31" s="6">
        <v>0.77</v>
      </c>
      <c r="D31" s="6">
        <v>0.29849999999999999</v>
      </c>
      <c r="E31" s="6">
        <v>0</v>
      </c>
      <c r="F31" s="6">
        <v>2</v>
      </c>
      <c r="G31" s="6">
        <v>2</v>
      </c>
    </row>
    <row r="32" spans="1:7" ht="15.75" thickBot="1">
      <c r="A32" s="6">
        <v>31</v>
      </c>
      <c r="B32" s="6">
        <v>0.40910000000000002</v>
      </c>
      <c r="C32" s="6">
        <v>0.76</v>
      </c>
      <c r="D32" s="6">
        <v>0.19400000000000001</v>
      </c>
      <c r="E32" s="6">
        <v>0</v>
      </c>
      <c r="F32" s="6">
        <v>1</v>
      </c>
      <c r="G32" s="6">
        <v>1</v>
      </c>
    </row>
    <row r="33" spans="1:7" ht="15.75" thickBot="1">
      <c r="A33" s="6">
        <v>32</v>
      </c>
      <c r="B33" s="6">
        <v>0.40910000000000002</v>
      </c>
      <c r="C33" s="6">
        <v>0.71</v>
      </c>
      <c r="D33" s="6">
        <v>0.22389999999999999</v>
      </c>
      <c r="E33" s="6">
        <v>0</v>
      </c>
      <c r="F33" s="6">
        <v>8</v>
      </c>
      <c r="G33" s="6">
        <v>8</v>
      </c>
    </row>
    <row r="34" spans="1:7" ht="15.75" thickBot="1">
      <c r="A34" s="6">
        <v>33</v>
      </c>
      <c r="B34" s="5"/>
      <c r="C34" s="6">
        <v>0.76</v>
      </c>
      <c r="D34" s="6">
        <v>0.22389999999999999</v>
      </c>
      <c r="E34" s="6">
        <v>1</v>
      </c>
      <c r="F34" s="6">
        <v>19</v>
      </c>
      <c r="G34" s="6">
        <v>20</v>
      </c>
    </row>
    <row r="35" spans="1:7" ht="15.75" thickBot="1">
      <c r="A35" s="6">
        <v>34</v>
      </c>
      <c r="B35" s="6">
        <v>0.34849999999999998</v>
      </c>
      <c r="C35" s="6">
        <v>0.81</v>
      </c>
      <c r="D35" s="6">
        <v>0.22389999999999999</v>
      </c>
      <c r="E35" s="6">
        <v>7</v>
      </c>
      <c r="F35" s="6">
        <v>46</v>
      </c>
      <c r="G35" s="6">
        <v>53</v>
      </c>
    </row>
    <row r="36" spans="1:7" ht="15.75" thickBot="1">
      <c r="A36" s="6">
        <v>35</v>
      </c>
      <c r="B36" s="6">
        <v>0.33329999999999999</v>
      </c>
      <c r="C36" s="6">
        <v>0.71</v>
      </c>
      <c r="D36" s="6">
        <v>0.25369999999999998</v>
      </c>
      <c r="E36" s="6">
        <v>16</v>
      </c>
      <c r="F36" s="6">
        <v>54</v>
      </c>
      <c r="G36" s="6">
        <v>70</v>
      </c>
    </row>
    <row r="37" spans="1:7" ht="15.75" thickBot="1">
      <c r="A37" s="6">
        <v>36</v>
      </c>
      <c r="B37" s="6">
        <v>0.33329999999999999</v>
      </c>
      <c r="C37" s="6">
        <v>0.66</v>
      </c>
      <c r="D37" s="6">
        <v>0.29849999999999999</v>
      </c>
      <c r="E37" s="6">
        <v>20</v>
      </c>
      <c r="F37" s="6">
        <v>73</v>
      </c>
      <c r="G37" s="6">
        <v>93</v>
      </c>
    </row>
    <row r="38" spans="1:7" ht="15.75" thickBot="1">
      <c r="A38" s="6">
        <v>37</v>
      </c>
      <c r="B38" s="6">
        <v>0.34849999999999998</v>
      </c>
      <c r="C38" s="6">
        <v>0.66</v>
      </c>
      <c r="D38" s="6">
        <v>0.1343</v>
      </c>
      <c r="E38" s="6">
        <v>11</v>
      </c>
      <c r="F38" s="6">
        <v>64</v>
      </c>
      <c r="G38" s="6">
        <v>75</v>
      </c>
    </row>
    <row r="39" spans="1:7" ht="15.75" thickBot="1">
      <c r="A39" s="6">
        <v>38</v>
      </c>
      <c r="B39" s="5"/>
      <c r="C39" s="6">
        <v>0.76</v>
      </c>
      <c r="D39" s="6">
        <v>0.19400000000000001</v>
      </c>
      <c r="E39" s="6">
        <v>4</v>
      </c>
      <c r="F39" s="6">
        <v>55</v>
      </c>
      <c r="G39" s="6">
        <v>59</v>
      </c>
    </row>
    <row r="40" spans="1:7" ht="15.75" thickBot="1">
      <c r="A40" s="6">
        <v>39</v>
      </c>
      <c r="B40" s="6">
        <v>0.33329999999999999</v>
      </c>
      <c r="C40" s="6">
        <v>0.81</v>
      </c>
      <c r="D40" s="6">
        <v>0.16420000000000001</v>
      </c>
      <c r="E40" s="6">
        <v>19</v>
      </c>
      <c r="F40" s="6">
        <v>55</v>
      </c>
      <c r="G40" s="6">
        <v>74</v>
      </c>
    </row>
    <row r="41" spans="1:7" ht="15.75" thickBot="1">
      <c r="A41" s="6">
        <v>40</v>
      </c>
      <c r="B41" s="6">
        <v>0.33329999999999999</v>
      </c>
      <c r="C41" s="6">
        <v>0.71</v>
      </c>
      <c r="D41" s="6">
        <v>0.16420000000000001</v>
      </c>
      <c r="E41" s="6">
        <v>9</v>
      </c>
      <c r="F41" s="6">
        <v>67</v>
      </c>
      <c r="G41" s="6">
        <v>76</v>
      </c>
    </row>
    <row r="42" spans="1:7" ht="15.75" thickBot="1">
      <c r="A42" s="6">
        <v>41</v>
      </c>
      <c r="B42" s="6">
        <v>0.33329999999999999</v>
      </c>
      <c r="C42" s="6">
        <v>0.56999999999999995</v>
      </c>
      <c r="D42" s="6">
        <v>0.19400000000000001</v>
      </c>
      <c r="E42" s="6">
        <v>7</v>
      </c>
      <c r="F42" s="6">
        <v>58</v>
      </c>
      <c r="G42" s="6">
        <v>65</v>
      </c>
    </row>
    <row r="43" spans="1:7" ht="15.75" thickBot="1">
      <c r="A43" s="6">
        <v>42</v>
      </c>
      <c r="B43" s="6">
        <v>0.33329999999999999</v>
      </c>
      <c r="C43" s="6">
        <v>0.46</v>
      </c>
      <c r="D43" s="6">
        <v>0.32840000000000003</v>
      </c>
      <c r="E43" s="6">
        <v>10</v>
      </c>
      <c r="F43" s="6">
        <v>43</v>
      </c>
      <c r="G43" s="6">
        <v>53</v>
      </c>
    </row>
    <row r="44" spans="1:7" ht="15.75" thickBot="1">
      <c r="A44" s="6">
        <v>43</v>
      </c>
      <c r="B44" s="6">
        <v>0.28789999999999999</v>
      </c>
      <c r="C44" s="6">
        <v>0.42</v>
      </c>
      <c r="D44" s="6">
        <v>0.44779999999999998</v>
      </c>
      <c r="E44" s="6">
        <v>1</v>
      </c>
      <c r="F44" s="6">
        <v>29</v>
      </c>
      <c r="G44" s="6">
        <v>30</v>
      </c>
    </row>
    <row r="45" spans="1:7" ht="15.75" thickBot="1">
      <c r="A45" s="6">
        <v>44</v>
      </c>
      <c r="B45" s="5"/>
      <c r="C45" s="6">
        <v>0.39</v>
      </c>
      <c r="D45" s="6">
        <v>0.35820000000000002</v>
      </c>
      <c r="E45" s="6">
        <v>5</v>
      </c>
      <c r="F45" s="6">
        <v>17</v>
      </c>
      <c r="G45" s="6">
        <v>22</v>
      </c>
    </row>
    <row r="46" spans="1:7" ht="15.75" thickBot="1">
      <c r="A46" s="6">
        <v>45</v>
      </c>
      <c r="B46" s="6">
        <v>0.2273</v>
      </c>
      <c r="C46" s="6">
        <v>0.44</v>
      </c>
      <c r="D46" s="6">
        <v>0.32840000000000003</v>
      </c>
      <c r="E46" s="6">
        <v>11</v>
      </c>
      <c r="F46" s="6">
        <v>20</v>
      </c>
      <c r="G46" s="6">
        <v>31</v>
      </c>
    </row>
    <row r="47" spans="1:7" ht="15.75" thickBot="1">
      <c r="A47" s="6">
        <v>46</v>
      </c>
      <c r="B47" s="6">
        <v>0.21210000000000001</v>
      </c>
      <c r="C47" s="6">
        <v>0.44</v>
      </c>
      <c r="D47" s="6">
        <v>0.29849999999999999</v>
      </c>
      <c r="E47" s="6">
        <v>0</v>
      </c>
      <c r="F47" s="6">
        <v>9</v>
      </c>
      <c r="G47" s="6">
        <v>9</v>
      </c>
    </row>
    <row r="48" spans="1:7" ht="15.75" thickBot="1">
      <c r="A48" s="6">
        <v>47</v>
      </c>
      <c r="B48" s="6">
        <v>0.2273</v>
      </c>
      <c r="C48" s="6">
        <v>0.47</v>
      </c>
      <c r="D48" s="6">
        <v>0.16420000000000001</v>
      </c>
      <c r="E48" s="6">
        <v>0</v>
      </c>
      <c r="F48" s="6">
        <v>8</v>
      </c>
      <c r="G48" s="6">
        <v>8</v>
      </c>
    </row>
    <row r="49" spans="1:7" ht="15.75" thickBot="1">
      <c r="A49" s="6">
        <v>48</v>
      </c>
      <c r="B49" s="6">
        <v>0.19700000000000001</v>
      </c>
      <c r="C49" s="6">
        <v>0.44</v>
      </c>
      <c r="D49" s="6">
        <v>0.35820000000000002</v>
      </c>
      <c r="E49" s="6">
        <v>0</v>
      </c>
      <c r="F49" s="6">
        <v>5</v>
      </c>
      <c r="G49" s="6">
        <v>5</v>
      </c>
    </row>
    <row r="50" spans="1:7" ht="15.75" thickBot="1">
      <c r="A50" s="6">
        <v>49</v>
      </c>
      <c r="B50" s="5"/>
      <c r="C50" s="6">
        <v>0.44</v>
      </c>
      <c r="D50" s="6">
        <v>0.41789999999999999</v>
      </c>
      <c r="E50" s="6">
        <v>0</v>
      </c>
      <c r="F50" s="6">
        <v>2</v>
      </c>
      <c r="G50" s="6">
        <v>2</v>
      </c>
    </row>
    <row r="51" spans="1:7" ht="15.75" thickBot="1">
      <c r="A51" s="6">
        <v>50</v>
      </c>
      <c r="B51" s="6">
        <v>0.13639999999999999</v>
      </c>
      <c r="C51" s="6">
        <v>0.47</v>
      </c>
      <c r="D51" s="6">
        <v>0.3881</v>
      </c>
      <c r="E51" s="6">
        <v>0</v>
      </c>
      <c r="F51" s="6">
        <v>1</v>
      </c>
      <c r="G51" s="6">
        <v>1</v>
      </c>
    </row>
    <row r="52" spans="1:7" ht="15.75" thickBot="1">
      <c r="A52" s="6">
        <v>51</v>
      </c>
      <c r="B52" s="6">
        <v>0.13639999999999999</v>
      </c>
      <c r="C52" s="6">
        <v>0.47</v>
      </c>
      <c r="D52" s="6">
        <v>0.28360000000000002</v>
      </c>
      <c r="E52" s="6">
        <v>0</v>
      </c>
      <c r="F52" s="6">
        <v>3</v>
      </c>
      <c r="G52" s="6">
        <v>3</v>
      </c>
    </row>
    <row r="53" spans="1:7" ht="15.75" thickBot="1">
      <c r="A53" s="6">
        <v>52</v>
      </c>
      <c r="B53" s="6">
        <v>0.1061</v>
      </c>
      <c r="C53" s="6">
        <v>0.5</v>
      </c>
      <c r="D53" s="6">
        <v>0.3881</v>
      </c>
      <c r="E53" s="6">
        <v>0</v>
      </c>
      <c r="F53" s="6">
        <v>30</v>
      </c>
      <c r="G53" s="6">
        <v>30</v>
      </c>
    </row>
    <row r="54" spans="1:7" ht="15.75" thickBot="1">
      <c r="A54" s="6">
        <v>53</v>
      </c>
      <c r="B54" s="6">
        <v>0.13639999999999999</v>
      </c>
      <c r="C54" s="6">
        <v>0.5</v>
      </c>
      <c r="D54" s="6">
        <v>0.19400000000000001</v>
      </c>
      <c r="E54" s="6">
        <v>1</v>
      </c>
      <c r="F54" s="6">
        <v>63</v>
      </c>
      <c r="G54" s="6">
        <v>64</v>
      </c>
    </row>
    <row r="55" spans="1:7" ht="15.75" thickBot="1">
      <c r="A55" s="6">
        <v>54</v>
      </c>
      <c r="B55" s="6">
        <v>0.1212</v>
      </c>
      <c r="C55" s="6">
        <v>0.5</v>
      </c>
      <c r="D55" s="6">
        <v>0.28360000000000002</v>
      </c>
      <c r="E55" s="6">
        <v>1</v>
      </c>
      <c r="F55" s="6">
        <v>153</v>
      </c>
      <c r="G55" s="6">
        <v>154</v>
      </c>
    </row>
    <row r="56" spans="1:7" ht="15.75" thickBot="1">
      <c r="A56" s="6">
        <v>55</v>
      </c>
      <c r="B56" s="6">
        <v>0.13639999999999999</v>
      </c>
      <c r="C56" s="6">
        <v>0.43</v>
      </c>
      <c r="D56" s="6">
        <v>0.3881</v>
      </c>
      <c r="E56" s="6">
        <v>7</v>
      </c>
      <c r="F56" s="6">
        <v>81</v>
      </c>
      <c r="G56" s="6">
        <v>88</v>
      </c>
    </row>
    <row r="57" spans="1:7" ht="15.75" thickBot="1">
      <c r="A57" s="6">
        <v>56</v>
      </c>
      <c r="B57" s="6">
        <v>0.16669999999999999</v>
      </c>
      <c r="C57" s="6">
        <v>0.43</v>
      </c>
      <c r="D57" s="6">
        <v>0.25369999999999998</v>
      </c>
      <c r="E57" s="6">
        <v>11</v>
      </c>
      <c r="F57" s="6">
        <v>33</v>
      </c>
      <c r="G57" s="6">
        <v>44</v>
      </c>
    </row>
    <row r="58" spans="1:7" ht="15.75" thickBot="1">
      <c r="A58" s="6">
        <v>57</v>
      </c>
      <c r="B58" s="6">
        <v>0.18179999999999999</v>
      </c>
      <c r="C58" s="6">
        <v>0.4</v>
      </c>
      <c r="D58" s="6">
        <v>0.32840000000000003</v>
      </c>
      <c r="E58" s="6">
        <v>10</v>
      </c>
      <c r="F58" s="6">
        <v>41</v>
      </c>
      <c r="G58" s="6">
        <v>51</v>
      </c>
    </row>
    <row r="59" spans="1:7" ht="15.75" thickBot="1">
      <c r="A59" s="6">
        <v>58</v>
      </c>
      <c r="B59" s="6">
        <v>0.21210000000000001</v>
      </c>
      <c r="C59" s="6">
        <v>0.35</v>
      </c>
      <c r="D59" s="6">
        <v>0.29849999999999999</v>
      </c>
      <c r="E59" s="6">
        <v>13</v>
      </c>
      <c r="F59" s="6">
        <v>48</v>
      </c>
      <c r="G59" s="6">
        <v>61</v>
      </c>
    </row>
    <row r="60" spans="1:7" ht="15.75" thickBot="1">
      <c r="A60" s="6">
        <v>59</v>
      </c>
      <c r="B60" s="5"/>
      <c r="C60" s="6">
        <v>0.35</v>
      </c>
      <c r="D60" s="6">
        <v>0.28360000000000002</v>
      </c>
      <c r="E60" s="6">
        <v>8</v>
      </c>
      <c r="F60" s="6">
        <v>53</v>
      </c>
      <c r="G60" s="6">
        <v>61</v>
      </c>
    </row>
    <row r="61" spans="1:7" ht="15.75" thickBot="1">
      <c r="A61" s="6">
        <v>60</v>
      </c>
      <c r="B61" s="6">
        <v>0.2424</v>
      </c>
      <c r="C61" s="6">
        <v>0.3</v>
      </c>
      <c r="D61" s="6">
        <v>0.28360000000000002</v>
      </c>
      <c r="E61" s="6">
        <v>11</v>
      </c>
      <c r="F61" s="6">
        <v>66</v>
      </c>
      <c r="G61" s="6">
        <v>77</v>
      </c>
    </row>
    <row r="62" spans="1:7" ht="15.75" thickBot="1">
      <c r="A62" s="6">
        <v>61</v>
      </c>
      <c r="B62" s="6">
        <v>0.2424</v>
      </c>
      <c r="C62" s="6">
        <v>0.3</v>
      </c>
      <c r="D62" s="6">
        <v>0.25369999999999998</v>
      </c>
      <c r="E62" s="6">
        <v>14</v>
      </c>
      <c r="F62" s="6">
        <v>58</v>
      </c>
      <c r="G62" s="6">
        <v>72</v>
      </c>
    </row>
    <row r="63" spans="1:7" ht="15.75" thickBot="1">
      <c r="A63" s="6">
        <v>62</v>
      </c>
      <c r="B63" s="6">
        <v>0.2424</v>
      </c>
      <c r="C63" s="6">
        <v>0.3</v>
      </c>
      <c r="D63" s="6">
        <v>0.25369999999999998</v>
      </c>
      <c r="E63" s="6">
        <v>9</v>
      </c>
      <c r="F63" s="6">
        <v>67</v>
      </c>
      <c r="G63" s="6">
        <v>76</v>
      </c>
    </row>
    <row r="64" spans="1:7" ht="15.75" thickBot="1">
      <c r="A64" s="6">
        <v>63</v>
      </c>
      <c r="B64" s="6">
        <v>0.2273</v>
      </c>
      <c r="C64" s="6">
        <v>0.3</v>
      </c>
      <c r="D64" s="6">
        <v>0.22389999999999999</v>
      </c>
      <c r="E64" s="6">
        <v>11</v>
      </c>
      <c r="F64" s="6">
        <v>146</v>
      </c>
      <c r="G64" s="6">
        <v>157</v>
      </c>
    </row>
    <row r="65" spans="1:7" ht="15.75" thickBot="1">
      <c r="A65" s="6">
        <v>64</v>
      </c>
      <c r="B65" s="6">
        <v>0.2576</v>
      </c>
      <c r="C65" s="6">
        <v>0.32</v>
      </c>
      <c r="D65" s="6">
        <v>0.1045</v>
      </c>
      <c r="E65" s="6">
        <v>9</v>
      </c>
      <c r="F65" s="6">
        <v>148</v>
      </c>
      <c r="G65" s="6">
        <v>157</v>
      </c>
    </row>
    <row r="66" spans="1:7" ht="15.75" thickBot="1">
      <c r="A66" s="6">
        <v>65</v>
      </c>
      <c r="B66" s="6">
        <v>0.2576</v>
      </c>
      <c r="C66" s="6">
        <v>0.47</v>
      </c>
      <c r="D66" s="6">
        <v>0</v>
      </c>
      <c r="E66" s="6">
        <v>8</v>
      </c>
      <c r="F66" s="6">
        <v>102</v>
      </c>
      <c r="G66" s="6">
        <v>110</v>
      </c>
    </row>
    <row r="67" spans="1:7" ht="15.75" thickBot="1">
      <c r="A67" s="6">
        <v>66</v>
      </c>
      <c r="B67" s="5"/>
      <c r="C67" s="6">
        <v>0.47</v>
      </c>
      <c r="D67" s="6">
        <v>0.1045</v>
      </c>
      <c r="E67" s="6">
        <v>3</v>
      </c>
      <c r="F67" s="6">
        <v>49</v>
      </c>
      <c r="G67" s="6">
        <v>52</v>
      </c>
    </row>
    <row r="68" spans="1:7" ht="15.75" thickBot="1">
      <c r="A68" s="6">
        <v>67</v>
      </c>
      <c r="B68" s="6">
        <v>0.19700000000000001</v>
      </c>
      <c r="C68" s="6">
        <v>0.64</v>
      </c>
      <c r="D68" s="6">
        <v>0.1343</v>
      </c>
      <c r="E68" s="6">
        <v>3</v>
      </c>
      <c r="F68" s="6">
        <v>49</v>
      </c>
      <c r="G68" s="6">
        <v>52</v>
      </c>
    </row>
    <row r="69" spans="1:7" ht="15.75" thickBot="1">
      <c r="A69" s="6">
        <v>68</v>
      </c>
      <c r="B69" s="6">
        <v>0.1515</v>
      </c>
      <c r="C69" s="6">
        <v>0.69</v>
      </c>
      <c r="D69" s="6">
        <v>0.1343</v>
      </c>
      <c r="E69" s="6">
        <v>0</v>
      </c>
      <c r="F69" s="6">
        <v>20</v>
      </c>
      <c r="G69" s="6">
        <v>20</v>
      </c>
    </row>
    <row r="70" spans="1:7" ht="15.75" thickBot="1">
      <c r="A70" s="6">
        <v>69</v>
      </c>
      <c r="B70" s="6">
        <v>0.21210000000000001</v>
      </c>
      <c r="C70" s="6">
        <v>0.55000000000000004</v>
      </c>
      <c r="D70" s="6">
        <v>0.1045</v>
      </c>
      <c r="E70" s="6">
        <v>1</v>
      </c>
      <c r="F70" s="6">
        <v>11</v>
      </c>
      <c r="G70" s="6">
        <v>12</v>
      </c>
    </row>
    <row r="71" spans="1:7" ht="15.75" thickBot="1">
      <c r="A71" s="6">
        <v>70</v>
      </c>
      <c r="B71" s="5"/>
      <c r="C71" s="6">
        <v>0.55000000000000004</v>
      </c>
      <c r="D71" s="6">
        <v>0.1045</v>
      </c>
      <c r="E71" s="6">
        <v>0</v>
      </c>
      <c r="F71" s="6">
        <v>5</v>
      </c>
      <c r="G71" s="6">
        <v>5</v>
      </c>
    </row>
    <row r="72" spans="1:7" ht="15.75" thickBot="1">
      <c r="A72" s="6">
        <v>71</v>
      </c>
      <c r="B72" s="6">
        <v>0.18179999999999999</v>
      </c>
      <c r="C72" s="6">
        <v>0.59</v>
      </c>
      <c r="D72" s="6">
        <v>0.1045</v>
      </c>
      <c r="E72" s="6">
        <v>0</v>
      </c>
      <c r="F72" s="6">
        <v>2</v>
      </c>
      <c r="G72" s="6">
        <v>2</v>
      </c>
    </row>
    <row r="73" spans="1:7" ht="15.75" thickBot="1">
      <c r="A73" s="6">
        <v>72</v>
      </c>
      <c r="B73" s="6">
        <v>0.1515</v>
      </c>
      <c r="C73" s="6">
        <v>0.63</v>
      </c>
      <c r="D73" s="6">
        <v>0.1343</v>
      </c>
      <c r="E73" s="6">
        <v>0</v>
      </c>
      <c r="F73" s="6">
        <v>1</v>
      </c>
      <c r="G73" s="6">
        <v>1</v>
      </c>
    </row>
    <row r="74" spans="1:7" ht="15.75" thickBot="1">
      <c r="A74" s="6">
        <v>73</v>
      </c>
      <c r="B74" s="6">
        <v>0.18179999999999999</v>
      </c>
      <c r="C74" s="6">
        <v>0.63</v>
      </c>
      <c r="D74" s="6">
        <v>8.9599999999999999E-2</v>
      </c>
      <c r="E74" s="6">
        <v>0</v>
      </c>
      <c r="F74" s="6">
        <v>2</v>
      </c>
      <c r="G74" s="6">
        <v>2</v>
      </c>
    </row>
    <row r="75" spans="1:7" ht="15.75" thickBot="1">
      <c r="A75" s="6">
        <v>74</v>
      </c>
      <c r="B75" s="6">
        <v>0.1515</v>
      </c>
      <c r="C75" s="6">
        <v>0.68</v>
      </c>
      <c r="D75" s="6">
        <v>0.1045</v>
      </c>
      <c r="E75" s="6">
        <v>0</v>
      </c>
      <c r="F75" s="6">
        <v>4</v>
      </c>
      <c r="G75" s="6">
        <v>4</v>
      </c>
    </row>
    <row r="76" spans="1:7" ht="15.75" thickBot="1">
      <c r="A76" s="6">
        <v>75</v>
      </c>
      <c r="B76" s="6">
        <v>0.1515</v>
      </c>
      <c r="C76" s="6">
        <v>0.74</v>
      </c>
      <c r="D76" s="6">
        <v>0.1045</v>
      </c>
      <c r="E76" s="6">
        <v>0</v>
      </c>
      <c r="F76" s="6">
        <v>36</v>
      </c>
      <c r="G76" s="6">
        <v>36</v>
      </c>
    </row>
    <row r="77" spans="1:7" ht="15.75" thickBot="1">
      <c r="A77" s="6">
        <v>76</v>
      </c>
      <c r="B77" s="6">
        <v>0.1515</v>
      </c>
      <c r="C77" s="6">
        <v>0.74</v>
      </c>
      <c r="D77" s="6">
        <v>0.1343</v>
      </c>
      <c r="E77" s="6">
        <v>2</v>
      </c>
      <c r="F77" s="6">
        <v>92</v>
      </c>
      <c r="G77" s="6">
        <v>94</v>
      </c>
    </row>
    <row r="78" spans="1:7" ht="15.75" thickBot="1">
      <c r="A78" s="6">
        <v>77</v>
      </c>
      <c r="B78" s="6">
        <v>0.1515</v>
      </c>
      <c r="C78" s="6">
        <v>0.69</v>
      </c>
      <c r="D78" s="6">
        <v>0.16420000000000001</v>
      </c>
      <c r="E78" s="6">
        <v>2</v>
      </c>
      <c r="F78" s="6">
        <v>177</v>
      </c>
      <c r="G78" s="6">
        <v>179</v>
      </c>
    </row>
    <row r="79" spans="1:7" ht="15.75" thickBot="1">
      <c r="A79" s="6">
        <v>78</v>
      </c>
      <c r="B79" s="6">
        <v>0.1515</v>
      </c>
      <c r="C79" s="6">
        <v>0.64</v>
      </c>
      <c r="D79" s="6">
        <v>0.22389999999999999</v>
      </c>
      <c r="E79" s="6">
        <v>2</v>
      </c>
      <c r="F79" s="6">
        <v>98</v>
      </c>
      <c r="G79" s="6">
        <v>100</v>
      </c>
    </row>
    <row r="80" spans="1:7" ht="15.75" thickBot="1">
      <c r="A80" s="6">
        <v>79</v>
      </c>
      <c r="B80" s="6">
        <v>0.13639999999999999</v>
      </c>
      <c r="C80" s="6">
        <v>0.69</v>
      </c>
      <c r="D80" s="6">
        <v>0.32840000000000003</v>
      </c>
      <c r="E80" s="6">
        <v>5</v>
      </c>
      <c r="F80" s="6">
        <v>37</v>
      </c>
      <c r="G80" s="6">
        <v>42</v>
      </c>
    </row>
    <row r="81" spans="1:7" ht="15.75" thickBot="1">
      <c r="A81" s="6">
        <v>80</v>
      </c>
      <c r="B81" s="6">
        <v>0.21210000000000001</v>
      </c>
      <c r="C81" s="6">
        <v>0.51</v>
      </c>
      <c r="D81" s="6">
        <v>0.29849999999999999</v>
      </c>
      <c r="E81" s="6">
        <v>7</v>
      </c>
      <c r="F81" s="6">
        <v>50</v>
      </c>
      <c r="G81" s="6">
        <v>57</v>
      </c>
    </row>
    <row r="82" spans="1:7" ht="15.75" thickBot="1">
      <c r="A82" s="6">
        <v>81</v>
      </c>
      <c r="B82" s="6">
        <v>0.2273</v>
      </c>
      <c r="C82" s="6">
        <v>0.51</v>
      </c>
      <c r="D82" s="6">
        <v>0.16420000000000001</v>
      </c>
      <c r="E82" s="6">
        <v>12</v>
      </c>
      <c r="F82" s="6">
        <v>66</v>
      </c>
      <c r="G82" s="6">
        <v>78</v>
      </c>
    </row>
    <row r="83" spans="1:7" ht="15.75" thickBot="1">
      <c r="A83" s="6">
        <v>82</v>
      </c>
      <c r="B83" s="6">
        <v>0.2273</v>
      </c>
      <c r="C83" s="6">
        <v>0.56000000000000005</v>
      </c>
      <c r="D83" s="6">
        <v>0.19400000000000001</v>
      </c>
      <c r="E83" s="6">
        <v>18</v>
      </c>
      <c r="F83" s="6">
        <v>79</v>
      </c>
      <c r="G83" s="6">
        <v>97</v>
      </c>
    </row>
    <row r="84" spans="1:7" ht="15.75" thickBot="1">
      <c r="A84" s="6">
        <v>83</v>
      </c>
      <c r="B84" s="6">
        <v>0.2576</v>
      </c>
      <c r="C84" s="6">
        <v>0.52</v>
      </c>
      <c r="D84" s="6">
        <v>0.22389999999999999</v>
      </c>
      <c r="E84" s="6">
        <v>9</v>
      </c>
      <c r="F84" s="6">
        <v>54</v>
      </c>
      <c r="G84" s="6">
        <v>63</v>
      </c>
    </row>
    <row r="85" spans="1:7" ht="15.75" thickBot="1">
      <c r="A85" s="6">
        <v>84</v>
      </c>
      <c r="B85" s="6">
        <v>0.2727</v>
      </c>
      <c r="C85" s="6">
        <v>0.52</v>
      </c>
      <c r="D85" s="6">
        <v>0.25369999999999998</v>
      </c>
      <c r="E85" s="6">
        <v>17</v>
      </c>
      <c r="F85" s="6">
        <v>48</v>
      </c>
      <c r="G85" s="6">
        <v>65</v>
      </c>
    </row>
    <row r="86" spans="1:7" ht="15.75" thickBot="1">
      <c r="A86" s="6">
        <v>85</v>
      </c>
      <c r="B86" s="6">
        <v>0.28789999999999999</v>
      </c>
      <c r="C86" s="6">
        <v>0.49</v>
      </c>
      <c r="D86" s="6">
        <v>0.25369999999999998</v>
      </c>
      <c r="E86" s="6">
        <v>15</v>
      </c>
      <c r="F86" s="6">
        <v>68</v>
      </c>
      <c r="G86" s="6">
        <v>83</v>
      </c>
    </row>
    <row r="87" spans="1:7" ht="15.75" thickBot="1">
      <c r="A87" s="6">
        <v>86</v>
      </c>
      <c r="B87" s="6">
        <v>0.2727</v>
      </c>
      <c r="C87" s="6">
        <v>0.48</v>
      </c>
      <c r="D87" s="6">
        <v>0.22389999999999999</v>
      </c>
      <c r="E87" s="6">
        <v>10</v>
      </c>
      <c r="F87" s="6">
        <v>202</v>
      </c>
      <c r="G87" s="6">
        <v>212</v>
      </c>
    </row>
    <row r="88" spans="1:7" ht="15.75" thickBot="1">
      <c r="A88" s="6">
        <v>87</v>
      </c>
      <c r="B88" s="6">
        <v>0.2576</v>
      </c>
      <c r="C88" s="6">
        <v>0.48</v>
      </c>
      <c r="D88" s="6">
        <v>0.19400000000000001</v>
      </c>
      <c r="E88" s="6">
        <v>3</v>
      </c>
      <c r="F88" s="6">
        <v>179</v>
      </c>
      <c r="G88" s="6">
        <v>182</v>
      </c>
    </row>
    <row r="89" spans="1:7" ht="15.75" thickBot="1">
      <c r="A89" s="6">
        <v>88</v>
      </c>
      <c r="B89" s="6">
        <v>0.2576</v>
      </c>
      <c r="C89" s="6">
        <v>0.48</v>
      </c>
      <c r="D89" s="6">
        <v>0.1045</v>
      </c>
      <c r="E89" s="6">
        <v>2</v>
      </c>
      <c r="F89" s="6">
        <v>110</v>
      </c>
      <c r="G89" s="6">
        <v>112</v>
      </c>
    </row>
    <row r="90" spans="1:7" ht="15.75" thickBot="1">
      <c r="A90" s="6">
        <v>89</v>
      </c>
      <c r="B90" s="6">
        <v>0.2576</v>
      </c>
      <c r="C90" s="6">
        <v>0.48</v>
      </c>
      <c r="D90" s="6">
        <v>0.1045</v>
      </c>
      <c r="E90" s="6">
        <v>1</v>
      </c>
      <c r="F90" s="6">
        <v>53</v>
      </c>
      <c r="G90" s="6">
        <v>54</v>
      </c>
    </row>
    <row r="91" spans="1:7" ht="15.75" thickBot="1">
      <c r="A91" s="6">
        <v>90</v>
      </c>
      <c r="B91" s="6">
        <v>0.2727</v>
      </c>
      <c r="C91" s="6">
        <v>0.64</v>
      </c>
      <c r="D91" s="6">
        <v>0</v>
      </c>
      <c r="E91" s="6">
        <v>0</v>
      </c>
      <c r="F91" s="6">
        <v>48</v>
      </c>
      <c r="G91" s="6">
        <v>48</v>
      </c>
    </row>
    <row r="92" spans="1:7" ht="15.75" thickBot="1">
      <c r="A92" s="6">
        <v>91</v>
      </c>
      <c r="B92" s="6">
        <v>0.2576</v>
      </c>
      <c r="C92" s="6">
        <v>0.64</v>
      </c>
      <c r="D92" s="6">
        <v>8.9599999999999999E-2</v>
      </c>
      <c r="E92" s="6">
        <v>1</v>
      </c>
      <c r="F92" s="6">
        <v>34</v>
      </c>
      <c r="G92" s="6">
        <v>35</v>
      </c>
    </row>
    <row r="93" spans="1:7" ht="15.75" thickBot="1">
      <c r="A93" s="6">
        <v>92</v>
      </c>
      <c r="B93" s="6">
        <v>0.2273</v>
      </c>
      <c r="C93" s="6">
        <v>0.69</v>
      </c>
      <c r="D93" s="6">
        <v>8.9599999999999999E-2</v>
      </c>
      <c r="E93" s="6">
        <v>2</v>
      </c>
      <c r="F93" s="6">
        <v>9</v>
      </c>
      <c r="G93" s="6">
        <v>11</v>
      </c>
    </row>
    <row r="94" spans="1:7" ht="15.75" thickBot="1">
      <c r="A94" s="6">
        <v>93</v>
      </c>
      <c r="B94" s="6">
        <v>0.2576</v>
      </c>
      <c r="C94" s="6">
        <v>0.64</v>
      </c>
      <c r="D94" s="6">
        <v>0</v>
      </c>
      <c r="E94" s="6">
        <v>0</v>
      </c>
      <c r="F94" s="6">
        <v>6</v>
      </c>
      <c r="G94" s="6">
        <v>6</v>
      </c>
    </row>
    <row r="95" spans="1:7" ht="15.75" thickBot="1">
      <c r="A95" s="6">
        <v>94</v>
      </c>
      <c r="B95" s="6">
        <v>0.19700000000000001</v>
      </c>
      <c r="C95" s="6">
        <v>0.74</v>
      </c>
      <c r="D95" s="6">
        <v>8.9599999999999999E-2</v>
      </c>
      <c r="E95" s="6">
        <v>0</v>
      </c>
      <c r="F95" s="6">
        <v>6</v>
      </c>
      <c r="G95" s="6">
        <v>6</v>
      </c>
    </row>
    <row r="96" spans="1:7" ht="15.75" thickBot="1">
      <c r="A96" s="6">
        <v>95</v>
      </c>
      <c r="B96" s="6">
        <v>0.19700000000000001</v>
      </c>
      <c r="C96" s="6">
        <v>0.74</v>
      </c>
      <c r="D96" s="6">
        <v>8.9599999999999999E-2</v>
      </c>
      <c r="E96" s="6">
        <v>0</v>
      </c>
      <c r="F96" s="6">
        <v>2</v>
      </c>
      <c r="G96" s="6">
        <v>2</v>
      </c>
    </row>
    <row r="97" spans="1:7" ht="15.75" thickBot="1">
      <c r="A97" s="6">
        <v>96</v>
      </c>
      <c r="B97" s="6">
        <v>0.2273</v>
      </c>
      <c r="C97" s="6">
        <v>0.48</v>
      </c>
      <c r="D97" s="6">
        <v>0.22389999999999999</v>
      </c>
      <c r="E97" s="6">
        <v>0</v>
      </c>
      <c r="F97" s="6">
        <v>2</v>
      </c>
      <c r="G97" s="6">
        <v>2</v>
      </c>
    </row>
    <row r="98" spans="1:7" ht="15.75" thickBot="1">
      <c r="A98" s="6">
        <v>97</v>
      </c>
      <c r="B98" s="6">
        <v>0.2273</v>
      </c>
      <c r="C98" s="6">
        <v>0.47</v>
      </c>
      <c r="D98" s="6">
        <v>0.16420000000000001</v>
      </c>
      <c r="E98" s="6">
        <v>0</v>
      </c>
      <c r="F98" s="6">
        <v>3</v>
      </c>
      <c r="G98" s="6">
        <v>3</v>
      </c>
    </row>
    <row r="99" spans="1:7" ht="15.75" thickBot="1">
      <c r="A99" s="6">
        <v>98</v>
      </c>
      <c r="B99" s="6">
        <v>0.19700000000000001</v>
      </c>
      <c r="C99" s="6">
        <v>0.47</v>
      </c>
      <c r="D99" s="6">
        <v>0.22389999999999999</v>
      </c>
      <c r="E99" s="6">
        <v>0</v>
      </c>
      <c r="F99" s="6">
        <v>33</v>
      </c>
      <c r="G99" s="6">
        <v>33</v>
      </c>
    </row>
    <row r="100" spans="1:7" ht="15.75" thickBot="1">
      <c r="A100" s="6">
        <v>99</v>
      </c>
      <c r="B100" s="6">
        <v>0.18179999999999999</v>
      </c>
      <c r="C100" s="6">
        <v>0.43</v>
      </c>
      <c r="D100" s="6">
        <v>0.19400000000000001</v>
      </c>
      <c r="E100" s="6">
        <v>1</v>
      </c>
      <c r="F100" s="6">
        <v>87</v>
      </c>
      <c r="G100" s="6">
        <v>88</v>
      </c>
    </row>
    <row r="101" spans="1:7" ht="15.75" thickBot="1">
      <c r="A101" s="6">
        <v>100</v>
      </c>
      <c r="B101" s="6">
        <v>0.18179999999999999</v>
      </c>
      <c r="C101" s="6">
        <v>0.4</v>
      </c>
      <c r="D101" s="6">
        <v>0.29849999999999999</v>
      </c>
      <c r="E101" s="6">
        <v>3</v>
      </c>
      <c r="F101" s="6">
        <v>192</v>
      </c>
      <c r="G101" s="6">
        <v>195</v>
      </c>
    </row>
    <row r="102" spans="1:7" ht="15.75" thickBot="1">
      <c r="A102" s="6">
        <v>101</v>
      </c>
      <c r="B102" s="6">
        <v>0.19700000000000001</v>
      </c>
      <c r="C102" s="6">
        <v>0.37</v>
      </c>
      <c r="D102" s="6">
        <v>0.32840000000000003</v>
      </c>
      <c r="E102" s="6">
        <v>6</v>
      </c>
      <c r="F102" s="6">
        <v>109</v>
      </c>
      <c r="G102" s="6">
        <v>115</v>
      </c>
    </row>
    <row r="103" spans="1:7" ht="15.75" thickBot="1">
      <c r="A103" s="6">
        <v>102</v>
      </c>
      <c r="B103" s="6">
        <v>0.19700000000000001</v>
      </c>
      <c r="C103" s="6">
        <v>0.37</v>
      </c>
      <c r="D103" s="6">
        <v>0.32840000000000003</v>
      </c>
      <c r="E103" s="6">
        <v>4</v>
      </c>
      <c r="F103" s="6">
        <v>53</v>
      </c>
      <c r="G103" s="6">
        <v>57</v>
      </c>
    </row>
    <row r="104" spans="1:7" ht="15.75" thickBot="1">
      <c r="A104" s="6">
        <v>103</v>
      </c>
      <c r="B104" s="6">
        <v>0.2273</v>
      </c>
      <c r="C104" s="6">
        <v>0.33</v>
      </c>
      <c r="D104" s="6">
        <v>0.32840000000000003</v>
      </c>
      <c r="E104" s="6">
        <v>12</v>
      </c>
      <c r="F104" s="6">
        <v>34</v>
      </c>
      <c r="G104" s="6">
        <v>46</v>
      </c>
    </row>
    <row r="105" spans="1:7" ht="15.75" thickBot="1">
      <c r="A105" s="6">
        <v>104</v>
      </c>
      <c r="B105" s="6">
        <v>0.2273</v>
      </c>
      <c r="C105" s="6">
        <v>0.33</v>
      </c>
      <c r="D105" s="6">
        <v>0.32840000000000003</v>
      </c>
      <c r="E105" s="6">
        <v>5</v>
      </c>
      <c r="F105" s="6">
        <v>74</v>
      </c>
      <c r="G105" s="6">
        <v>79</v>
      </c>
    </row>
    <row r="106" spans="1:7" ht="15.75" thickBot="1">
      <c r="A106" s="6">
        <v>105</v>
      </c>
      <c r="B106" s="6">
        <v>0.2576</v>
      </c>
      <c r="C106" s="6">
        <v>0.3</v>
      </c>
      <c r="D106" s="6">
        <v>0.29849999999999999</v>
      </c>
      <c r="E106" s="6">
        <v>6</v>
      </c>
      <c r="F106" s="6">
        <v>65</v>
      </c>
      <c r="G106" s="6">
        <v>71</v>
      </c>
    </row>
    <row r="107" spans="1:7" ht="15.75" thickBot="1">
      <c r="A107" s="6">
        <v>106</v>
      </c>
      <c r="B107" s="6">
        <v>0.28789999999999999</v>
      </c>
      <c r="C107" s="6">
        <v>0.28000000000000003</v>
      </c>
      <c r="D107" s="6">
        <v>0.19400000000000001</v>
      </c>
      <c r="E107" s="6">
        <v>10</v>
      </c>
      <c r="F107" s="6">
        <v>52</v>
      </c>
      <c r="G107" s="6">
        <v>62</v>
      </c>
    </row>
    <row r="108" spans="1:7" ht="15.75" thickBot="1">
      <c r="A108" s="6">
        <v>107</v>
      </c>
      <c r="B108" s="6">
        <v>0.28789999999999999</v>
      </c>
      <c r="C108" s="6">
        <v>0.28000000000000003</v>
      </c>
      <c r="D108" s="6">
        <v>0.19400000000000001</v>
      </c>
      <c r="E108" s="6">
        <v>7</v>
      </c>
      <c r="F108" s="6">
        <v>55</v>
      </c>
      <c r="G108" s="6">
        <v>62</v>
      </c>
    </row>
    <row r="109" spans="1:7" ht="15.75" thickBot="1">
      <c r="A109" s="6">
        <v>108</v>
      </c>
      <c r="B109" s="6">
        <v>0.31819999999999998</v>
      </c>
      <c r="C109" s="6">
        <v>0.28000000000000003</v>
      </c>
      <c r="D109" s="6">
        <v>8.9599999999999999E-2</v>
      </c>
      <c r="E109" s="6">
        <v>4</v>
      </c>
      <c r="F109" s="6">
        <v>85</v>
      </c>
      <c r="G109" s="6">
        <v>89</v>
      </c>
    </row>
    <row r="110" spans="1:7" ht="15.75" thickBot="1">
      <c r="A110" s="6">
        <v>109</v>
      </c>
      <c r="B110" s="6">
        <v>0.2273</v>
      </c>
      <c r="C110" s="6">
        <v>0.38</v>
      </c>
      <c r="D110" s="6">
        <v>0.19400000000000001</v>
      </c>
      <c r="E110" s="6">
        <v>4</v>
      </c>
      <c r="F110" s="6">
        <v>186</v>
      </c>
      <c r="G110" s="6">
        <v>190</v>
      </c>
    </row>
    <row r="111" spans="1:7" ht="15.75" thickBot="1">
      <c r="A111" s="6">
        <v>110</v>
      </c>
      <c r="B111" s="6">
        <v>0.2424</v>
      </c>
      <c r="C111" s="6">
        <v>0.38</v>
      </c>
      <c r="D111" s="6">
        <v>0.1343</v>
      </c>
      <c r="E111" s="6">
        <v>3</v>
      </c>
      <c r="F111" s="6">
        <v>166</v>
      </c>
      <c r="G111" s="6">
        <v>169</v>
      </c>
    </row>
    <row r="112" spans="1:7" ht="15.75" thickBot="1">
      <c r="A112" s="6">
        <v>111</v>
      </c>
      <c r="B112" s="6">
        <v>0.2576</v>
      </c>
      <c r="C112" s="6">
        <v>0.38</v>
      </c>
      <c r="D112" s="6">
        <v>0.1045</v>
      </c>
      <c r="E112" s="6">
        <v>5</v>
      </c>
      <c r="F112" s="6">
        <v>127</v>
      </c>
      <c r="G112" s="6">
        <v>132</v>
      </c>
    </row>
    <row r="113" spans="1:7" ht="15.75" thickBot="1">
      <c r="A113" s="6">
        <v>112</v>
      </c>
      <c r="B113" s="6">
        <v>0.2273</v>
      </c>
      <c r="C113" s="6">
        <v>0.47</v>
      </c>
      <c r="D113" s="6">
        <v>0.16420000000000001</v>
      </c>
      <c r="E113" s="6">
        <v>7</v>
      </c>
      <c r="F113" s="6">
        <v>82</v>
      </c>
      <c r="G113" s="6">
        <v>89</v>
      </c>
    </row>
    <row r="114" spans="1:7" ht="15.75" thickBot="1">
      <c r="A114" s="6">
        <v>113</v>
      </c>
      <c r="B114" s="6">
        <v>0.19700000000000001</v>
      </c>
      <c r="C114" s="6">
        <v>0.51</v>
      </c>
      <c r="D114" s="6">
        <v>0.19400000000000001</v>
      </c>
      <c r="E114" s="6">
        <v>3</v>
      </c>
      <c r="F114" s="6">
        <v>40</v>
      </c>
      <c r="G114" s="6">
        <v>43</v>
      </c>
    </row>
    <row r="115" spans="1:7" ht="15.75" thickBot="1">
      <c r="A115" s="6">
        <v>114</v>
      </c>
      <c r="B115" s="6">
        <v>0.19700000000000001</v>
      </c>
      <c r="C115" s="6">
        <v>0.55000000000000004</v>
      </c>
      <c r="D115" s="6">
        <v>0.1343</v>
      </c>
      <c r="E115" s="6">
        <v>1</v>
      </c>
      <c r="F115" s="6">
        <v>41</v>
      </c>
      <c r="G115" s="6">
        <v>42</v>
      </c>
    </row>
    <row r="116" spans="1:7" ht="15.75" thickBot="1">
      <c r="A116" s="6">
        <v>115</v>
      </c>
      <c r="B116" s="6">
        <v>0.2576</v>
      </c>
      <c r="C116" s="6">
        <v>0.47</v>
      </c>
      <c r="D116" s="6">
        <v>0</v>
      </c>
      <c r="E116" s="6">
        <v>1</v>
      </c>
      <c r="F116" s="6">
        <v>18</v>
      </c>
      <c r="G116" s="6">
        <v>19</v>
      </c>
    </row>
    <row r="117" spans="1:7" ht="15.75" thickBot="1">
      <c r="A117" s="6">
        <v>116</v>
      </c>
      <c r="B117" s="6">
        <v>0.2424</v>
      </c>
      <c r="C117" s="6">
        <v>0.55000000000000004</v>
      </c>
      <c r="D117" s="6">
        <v>0</v>
      </c>
      <c r="E117" s="6">
        <v>0</v>
      </c>
      <c r="F117" s="6">
        <v>11</v>
      </c>
      <c r="G117" s="6">
        <v>11</v>
      </c>
    </row>
    <row r="118" spans="1:7" ht="15.75" thickBot="1">
      <c r="A118" s="6">
        <v>117</v>
      </c>
      <c r="B118" s="6">
        <v>0.2273</v>
      </c>
      <c r="C118" s="6">
        <v>0.64</v>
      </c>
      <c r="D118" s="6">
        <v>0</v>
      </c>
      <c r="E118" s="6">
        <v>0</v>
      </c>
      <c r="F118" s="6">
        <v>4</v>
      </c>
      <c r="G118" s="6">
        <v>4</v>
      </c>
    </row>
    <row r="119" spans="1:7" ht="15.75" thickBot="1">
      <c r="A119" s="6">
        <v>118</v>
      </c>
      <c r="B119" s="6">
        <v>0.2273</v>
      </c>
      <c r="C119" s="6">
        <v>0.64</v>
      </c>
      <c r="D119" s="6">
        <v>0</v>
      </c>
      <c r="E119" s="6">
        <v>0</v>
      </c>
      <c r="F119" s="6">
        <v>2</v>
      </c>
      <c r="G119" s="6">
        <v>2</v>
      </c>
    </row>
    <row r="120" spans="1:7" ht="15.75" thickBot="1">
      <c r="A120" s="6">
        <v>119</v>
      </c>
      <c r="B120" s="6">
        <v>0.19700000000000001</v>
      </c>
      <c r="C120" s="6">
        <v>0.64</v>
      </c>
      <c r="D120" s="6">
        <v>8.9599999999999999E-2</v>
      </c>
      <c r="E120" s="6">
        <v>0</v>
      </c>
      <c r="F120" s="6">
        <v>1</v>
      </c>
      <c r="G120" s="6">
        <v>1</v>
      </c>
    </row>
    <row r="121" spans="1:7" ht="15.75" thickBot="1">
      <c r="A121" s="6">
        <v>120</v>
      </c>
      <c r="B121" s="6">
        <v>0.18179999999999999</v>
      </c>
      <c r="C121" s="6">
        <v>0.69</v>
      </c>
      <c r="D121" s="6">
        <v>8.9599999999999999E-2</v>
      </c>
      <c r="E121" s="6">
        <v>0</v>
      </c>
      <c r="F121" s="6">
        <v>4</v>
      </c>
      <c r="G121" s="6">
        <v>4</v>
      </c>
    </row>
    <row r="122" spans="1:7" ht="15.75" thickBot="1">
      <c r="A122" s="6">
        <v>121</v>
      </c>
      <c r="B122" s="6">
        <v>0.16669999999999999</v>
      </c>
      <c r="C122" s="6">
        <v>0.63</v>
      </c>
      <c r="D122" s="6">
        <v>0.1045</v>
      </c>
      <c r="E122" s="6">
        <v>0</v>
      </c>
      <c r="F122" s="6">
        <v>36</v>
      </c>
      <c r="G122" s="6">
        <v>36</v>
      </c>
    </row>
    <row r="123" spans="1:7" ht="15.75" thickBot="1">
      <c r="A123" s="6">
        <v>122</v>
      </c>
      <c r="B123" s="6">
        <v>0.2273</v>
      </c>
      <c r="C123" s="6">
        <v>0.59</v>
      </c>
      <c r="D123" s="6">
        <v>0</v>
      </c>
      <c r="E123" s="6">
        <v>0</v>
      </c>
      <c r="F123" s="6">
        <v>95</v>
      </c>
      <c r="G123" s="6">
        <v>95</v>
      </c>
    </row>
    <row r="124" spans="1:7" ht="15.75" thickBot="1">
      <c r="A124" s="6">
        <v>123</v>
      </c>
      <c r="B124" s="6">
        <v>0.2273</v>
      </c>
      <c r="C124" s="6">
        <v>0.59</v>
      </c>
      <c r="D124" s="6">
        <v>0</v>
      </c>
      <c r="E124" s="6">
        <v>3</v>
      </c>
      <c r="F124" s="6">
        <v>216</v>
      </c>
      <c r="G124" s="6">
        <v>219</v>
      </c>
    </row>
    <row r="125" spans="1:7" ht="15.75" thickBot="1">
      <c r="A125" s="6">
        <v>124</v>
      </c>
      <c r="B125" s="6">
        <v>0.2424</v>
      </c>
      <c r="C125" s="6">
        <v>0.51</v>
      </c>
      <c r="D125" s="6">
        <v>0</v>
      </c>
      <c r="E125" s="6">
        <v>6</v>
      </c>
      <c r="F125" s="6">
        <v>116</v>
      </c>
      <c r="G125" s="6">
        <v>122</v>
      </c>
    </row>
    <row r="126" spans="1:7" ht="15.75" thickBot="1">
      <c r="A126" s="6">
        <v>125</v>
      </c>
      <c r="B126" s="6">
        <v>0.2576</v>
      </c>
      <c r="C126" s="6">
        <v>0.47</v>
      </c>
      <c r="D126" s="6">
        <v>0</v>
      </c>
      <c r="E126" s="6">
        <v>3</v>
      </c>
      <c r="F126" s="6">
        <v>42</v>
      </c>
      <c r="G126" s="6">
        <v>45</v>
      </c>
    </row>
    <row r="127" spans="1:7" ht="15.75" thickBot="1">
      <c r="A127" s="6">
        <v>126</v>
      </c>
      <c r="B127" s="6">
        <v>0.2576</v>
      </c>
      <c r="C127" s="6">
        <v>0.44</v>
      </c>
      <c r="D127" s="6">
        <v>8.9599999999999999E-2</v>
      </c>
      <c r="E127" s="6">
        <v>2</v>
      </c>
      <c r="F127" s="6">
        <v>57</v>
      </c>
      <c r="G127" s="6">
        <v>59</v>
      </c>
    </row>
    <row r="128" spans="1:7" ht="15.75" thickBot="1">
      <c r="A128" s="6">
        <v>127</v>
      </c>
      <c r="B128" s="6">
        <v>0.28789999999999999</v>
      </c>
      <c r="C128" s="6">
        <v>0.35</v>
      </c>
      <c r="D128" s="6">
        <v>0</v>
      </c>
      <c r="E128" s="6">
        <v>6</v>
      </c>
      <c r="F128" s="6">
        <v>78</v>
      </c>
      <c r="G128" s="6">
        <v>84</v>
      </c>
    </row>
    <row r="129" spans="1:7" ht="15.75" thickBot="1">
      <c r="A129" s="6">
        <v>128</v>
      </c>
      <c r="B129" s="6">
        <v>0.2727</v>
      </c>
      <c r="C129" s="6">
        <v>0.35</v>
      </c>
      <c r="D129" s="6">
        <v>0.1045</v>
      </c>
      <c r="E129" s="6">
        <v>12</v>
      </c>
      <c r="F129" s="6">
        <v>55</v>
      </c>
      <c r="G129" s="6">
        <v>67</v>
      </c>
    </row>
    <row r="130" spans="1:7" ht="15.75" thickBot="1">
      <c r="A130" s="6">
        <v>129</v>
      </c>
      <c r="B130" s="6">
        <v>0.2727</v>
      </c>
      <c r="C130" s="6">
        <v>0.36</v>
      </c>
      <c r="D130" s="6">
        <v>0.16420000000000001</v>
      </c>
      <c r="E130" s="6">
        <v>11</v>
      </c>
      <c r="F130" s="6">
        <v>59</v>
      </c>
      <c r="G130" s="6">
        <v>70</v>
      </c>
    </row>
    <row r="131" spans="1:7" ht="15.75" thickBot="1">
      <c r="A131" s="6">
        <v>130</v>
      </c>
      <c r="B131" s="6">
        <v>0.2727</v>
      </c>
      <c r="C131" s="6">
        <v>0.36</v>
      </c>
      <c r="D131" s="6">
        <v>0</v>
      </c>
      <c r="E131" s="6">
        <v>8</v>
      </c>
      <c r="F131" s="6">
        <v>54</v>
      </c>
      <c r="G131" s="6">
        <v>62</v>
      </c>
    </row>
    <row r="132" spans="1:7" ht="15.75" thickBot="1">
      <c r="A132" s="6">
        <v>131</v>
      </c>
      <c r="B132" s="6">
        <v>0.2576</v>
      </c>
      <c r="C132" s="6">
        <v>0.38</v>
      </c>
      <c r="D132" s="6">
        <v>0.16420000000000001</v>
      </c>
      <c r="E132" s="6">
        <v>12</v>
      </c>
      <c r="F132" s="6">
        <v>74</v>
      </c>
      <c r="G132" s="6">
        <v>86</v>
      </c>
    </row>
    <row r="133" spans="1:7" ht="15.75" thickBot="1">
      <c r="A133" s="6">
        <v>132</v>
      </c>
      <c r="B133" s="6">
        <v>0.2273</v>
      </c>
      <c r="C133" s="6">
        <v>0.51</v>
      </c>
      <c r="D133" s="6">
        <v>0.16420000000000001</v>
      </c>
      <c r="E133" s="6">
        <v>9</v>
      </c>
      <c r="F133" s="6">
        <v>163</v>
      </c>
      <c r="G133" s="6">
        <v>172</v>
      </c>
    </row>
    <row r="134" spans="1:7" ht="15.75" thickBot="1">
      <c r="A134" s="6">
        <v>133</v>
      </c>
      <c r="B134" s="6">
        <v>0.2273</v>
      </c>
      <c r="C134" s="6">
        <v>0.51</v>
      </c>
      <c r="D134" s="6">
        <v>0.1343</v>
      </c>
      <c r="E134" s="6">
        <v>5</v>
      </c>
      <c r="F134" s="6">
        <v>158</v>
      </c>
      <c r="G134" s="6">
        <v>163</v>
      </c>
    </row>
    <row r="135" spans="1:7" ht="15.75" thickBot="1">
      <c r="A135" s="6">
        <v>134</v>
      </c>
      <c r="B135" s="6">
        <v>0.2576</v>
      </c>
      <c r="C135" s="6">
        <v>0.55000000000000004</v>
      </c>
      <c r="D135" s="6">
        <v>8.9599999999999999E-2</v>
      </c>
      <c r="E135" s="6">
        <v>3</v>
      </c>
      <c r="F135" s="6">
        <v>109</v>
      </c>
      <c r="G135" s="6">
        <v>112</v>
      </c>
    </row>
    <row r="136" spans="1:7" ht="15.75" thickBot="1">
      <c r="A136" s="6">
        <v>135</v>
      </c>
      <c r="B136" s="6">
        <v>0.21210000000000001</v>
      </c>
      <c r="C136" s="6">
        <v>0.51</v>
      </c>
      <c r="D136" s="6">
        <v>0.16420000000000001</v>
      </c>
      <c r="E136" s="6">
        <v>3</v>
      </c>
      <c r="F136" s="6">
        <v>66</v>
      </c>
      <c r="G136" s="6">
        <v>69</v>
      </c>
    </row>
    <row r="137" spans="1:7" ht="15.75" thickBot="1">
      <c r="A137" s="6">
        <v>136</v>
      </c>
      <c r="B137" s="6">
        <v>0.21210000000000001</v>
      </c>
      <c r="C137" s="6">
        <v>0.55000000000000004</v>
      </c>
      <c r="D137" s="6">
        <v>0.22389999999999999</v>
      </c>
      <c r="E137" s="6">
        <v>0</v>
      </c>
      <c r="F137" s="6">
        <v>48</v>
      </c>
      <c r="G137" s="6">
        <v>48</v>
      </c>
    </row>
    <row r="138" spans="1:7" ht="15.75" thickBot="1">
      <c r="A138" s="6">
        <v>137</v>
      </c>
      <c r="B138" s="6">
        <v>0.21210000000000001</v>
      </c>
      <c r="C138" s="6">
        <v>0.51</v>
      </c>
      <c r="D138" s="6">
        <v>0.28360000000000002</v>
      </c>
      <c r="E138" s="6">
        <v>1</v>
      </c>
      <c r="F138" s="6">
        <v>51</v>
      </c>
      <c r="G138" s="6">
        <v>52</v>
      </c>
    </row>
    <row r="139" spans="1:7" ht="15.75" thickBot="1">
      <c r="A139" s="6">
        <v>138</v>
      </c>
      <c r="B139" s="6">
        <v>0.19700000000000001</v>
      </c>
      <c r="C139" s="6">
        <v>0.59</v>
      </c>
      <c r="D139" s="6">
        <v>0.19400000000000001</v>
      </c>
      <c r="E139" s="6">
        <v>4</v>
      </c>
      <c r="F139" s="6">
        <v>19</v>
      </c>
      <c r="G139" s="6">
        <v>23</v>
      </c>
    </row>
    <row r="140" spans="1:7" ht="15.75" thickBot="1">
      <c r="A140" s="6">
        <v>139</v>
      </c>
      <c r="B140" s="6">
        <v>0.19700000000000001</v>
      </c>
      <c r="C140" s="6">
        <v>0.64</v>
      </c>
      <c r="D140" s="6">
        <v>0.19400000000000001</v>
      </c>
      <c r="E140" s="6">
        <v>4</v>
      </c>
      <c r="F140" s="6">
        <v>13</v>
      </c>
      <c r="G140" s="6">
        <v>17</v>
      </c>
    </row>
    <row r="141" spans="1:7" ht="15.75" thickBot="1">
      <c r="A141" s="6">
        <v>140</v>
      </c>
      <c r="B141" s="6">
        <v>0.19700000000000001</v>
      </c>
      <c r="C141" s="6">
        <v>0.69</v>
      </c>
      <c r="D141" s="6">
        <v>0.22389999999999999</v>
      </c>
      <c r="E141" s="6">
        <v>2</v>
      </c>
      <c r="F141" s="6">
        <v>5</v>
      </c>
      <c r="G141" s="6">
        <v>7</v>
      </c>
    </row>
    <row r="142" spans="1:7" ht="15.75" thickBot="1">
      <c r="A142" s="6">
        <v>141</v>
      </c>
      <c r="B142" s="6">
        <v>0.19700000000000001</v>
      </c>
      <c r="C142" s="6">
        <v>0.69</v>
      </c>
      <c r="D142" s="6">
        <v>0.22389999999999999</v>
      </c>
      <c r="E142" s="6">
        <v>0</v>
      </c>
      <c r="F142" s="6">
        <v>1</v>
      </c>
      <c r="G142" s="6">
        <v>1</v>
      </c>
    </row>
    <row r="143" spans="1:7" ht="15.75" thickBot="1">
      <c r="A143" s="6">
        <v>142</v>
      </c>
      <c r="B143" s="6">
        <v>0.21210000000000001</v>
      </c>
      <c r="C143" s="6">
        <v>0.69</v>
      </c>
      <c r="D143" s="6">
        <v>0.1343</v>
      </c>
      <c r="E143" s="6">
        <v>0</v>
      </c>
      <c r="F143" s="6">
        <v>1</v>
      </c>
      <c r="G143" s="6">
        <v>1</v>
      </c>
    </row>
    <row r="144" spans="1:7" ht="15.75" thickBot="1">
      <c r="A144" s="6">
        <v>143</v>
      </c>
      <c r="B144" s="6">
        <v>0.2727</v>
      </c>
      <c r="C144" s="6">
        <v>0.55000000000000004</v>
      </c>
      <c r="D144" s="6">
        <v>0</v>
      </c>
      <c r="E144" s="6">
        <v>0</v>
      </c>
      <c r="F144" s="6">
        <v>5</v>
      </c>
      <c r="G144" s="6">
        <v>5</v>
      </c>
    </row>
    <row r="145" spans="1:7" ht="15.75" thickBot="1">
      <c r="A145" s="6">
        <v>144</v>
      </c>
      <c r="B145" s="6">
        <v>0.2576</v>
      </c>
      <c r="C145" s="6">
        <v>0.69</v>
      </c>
      <c r="D145" s="6">
        <v>0</v>
      </c>
      <c r="E145" s="6">
        <v>8</v>
      </c>
      <c r="F145" s="6">
        <v>26</v>
      </c>
      <c r="G145" s="6">
        <v>34</v>
      </c>
    </row>
    <row r="146" spans="1:7" ht="15.75" thickBot="1">
      <c r="A146" s="6">
        <v>145</v>
      </c>
      <c r="B146" s="6">
        <v>0.21210000000000001</v>
      </c>
      <c r="C146" s="6">
        <v>0.69</v>
      </c>
      <c r="D146" s="6">
        <v>0.1343</v>
      </c>
      <c r="E146" s="6">
        <v>8</v>
      </c>
      <c r="F146" s="6">
        <v>76</v>
      </c>
      <c r="G146" s="6">
        <v>84</v>
      </c>
    </row>
    <row r="147" spans="1:7" ht="15.75" thickBot="1">
      <c r="A147" s="6">
        <v>146</v>
      </c>
      <c r="B147" s="6">
        <v>0.19700000000000001</v>
      </c>
      <c r="C147" s="6">
        <v>0.51</v>
      </c>
      <c r="D147" s="6">
        <v>0.25369999999999998</v>
      </c>
      <c r="E147" s="6">
        <v>20</v>
      </c>
      <c r="F147" s="6">
        <v>190</v>
      </c>
      <c r="G147" s="6">
        <v>210</v>
      </c>
    </row>
    <row r="148" spans="1:7" ht="15.75" thickBot="1">
      <c r="A148" s="6">
        <v>147</v>
      </c>
      <c r="B148" s="6">
        <v>0.18179999999999999</v>
      </c>
      <c r="C148" s="6">
        <v>0.47</v>
      </c>
      <c r="D148" s="6">
        <v>0.29849999999999999</v>
      </c>
      <c r="E148" s="6">
        <v>9</v>
      </c>
      <c r="F148" s="6">
        <v>125</v>
      </c>
      <c r="G148" s="6">
        <v>134</v>
      </c>
    </row>
    <row r="149" spans="1:7" ht="15.75" thickBot="1">
      <c r="A149" s="6">
        <v>148</v>
      </c>
      <c r="B149" s="6">
        <v>0.19700000000000001</v>
      </c>
      <c r="C149" s="6">
        <v>0.37</v>
      </c>
      <c r="D149" s="6">
        <v>0.32840000000000003</v>
      </c>
      <c r="E149" s="6">
        <v>16</v>
      </c>
      <c r="F149" s="6">
        <v>47</v>
      </c>
      <c r="G149" s="6">
        <v>63</v>
      </c>
    </row>
    <row r="150" spans="1:7" ht="15.75" thickBot="1">
      <c r="A150" s="6">
        <v>149</v>
      </c>
      <c r="B150" s="6">
        <v>0.19700000000000001</v>
      </c>
      <c r="C150" s="6">
        <v>0.4</v>
      </c>
      <c r="D150" s="6">
        <v>0.22389999999999999</v>
      </c>
      <c r="E150" s="6">
        <v>19</v>
      </c>
      <c r="F150" s="6">
        <v>48</v>
      </c>
      <c r="G150" s="6">
        <v>67</v>
      </c>
    </row>
    <row r="151" spans="1:7" ht="15.75" thickBot="1">
      <c r="A151" s="6">
        <v>150</v>
      </c>
      <c r="B151" s="6">
        <v>0.19700000000000001</v>
      </c>
      <c r="C151" s="6">
        <v>0.37</v>
      </c>
      <c r="D151" s="6">
        <v>0.25369999999999998</v>
      </c>
      <c r="E151" s="6">
        <v>9</v>
      </c>
      <c r="F151" s="6">
        <v>50</v>
      </c>
      <c r="G151" s="6">
        <v>59</v>
      </c>
    </row>
    <row r="152" spans="1:7" ht="15.75" thickBot="1">
      <c r="A152" s="6">
        <v>151</v>
      </c>
      <c r="B152" s="6">
        <v>0.18179999999999999</v>
      </c>
      <c r="C152" s="6">
        <v>0.37</v>
      </c>
      <c r="D152" s="6">
        <v>0.28360000000000002</v>
      </c>
      <c r="E152" s="6">
        <v>9</v>
      </c>
      <c r="F152" s="6">
        <v>64</v>
      </c>
      <c r="G152" s="6">
        <v>73</v>
      </c>
    </row>
    <row r="153" spans="1:7" ht="15.75" thickBot="1">
      <c r="A153" s="6">
        <v>152</v>
      </c>
      <c r="B153" s="6">
        <v>0.19700000000000001</v>
      </c>
      <c r="C153" s="6">
        <v>0.4</v>
      </c>
      <c r="D153" s="6">
        <v>0.25369999999999998</v>
      </c>
      <c r="E153" s="6">
        <v>7</v>
      </c>
      <c r="F153" s="6">
        <v>43</v>
      </c>
      <c r="G153" s="6">
        <v>50</v>
      </c>
    </row>
    <row r="154" spans="1:7" ht="15.75" thickBot="1">
      <c r="A154" s="6">
        <v>153</v>
      </c>
      <c r="B154" s="6">
        <v>0.21210000000000001</v>
      </c>
      <c r="C154" s="6">
        <v>0.37</v>
      </c>
      <c r="D154" s="6">
        <v>0.16420000000000001</v>
      </c>
      <c r="E154" s="6">
        <v>9</v>
      </c>
      <c r="F154" s="6">
        <v>63</v>
      </c>
      <c r="G154" s="6">
        <v>72</v>
      </c>
    </row>
    <row r="155" spans="1:7" ht="15.75" thickBot="1">
      <c r="A155" s="6">
        <v>154</v>
      </c>
      <c r="B155" s="6">
        <v>0.21210000000000001</v>
      </c>
      <c r="C155" s="6">
        <v>0.37</v>
      </c>
      <c r="D155" s="6">
        <v>0.16420000000000001</v>
      </c>
      <c r="E155" s="6">
        <v>5</v>
      </c>
      <c r="F155" s="6">
        <v>82</v>
      </c>
      <c r="G155" s="6">
        <v>87</v>
      </c>
    </row>
    <row r="156" spans="1:7" ht="15.75" thickBot="1">
      <c r="A156" s="6">
        <v>155</v>
      </c>
      <c r="B156" s="6">
        <v>0.2576</v>
      </c>
      <c r="C156" s="6">
        <v>0.37</v>
      </c>
      <c r="D156" s="6">
        <v>0</v>
      </c>
      <c r="E156" s="6">
        <v>9</v>
      </c>
      <c r="F156" s="6">
        <v>178</v>
      </c>
      <c r="G156" s="6">
        <v>187</v>
      </c>
    </row>
    <row r="157" spans="1:7" ht="15.75" thickBot="1">
      <c r="A157" s="6">
        <v>156</v>
      </c>
      <c r="B157" s="6">
        <v>0.2273</v>
      </c>
      <c r="C157" s="6">
        <v>0.4</v>
      </c>
      <c r="D157" s="6">
        <v>8.9599999999999999E-2</v>
      </c>
      <c r="E157" s="6">
        <v>7</v>
      </c>
      <c r="F157" s="6">
        <v>116</v>
      </c>
      <c r="G157" s="6">
        <v>123</v>
      </c>
    </row>
    <row r="158" spans="1:7" ht="15.75" thickBot="1">
      <c r="A158" s="6">
        <v>157</v>
      </c>
      <c r="B158" s="6">
        <v>0.19700000000000001</v>
      </c>
      <c r="C158" s="6">
        <v>0.55000000000000004</v>
      </c>
      <c r="D158" s="6">
        <v>8.9599999999999999E-2</v>
      </c>
      <c r="E158" s="6">
        <v>3</v>
      </c>
      <c r="F158" s="6">
        <v>92</v>
      </c>
      <c r="G158" s="6">
        <v>95</v>
      </c>
    </row>
    <row r="159" spans="1:7" ht="15.75" thickBot="1">
      <c r="A159" s="6">
        <v>158</v>
      </c>
      <c r="B159" s="6">
        <v>0.21210000000000001</v>
      </c>
      <c r="C159" s="6">
        <v>0.47</v>
      </c>
      <c r="D159" s="6">
        <v>0.1045</v>
      </c>
      <c r="E159" s="6">
        <v>1</v>
      </c>
      <c r="F159" s="6">
        <v>50</v>
      </c>
      <c r="G159" s="6">
        <v>51</v>
      </c>
    </row>
    <row r="160" spans="1:7" ht="15.75" thickBot="1">
      <c r="A160" s="6">
        <v>159</v>
      </c>
      <c r="B160" s="6">
        <v>0.19700000000000001</v>
      </c>
      <c r="C160" s="6">
        <v>0.47</v>
      </c>
      <c r="D160" s="6">
        <v>0.1343</v>
      </c>
      <c r="E160" s="6">
        <v>0</v>
      </c>
      <c r="F160" s="6">
        <v>39</v>
      </c>
      <c r="G160" s="6">
        <v>39</v>
      </c>
    </row>
    <row r="161" spans="1:7" ht="15.75" thickBot="1">
      <c r="A161" s="6">
        <v>160</v>
      </c>
      <c r="B161" s="6">
        <v>0.19700000000000001</v>
      </c>
      <c r="C161" s="6">
        <v>0.43</v>
      </c>
      <c r="D161" s="6">
        <v>0.16420000000000001</v>
      </c>
      <c r="E161" s="6">
        <v>2</v>
      </c>
      <c r="F161" s="6">
        <v>34</v>
      </c>
      <c r="G161" s="6">
        <v>36</v>
      </c>
    </row>
    <row r="162" spans="1:7" ht="15.75" thickBot="1">
      <c r="A162" s="6">
        <v>161</v>
      </c>
      <c r="B162" s="6">
        <v>0.19700000000000001</v>
      </c>
      <c r="C162" s="6">
        <v>0.51</v>
      </c>
      <c r="D162" s="6">
        <v>0.16420000000000001</v>
      </c>
      <c r="E162" s="6">
        <v>1</v>
      </c>
      <c r="F162" s="6">
        <v>14</v>
      </c>
      <c r="G162" s="6">
        <v>15</v>
      </c>
    </row>
    <row r="163" spans="1:7" ht="15.75" thickBot="1">
      <c r="A163" s="6">
        <v>162</v>
      </c>
      <c r="B163" s="6">
        <v>0.19700000000000001</v>
      </c>
      <c r="C163" s="6">
        <v>0.51</v>
      </c>
      <c r="D163" s="6">
        <v>0.16420000000000001</v>
      </c>
      <c r="E163" s="6">
        <v>1</v>
      </c>
      <c r="F163" s="6">
        <v>24</v>
      </c>
      <c r="G163" s="6">
        <v>25</v>
      </c>
    </row>
    <row r="164" spans="1:7" ht="15.75" thickBot="1">
      <c r="A164" s="6">
        <v>163</v>
      </c>
      <c r="B164" s="6">
        <v>0.21210000000000001</v>
      </c>
      <c r="C164" s="6">
        <v>0.55000000000000004</v>
      </c>
      <c r="D164" s="6">
        <v>8.9599999999999999E-2</v>
      </c>
      <c r="E164" s="6">
        <v>1</v>
      </c>
      <c r="F164" s="6">
        <v>15</v>
      </c>
      <c r="G164" s="6">
        <v>16</v>
      </c>
    </row>
    <row r="165" spans="1:7" ht="15.75" thickBot="1">
      <c r="A165" s="6">
        <v>164</v>
      </c>
      <c r="B165" s="6">
        <v>0.2424</v>
      </c>
      <c r="C165" s="6">
        <v>0.55000000000000004</v>
      </c>
      <c r="D165" s="6">
        <v>0</v>
      </c>
      <c r="E165" s="6">
        <v>3</v>
      </c>
      <c r="F165" s="6">
        <v>13</v>
      </c>
      <c r="G165" s="6">
        <v>16</v>
      </c>
    </row>
    <row r="166" spans="1:7" ht="15.75" thickBot="1">
      <c r="A166" s="6">
        <v>165</v>
      </c>
      <c r="B166" s="6">
        <v>0.19700000000000001</v>
      </c>
      <c r="C166" s="6">
        <v>0.55000000000000004</v>
      </c>
      <c r="D166" s="6">
        <v>0.16420000000000001</v>
      </c>
      <c r="E166" s="6">
        <v>0</v>
      </c>
      <c r="F166" s="6">
        <v>7</v>
      </c>
      <c r="G166" s="6">
        <v>7</v>
      </c>
    </row>
    <row r="167" spans="1:7" ht="15.75" thickBot="1">
      <c r="A167" s="6">
        <v>166</v>
      </c>
      <c r="B167" s="6">
        <v>0.19700000000000001</v>
      </c>
      <c r="C167" s="6">
        <v>0.55000000000000004</v>
      </c>
      <c r="D167" s="6">
        <v>0.16420000000000001</v>
      </c>
      <c r="E167" s="6">
        <v>0</v>
      </c>
      <c r="F167" s="6">
        <v>1</v>
      </c>
      <c r="G167" s="6">
        <v>1</v>
      </c>
    </row>
    <row r="168" spans="1:7" ht="15.75" thickBot="1">
      <c r="A168" s="6">
        <v>167</v>
      </c>
      <c r="B168" s="6">
        <v>0.16669999999999999</v>
      </c>
      <c r="C168" s="6">
        <v>0.74</v>
      </c>
      <c r="D168" s="6">
        <v>0.16420000000000001</v>
      </c>
      <c r="E168" s="6">
        <v>0</v>
      </c>
      <c r="F168" s="6">
        <v>5</v>
      </c>
      <c r="G168" s="6">
        <v>5</v>
      </c>
    </row>
    <row r="169" spans="1:7" ht="15.75" thickBot="1">
      <c r="A169" s="6">
        <v>168</v>
      </c>
      <c r="B169" s="6">
        <v>0.16669999999999999</v>
      </c>
      <c r="C169" s="6">
        <v>0.74</v>
      </c>
      <c r="D169" s="6">
        <v>0.16420000000000001</v>
      </c>
      <c r="E169" s="6">
        <v>0</v>
      </c>
      <c r="F169" s="6">
        <v>2</v>
      </c>
      <c r="G169" s="6">
        <v>2</v>
      </c>
    </row>
    <row r="170" spans="1:7" ht="15.75" thickBot="1">
      <c r="A170" s="6">
        <v>169</v>
      </c>
      <c r="B170" s="6">
        <v>0.18179999999999999</v>
      </c>
      <c r="C170" s="6">
        <v>0.74</v>
      </c>
      <c r="D170" s="6">
        <v>0.1045</v>
      </c>
      <c r="E170" s="6">
        <v>1</v>
      </c>
      <c r="F170" s="6">
        <v>8</v>
      </c>
      <c r="G170" s="6">
        <v>9</v>
      </c>
    </row>
    <row r="171" spans="1:7" ht="15.75" thickBot="1">
      <c r="A171" s="6">
        <v>170</v>
      </c>
      <c r="B171" s="6">
        <v>0.18179999999999999</v>
      </c>
      <c r="C171" s="6">
        <v>0.93</v>
      </c>
      <c r="D171" s="6">
        <v>0.1045</v>
      </c>
      <c r="E171" s="6">
        <v>0</v>
      </c>
      <c r="F171" s="6">
        <v>15</v>
      </c>
      <c r="G171" s="6">
        <v>15</v>
      </c>
    </row>
    <row r="172" spans="1:7" ht="15.75" thickBot="1">
      <c r="A172" s="6">
        <v>171</v>
      </c>
      <c r="B172" s="6">
        <v>0.18179999999999999</v>
      </c>
      <c r="C172" s="6">
        <v>0.93</v>
      </c>
      <c r="D172" s="6">
        <v>0.1045</v>
      </c>
      <c r="E172" s="6">
        <v>0</v>
      </c>
      <c r="F172" s="6">
        <v>20</v>
      </c>
      <c r="G172" s="6">
        <v>20</v>
      </c>
    </row>
    <row r="173" spans="1:7" ht="15.75" thickBot="1">
      <c r="A173" s="6">
        <v>172</v>
      </c>
      <c r="B173" s="6">
        <v>0.19700000000000001</v>
      </c>
      <c r="C173" s="6">
        <v>0.8</v>
      </c>
      <c r="D173" s="6">
        <v>0.16420000000000001</v>
      </c>
      <c r="E173" s="6">
        <v>5</v>
      </c>
      <c r="F173" s="6">
        <v>56</v>
      </c>
      <c r="G173" s="6">
        <v>61</v>
      </c>
    </row>
    <row r="174" spans="1:7" ht="15.75" thickBot="1">
      <c r="A174" s="6">
        <v>173</v>
      </c>
      <c r="B174" s="6">
        <v>0.18179999999999999</v>
      </c>
      <c r="C174" s="6">
        <v>0.69</v>
      </c>
      <c r="D174" s="6">
        <v>0.3881</v>
      </c>
      <c r="E174" s="6">
        <v>2</v>
      </c>
      <c r="F174" s="6">
        <v>60</v>
      </c>
      <c r="G174" s="6">
        <v>62</v>
      </c>
    </row>
    <row r="175" spans="1:7" ht="15.75" thickBot="1">
      <c r="A175" s="6">
        <v>174</v>
      </c>
      <c r="B175" s="6">
        <v>0.18179999999999999</v>
      </c>
      <c r="C175" s="6">
        <v>0.59</v>
      </c>
      <c r="D175" s="6">
        <v>0.35820000000000002</v>
      </c>
      <c r="E175" s="6">
        <v>8</v>
      </c>
      <c r="F175" s="6">
        <v>90</v>
      </c>
      <c r="G175" s="6">
        <v>98</v>
      </c>
    </row>
    <row r="176" spans="1:7" ht="15.75" thickBot="1">
      <c r="A176" s="6">
        <v>175</v>
      </c>
      <c r="B176" s="6">
        <v>0.18179999999999999</v>
      </c>
      <c r="C176" s="6">
        <v>0.44</v>
      </c>
      <c r="D176" s="6">
        <v>0.32840000000000003</v>
      </c>
      <c r="E176" s="6">
        <v>7</v>
      </c>
      <c r="F176" s="6">
        <v>95</v>
      </c>
      <c r="G176" s="6">
        <v>102</v>
      </c>
    </row>
    <row r="177" spans="1:7" ht="15.75" thickBot="1">
      <c r="A177" s="6">
        <v>176</v>
      </c>
      <c r="B177" s="6">
        <v>0.16669999999999999</v>
      </c>
      <c r="C177" s="6">
        <v>0.32</v>
      </c>
      <c r="D177" s="6">
        <v>0.49249999999999999</v>
      </c>
      <c r="E177" s="6">
        <v>12</v>
      </c>
      <c r="F177" s="6">
        <v>83</v>
      </c>
      <c r="G177" s="6">
        <v>95</v>
      </c>
    </row>
    <row r="178" spans="1:7" ht="15.75" thickBot="1">
      <c r="A178" s="6">
        <v>177</v>
      </c>
      <c r="B178" s="6">
        <v>0.16669999999999999</v>
      </c>
      <c r="C178" s="6">
        <v>0.32</v>
      </c>
      <c r="D178" s="6">
        <v>0.44779999999999998</v>
      </c>
      <c r="E178" s="6">
        <v>5</v>
      </c>
      <c r="F178" s="6">
        <v>69</v>
      </c>
      <c r="G178" s="6">
        <v>74</v>
      </c>
    </row>
    <row r="179" spans="1:7" ht="15.75" thickBot="1">
      <c r="A179" s="6">
        <v>178</v>
      </c>
      <c r="B179" s="6">
        <v>0.13639999999999999</v>
      </c>
      <c r="C179" s="6">
        <v>0.28999999999999998</v>
      </c>
      <c r="D179" s="6">
        <v>0.44779999999999998</v>
      </c>
      <c r="E179" s="6">
        <v>8</v>
      </c>
      <c r="F179" s="6">
        <v>68</v>
      </c>
      <c r="G179" s="6">
        <v>76</v>
      </c>
    </row>
    <row r="180" spans="1:7" ht="15.75" thickBot="1">
      <c r="A180" s="6">
        <v>179</v>
      </c>
      <c r="B180" s="6">
        <v>0.1212</v>
      </c>
      <c r="C180" s="6">
        <v>0.37</v>
      </c>
      <c r="D180" s="6">
        <v>0.55220000000000002</v>
      </c>
      <c r="E180" s="6">
        <v>5</v>
      </c>
      <c r="F180" s="6">
        <v>64</v>
      </c>
      <c r="G180" s="6">
        <v>69</v>
      </c>
    </row>
    <row r="181" spans="1:7" ht="15.75" thickBot="1">
      <c r="A181" s="6">
        <v>180</v>
      </c>
      <c r="B181" s="6">
        <v>0.1212</v>
      </c>
      <c r="C181" s="6">
        <v>0.39</v>
      </c>
      <c r="D181" s="6">
        <v>0.29849999999999999</v>
      </c>
      <c r="E181" s="6">
        <v>3</v>
      </c>
      <c r="F181" s="6">
        <v>52</v>
      </c>
      <c r="G181" s="6">
        <v>55</v>
      </c>
    </row>
    <row r="182" spans="1:7" ht="15.75" thickBot="1">
      <c r="A182" s="6">
        <v>181</v>
      </c>
      <c r="B182" s="6">
        <v>0.1212</v>
      </c>
      <c r="C182" s="6">
        <v>0.36</v>
      </c>
      <c r="D182" s="6">
        <v>0.25369999999999998</v>
      </c>
      <c r="E182" s="6">
        <v>4</v>
      </c>
      <c r="F182" s="6">
        <v>26</v>
      </c>
      <c r="G182" s="6">
        <v>30</v>
      </c>
    </row>
    <row r="183" spans="1:7" ht="15.75" thickBot="1">
      <c r="A183" s="6">
        <v>182</v>
      </c>
      <c r="B183" s="6">
        <v>0.1212</v>
      </c>
      <c r="C183" s="6">
        <v>0.36</v>
      </c>
      <c r="D183" s="6">
        <v>0.25369999999999998</v>
      </c>
      <c r="E183" s="6">
        <v>0</v>
      </c>
      <c r="F183" s="6">
        <v>28</v>
      </c>
      <c r="G183" s="6">
        <v>28</v>
      </c>
    </row>
    <row r="184" spans="1:7" ht="15.75" thickBot="1">
      <c r="A184" s="6">
        <v>183</v>
      </c>
      <c r="B184" s="6">
        <v>0.1061</v>
      </c>
      <c r="C184" s="6">
        <v>0.39</v>
      </c>
      <c r="D184" s="6">
        <v>0.35820000000000002</v>
      </c>
      <c r="E184" s="6">
        <v>2</v>
      </c>
      <c r="F184" s="6">
        <v>35</v>
      </c>
      <c r="G184" s="6">
        <v>37</v>
      </c>
    </row>
    <row r="185" spans="1:7" ht="15.75" thickBot="1">
      <c r="A185" s="6">
        <v>184</v>
      </c>
      <c r="B185" s="6">
        <v>0.1061</v>
      </c>
      <c r="C185" s="6">
        <v>0.36</v>
      </c>
      <c r="D185" s="6">
        <v>0.3881</v>
      </c>
      <c r="E185" s="6">
        <v>1</v>
      </c>
      <c r="F185" s="6">
        <v>33</v>
      </c>
      <c r="G185" s="6">
        <v>34</v>
      </c>
    </row>
    <row r="186" spans="1:7" ht="15.75" thickBot="1">
      <c r="A186" s="6">
        <v>185</v>
      </c>
      <c r="B186" s="6">
        <v>6.0600000000000001E-2</v>
      </c>
      <c r="C186" s="6">
        <v>0.39</v>
      </c>
      <c r="D186" s="6">
        <v>0.44779999999999998</v>
      </c>
      <c r="E186" s="6">
        <v>0</v>
      </c>
      <c r="F186" s="6">
        <v>22</v>
      </c>
      <c r="G186" s="6">
        <v>22</v>
      </c>
    </row>
    <row r="187" spans="1:7" ht="15.75" thickBot="1">
      <c r="A187" s="6">
        <v>186</v>
      </c>
      <c r="B187" s="6">
        <v>7.5800000000000006E-2</v>
      </c>
      <c r="C187" s="6">
        <v>0.42</v>
      </c>
      <c r="D187" s="6">
        <v>0.3881</v>
      </c>
      <c r="E187" s="6">
        <v>1</v>
      </c>
      <c r="F187" s="6">
        <v>24</v>
      </c>
      <c r="G187" s="6">
        <v>25</v>
      </c>
    </row>
    <row r="188" spans="1:7" ht="15.75" thickBot="1">
      <c r="A188" s="6">
        <v>187</v>
      </c>
      <c r="B188" s="6">
        <v>6.0600000000000001E-2</v>
      </c>
      <c r="C188" s="6">
        <v>0.42</v>
      </c>
      <c r="D188" s="6">
        <v>0.4627</v>
      </c>
      <c r="E188" s="6">
        <v>0</v>
      </c>
      <c r="F188" s="6">
        <v>12</v>
      </c>
      <c r="G188" s="6">
        <v>12</v>
      </c>
    </row>
    <row r="189" spans="1:7" ht="15.75" thickBot="1">
      <c r="A189" s="6">
        <v>188</v>
      </c>
      <c r="B189" s="6">
        <v>6.0600000000000001E-2</v>
      </c>
      <c r="C189" s="6">
        <v>0.46</v>
      </c>
      <c r="D189" s="6">
        <v>0.4627</v>
      </c>
      <c r="E189" s="6">
        <v>0</v>
      </c>
      <c r="F189" s="6">
        <v>11</v>
      </c>
      <c r="G189" s="6">
        <v>11</v>
      </c>
    </row>
    <row r="190" spans="1:7" ht="15.75" thickBot="1">
      <c r="A190" s="6">
        <v>189</v>
      </c>
      <c r="B190" s="6">
        <v>7.5800000000000006E-2</v>
      </c>
      <c r="C190" s="6">
        <v>0.46</v>
      </c>
      <c r="D190" s="6">
        <v>0.41789999999999999</v>
      </c>
      <c r="E190" s="6">
        <v>0</v>
      </c>
      <c r="F190" s="6">
        <v>4</v>
      </c>
      <c r="G190" s="6">
        <v>4</v>
      </c>
    </row>
    <row r="191" spans="1:7" ht="15.75" thickBot="1">
      <c r="A191" s="6">
        <v>190</v>
      </c>
      <c r="B191" s="6">
        <v>9.0899999999999995E-2</v>
      </c>
      <c r="C191" s="6">
        <v>0.53</v>
      </c>
      <c r="D191" s="6">
        <v>0.19400000000000001</v>
      </c>
      <c r="E191" s="6">
        <v>0</v>
      </c>
      <c r="F191" s="6">
        <v>1</v>
      </c>
      <c r="G191" s="6">
        <v>1</v>
      </c>
    </row>
    <row r="192" spans="1:7" ht="15.75" thickBot="1">
      <c r="A192" s="6">
        <v>191</v>
      </c>
      <c r="B192" s="6">
        <v>9.0899999999999995E-2</v>
      </c>
      <c r="C192" s="6">
        <v>0.53</v>
      </c>
      <c r="D192" s="6">
        <v>0.19400000000000001</v>
      </c>
      <c r="E192" s="6">
        <v>0</v>
      </c>
      <c r="F192" s="6">
        <v>1</v>
      </c>
      <c r="G192" s="6">
        <v>1</v>
      </c>
    </row>
    <row r="193" spans="1:7" ht="15.75" thickBot="1">
      <c r="A193" s="6">
        <v>192</v>
      </c>
      <c r="B193" s="6">
        <v>9.0899999999999995E-2</v>
      </c>
      <c r="C193" s="6">
        <v>0.49</v>
      </c>
      <c r="D193" s="6">
        <v>0.28360000000000002</v>
      </c>
      <c r="E193" s="6">
        <v>0</v>
      </c>
      <c r="F193" s="6">
        <v>1</v>
      </c>
      <c r="G193" s="6">
        <v>1</v>
      </c>
    </row>
    <row r="194" spans="1:7" ht="15.75" thickBot="1">
      <c r="A194" s="6">
        <v>193</v>
      </c>
      <c r="B194" s="6">
        <v>9.0899999999999995E-2</v>
      </c>
      <c r="C194" s="6">
        <v>0.53</v>
      </c>
      <c r="D194" s="6">
        <v>0.19400000000000001</v>
      </c>
      <c r="E194" s="6">
        <v>1</v>
      </c>
      <c r="F194" s="6">
        <v>5</v>
      </c>
      <c r="G194" s="6">
        <v>6</v>
      </c>
    </row>
    <row r="195" spans="1:7" ht="15.75" thickBot="1">
      <c r="A195" s="6">
        <v>194</v>
      </c>
      <c r="B195" s="6">
        <v>9.0899999999999995E-2</v>
      </c>
      <c r="C195" s="6">
        <v>0.49</v>
      </c>
      <c r="D195" s="6">
        <v>0.28360000000000002</v>
      </c>
      <c r="E195" s="6">
        <v>0</v>
      </c>
      <c r="F195" s="6">
        <v>10</v>
      </c>
      <c r="G195" s="6">
        <v>10</v>
      </c>
    </row>
    <row r="196" spans="1:7" ht="15.75" thickBot="1">
      <c r="A196" s="6">
        <v>195</v>
      </c>
      <c r="B196" s="6">
        <v>7.5800000000000006E-2</v>
      </c>
      <c r="C196" s="6">
        <v>0.46</v>
      </c>
      <c r="D196" s="6">
        <v>0.52239999999999998</v>
      </c>
      <c r="E196" s="6">
        <v>0</v>
      </c>
      <c r="F196" s="6">
        <v>19</v>
      </c>
      <c r="G196" s="6">
        <v>19</v>
      </c>
    </row>
    <row r="197" spans="1:7" ht="15.75" thickBot="1">
      <c r="A197" s="6">
        <v>196</v>
      </c>
      <c r="B197" s="6">
        <v>0.1061</v>
      </c>
      <c r="C197" s="6">
        <v>0.43</v>
      </c>
      <c r="D197" s="6">
        <v>0.3881</v>
      </c>
      <c r="E197" s="6">
        <v>0</v>
      </c>
      <c r="F197" s="6">
        <v>49</v>
      </c>
      <c r="G197" s="6">
        <v>49</v>
      </c>
    </row>
    <row r="198" spans="1:7" ht="15.75" thickBot="1">
      <c r="A198" s="6">
        <v>197</v>
      </c>
      <c r="B198" s="6">
        <v>0.1212</v>
      </c>
      <c r="C198" s="6">
        <v>0.4</v>
      </c>
      <c r="D198" s="6">
        <v>0.52239999999999998</v>
      </c>
      <c r="E198" s="6">
        <v>2</v>
      </c>
      <c r="F198" s="6">
        <v>47</v>
      </c>
      <c r="G198" s="6">
        <v>49</v>
      </c>
    </row>
    <row r="199" spans="1:7" ht="15.75" thickBot="1">
      <c r="A199" s="6">
        <v>198</v>
      </c>
      <c r="B199" s="6">
        <v>0.13639999999999999</v>
      </c>
      <c r="C199" s="6">
        <v>0.37</v>
      </c>
      <c r="D199" s="6">
        <v>0.44779999999999998</v>
      </c>
      <c r="E199" s="6">
        <v>4</v>
      </c>
      <c r="F199" s="6">
        <v>79</v>
      </c>
      <c r="G199" s="6">
        <v>83</v>
      </c>
    </row>
    <row r="200" spans="1:7" ht="15.75" thickBot="1">
      <c r="A200" s="6">
        <v>199</v>
      </c>
      <c r="B200" s="6">
        <v>0.16669999999999999</v>
      </c>
      <c r="C200" s="6">
        <v>0.34</v>
      </c>
      <c r="D200" s="6">
        <v>0.44779999999999998</v>
      </c>
      <c r="E200" s="6">
        <v>6</v>
      </c>
      <c r="F200" s="6">
        <v>69</v>
      </c>
      <c r="G200" s="6">
        <v>75</v>
      </c>
    </row>
    <row r="201" spans="1:7" ht="15.75" thickBot="1">
      <c r="A201" s="6">
        <v>200</v>
      </c>
      <c r="B201" s="6">
        <v>0.18179999999999999</v>
      </c>
      <c r="C201" s="6">
        <v>0.32</v>
      </c>
      <c r="D201" s="6">
        <v>0.4627</v>
      </c>
      <c r="E201" s="6">
        <v>8</v>
      </c>
      <c r="F201" s="6">
        <v>64</v>
      </c>
      <c r="G201" s="6">
        <v>72</v>
      </c>
    </row>
    <row r="202" spans="1:7" ht="15.75" thickBot="1">
      <c r="A202" s="6">
        <v>201</v>
      </c>
      <c r="B202" s="6">
        <v>0.19700000000000001</v>
      </c>
      <c r="C202" s="6">
        <v>0.35</v>
      </c>
      <c r="D202" s="6">
        <v>0.35820000000000002</v>
      </c>
      <c r="E202" s="6">
        <v>5</v>
      </c>
      <c r="F202" s="6">
        <v>77</v>
      </c>
      <c r="G202" s="6">
        <v>82</v>
      </c>
    </row>
    <row r="203" spans="1:7" ht="15.75" thickBot="1">
      <c r="A203" s="6">
        <v>202</v>
      </c>
      <c r="B203" s="6">
        <v>0.16669999999999999</v>
      </c>
      <c r="C203" s="6">
        <v>0.34</v>
      </c>
      <c r="D203" s="6">
        <v>0.44779999999999998</v>
      </c>
      <c r="E203" s="6">
        <v>13</v>
      </c>
      <c r="F203" s="6">
        <v>79</v>
      </c>
      <c r="G203" s="6">
        <v>92</v>
      </c>
    </row>
    <row r="204" spans="1:7" ht="15.75" thickBot="1">
      <c r="A204" s="6">
        <v>203</v>
      </c>
      <c r="B204" s="6">
        <v>0.1515</v>
      </c>
      <c r="C204" s="6">
        <v>0.37</v>
      </c>
      <c r="D204" s="6">
        <v>0.3881</v>
      </c>
      <c r="E204" s="6">
        <v>3</v>
      </c>
      <c r="F204" s="6">
        <v>59</v>
      </c>
      <c r="G204" s="6">
        <v>62</v>
      </c>
    </row>
    <row r="205" spans="1:7" ht="15.75" thickBot="1">
      <c r="A205" s="6">
        <v>204</v>
      </c>
      <c r="B205" s="6">
        <v>0.13639999999999999</v>
      </c>
      <c r="C205" s="6">
        <v>0.4</v>
      </c>
      <c r="D205" s="6">
        <v>0.32840000000000003</v>
      </c>
      <c r="E205" s="6">
        <v>4</v>
      </c>
      <c r="F205" s="6">
        <v>44</v>
      </c>
      <c r="G205" s="6">
        <v>48</v>
      </c>
    </row>
    <row r="206" spans="1:7" ht="15.75" thickBot="1">
      <c r="A206" s="6">
        <v>205</v>
      </c>
      <c r="B206" s="6">
        <v>0.13639999999999999</v>
      </c>
      <c r="C206" s="6">
        <v>0.43</v>
      </c>
      <c r="D206" s="6">
        <v>0.32840000000000003</v>
      </c>
      <c r="E206" s="6">
        <v>1</v>
      </c>
      <c r="F206" s="6">
        <v>40</v>
      </c>
      <c r="G206" s="6">
        <v>41</v>
      </c>
    </row>
    <row r="207" spans="1:7" ht="15.75" thickBot="1">
      <c r="A207" s="6">
        <v>206</v>
      </c>
      <c r="B207" s="6">
        <v>0.1212</v>
      </c>
      <c r="C207" s="6">
        <v>0.46</v>
      </c>
      <c r="D207" s="6">
        <v>0.25369999999999998</v>
      </c>
      <c r="E207" s="6">
        <v>0</v>
      </c>
      <c r="F207" s="6">
        <v>38</v>
      </c>
      <c r="G207" s="6">
        <v>38</v>
      </c>
    </row>
    <row r="208" spans="1:7" ht="15.75" thickBot="1">
      <c r="A208" s="6">
        <v>207</v>
      </c>
      <c r="B208" s="6">
        <v>0.1061</v>
      </c>
      <c r="C208" s="6">
        <v>0.46</v>
      </c>
      <c r="D208" s="6">
        <v>0.41789999999999999</v>
      </c>
      <c r="E208" s="6">
        <v>1</v>
      </c>
      <c r="F208" s="6">
        <v>19</v>
      </c>
      <c r="G208" s="6">
        <v>20</v>
      </c>
    </row>
    <row r="209" spans="1:7" ht="15.75" thickBot="1">
      <c r="A209" s="6">
        <v>208</v>
      </c>
      <c r="B209" s="6">
        <v>0.1212</v>
      </c>
      <c r="C209" s="6">
        <v>0.46</v>
      </c>
      <c r="D209" s="6">
        <v>0.29849999999999999</v>
      </c>
      <c r="E209" s="6">
        <v>5</v>
      </c>
      <c r="F209" s="6">
        <v>10</v>
      </c>
      <c r="G209" s="6">
        <v>15</v>
      </c>
    </row>
    <row r="210" spans="1:7" ht="15.75" thickBot="1">
      <c r="A210" s="6">
        <v>209</v>
      </c>
      <c r="B210" s="6">
        <v>0.13639999999999999</v>
      </c>
      <c r="C210" s="6">
        <v>0.5</v>
      </c>
      <c r="D210" s="6">
        <v>0.19400000000000001</v>
      </c>
      <c r="E210" s="6">
        <v>0</v>
      </c>
      <c r="F210" s="6">
        <v>6</v>
      </c>
      <c r="G210" s="6">
        <v>6</v>
      </c>
    </row>
    <row r="211" spans="1:7" ht="15.75" thickBot="1">
      <c r="A211" s="6">
        <v>210</v>
      </c>
      <c r="B211" s="6">
        <v>0.1212</v>
      </c>
      <c r="C211" s="6">
        <v>0.5</v>
      </c>
      <c r="D211" s="6">
        <v>0.28360000000000002</v>
      </c>
      <c r="E211" s="6">
        <v>2</v>
      </c>
      <c r="F211" s="6">
        <v>3</v>
      </c>
      <c r="G211" s="6">
        <v>5</v>
      </c>
    </row>
    <row r="212" spans="1:7" ht="15.75" thickBot="1">
      <c r="A212" s="6">
        <v>211</v>
      </c>
      <c r="B212" s="6">
        <v>0.1212</v>
      </c>
      <c r="C212" s="6">
        <v>0.5</v>
      </c>
      <c r="D212" s="6">
        <v>0.28360000000000002</v>
      </c>
      <c r="E212" s="6">
        <v>1</v>
      </c>
      <c r="F212" s="6">
        <v>0</v>
      </c>
      <c r="G212" s="6">
        <v>1</v>
      </c>
    </row>
    <row r="213" spans="1:7" ht="15.75" thickBot="1">
      <c r="A213" s="6">
        <v>212</v>
      </c>
      <c r="B213" s="6">
        <v>0.1212</v>
      </c>
      <c r="C213" s="6">
        <v>0.5</v>
      </c>
      <c r="D213" s="6">
        <v>0.22389999999999999</v>
      </c>
      <c r="E213" s="6">
        <v>0</v>
      </c>
      <c r="F213" s="6">
        <v>3</v>
      </c>
      <c r="G213" s="6">
        <v>3</v>
      </c>
    </row>
    <row r="214" spans="1:7" ht="15.75" thickBot="1">
      <c r="A214" s="6">
        <v>213</v>
      </c>
      <c r="B214" s="6">
        <v>0.1212</v>
      </c>
      <c r="C214" s="6">
        <v>0.5</v>
      </c>
      <c r="D214" s="6">
        <v>0.22389999999999999</v>
      </c>
      <c r="E214" s="6">
        <v>0</v>
      </c>
      <c r="F214" s="6">
        <v>1</v>
      </c>
      <c r="G214" s="6">
        <v>1</v>
      </c>
    </row>
    <row r="215" spans="1:7" ht="15.75" thickBot="1">
      <c r="A215" s="6">
        <v>214</v>
      </c>
      <c r="B215" s="6">
        <v>0.1212</v>
      </c>
      <c r="C215" s="6">
        <v>0.54</v>
      </c>
      <c r="D215" s="6">
        <v>0.1343</v>
      </c>
      <c r="E215" s="6">
        <v>1</v>
      </c>
      <c r="F215" s="6">
        <v>2</v>
      </c>
      <c r="G215" s="6">
        <v>3</v>
      </c>
    </row>
    <row r="216" spans="1:7" ht="15.75" thickBot="1">
      <c r="A216" s="6">
        <v>215</v>
      </c>
      <c r="B216" s="6">
        <v>0.1061</v>
      </c>
      <c r="C216" s="6">
        <v>0.54</v>
      </c>
      <c r="D216" s="6">
        <v>0.25369999999999998</v>
      </c>
      <c r="E216" s="6">
        <v>0</v>
      </c>
      <c r="F216" s="6">
        <v>3</v>
      </c>
      <c r="G216" s="6">
        <v>3</v>
      </c>
    </row>
    <row r="217" spans="1:7" ht="15.75" thickBot="1">
      <c r="A217" s="6">
        <v>216</v>
      </c>
      <c r="B217" s="6">
        <v>0.1212</v>
      </c>
      <c r="C217" s="6">
        <v>0.5</v>
      </c>
      <c r="D217" s="6">
        <v>0.28360000000000002</v>
      </c>
      <c r="E217" s="6">
        <v>0</v>
      </c>
      <c r="F217" s="6">
        <v>31</v>
      </c>
      <c r="G217" s="6">
        <v>31</v>
      </c>
    </row>
    <row r="218" spans="1:7" ht="15.75" thickBot="1">
      <c r="A218" s="6">
        <v>217</v>
      </c>
      <c r="B218" s="6">
        <v>0.1212</v>
      </c>
      <c r="C218" s="6">
        <v>0.5</v>
      </c>
      <c r="D218" s="6">
        <v>0.22389999999999999</v>
      </c>
      <c r="E218" s="6">
        <v>2</v>
      </c>
      <c r="F218" s="6">
        <v>75</v>
      </c>
      <c r="G218" s="6">
        <v>77</v>
      </c>
    </row>
    <row r="219" spans="1:7" ht="15.75" thickBot="1">
      <c r="A219" s="6">
        <v>218</v>
      </c>
      <c r="B219" s="6">
        <v>0.1212</v>
      </c>
      <c r="C219" s="6">
        <v>0.5</v>
      </c>
      <c r="D219" s="6">
        <v>0.28360000000000002</v>
      </c>
      <c r="E219" s="6">
        <v>4</v>
      </c>
      <c r="F219" s="6">
        <v>184</v>
      </c>
      <c r="G219" s="6">
        <v>188</v>
      </c>
    </row>
    <row r="220" spans="1:7" ht="15.75" thickBot="1">
      <c r="A220" s="6">
        <v>219</v>
      </c>
      <c r="B220" s="6">
        <v>0.1212</v>
      </c>
      <c r="C220" s="6">
        <v>0.5</v>
      </c>
      <c r="D220" s="6">
        <v>0.25369999999999998</v>
      </c>
      <c r="E220" s="6">
        <v>2</v>
      </c>
      <c r="F220" s="6">
        <v>92</v>
      </c>
      <c r="G220" s="6">
        <v>94</v>
      </c>
    </row>
    <row r="221" spans="1:7" ht="15.75" thickBot="1">
      <c r="A221" s="6">
        <v>220</v>
      </c>
      <c r="B221" s="6">
        <v>0.1212</v>
      </c>
      <c r="C221" s="6">
        <v>0.5</v>
      </c>
      <c r="D221" s="6">
        <v>0.29849999999999999</v>
      </c>
      <c r="E221" s="6">
        <v>0</v>
      </c>
      <c r="F221" s="6">
        <v>31</v>
      </c>
      <c r="G221" s="6">
        <v>31</v>
      </c>
    </row>
    <row r="222" spans="1:7" ht="15.75" thickBot="1">
      <c r="A222" s="6">
        <v>221</v>
      </c>
      <c r="B222" s="6">
        <v>0.13639999999999999</v>
      </c>
      <c r="C222" s="6">
        <v>0.47</v>
      </c>
      <c r="D222" s="6">
        <v>0.28360000000000002</v>
      </c>
      <c r="E222" s="6">
        <v>2</v>
      </c>
      <c r="F222" s="6">
        <v>28</v>
      </c>
      <c r="G222" s="6">
        <v>30</v>
      </c>
    </row>
    <row r="223" spans="1:7" ht="15.75" thickBot="1">
      <c r="A223" s="6">
        <v>222</v>
      </c>
      <c r="B223" s="6">
        <v>0.18179999999999999</v>
      </c>
      <c r="C223" s="6">
        <v>0.4</v>
      </c>
      <c r="D223" s="6">
        <v>0.28360000000000002</v>
      </c>
      <c r="E223" s="6">
        <v>5</v>
      </c>
      <c r="F223" s="6">
        <v>47</v>
      </c>
      <c r="G223" s="6">
        <v>52</v>
      </c>
    </row>
    <row r="224" spans="1:7" ht="15.75" thickBot="1">
      <c r="A224" s="6">
        <v>223</v>
      </c>
      <c r="B224" s="6">
        <v>0.18179999999999999</v>
      </c>
      <c r="C224" s="6">
        <v>0.4</v>
      </c>
      <c r="D224" s="6">
        <v>0.28360000000000002</v>
      </c>
      <c r="E224" s="6">
        <v>4</v>
      </c>
      <c r="F224" s="6">
        <v>50</v>
      </c>
      <c r="G224" s="6">
        <v>54</v>
      </c>
    </row>
    <row r="225" spans="1:7" ht="15.75" thickBot="1">
      <c r="A225" s="6">
        <v>224</v>
      </c>
      <c r="B225" s="6">
        <v>0.19700000000000001</v>
      </c>
      <c r="C225" s="6">
        <v>0.4</v>
      </c>
      <c r="D225" s="6">
        <v>0.22389999999999999</v>
      </c>
      <c r="E225" s="6">
        <v>0</v>
      </c>
      <c r="F225" s="6">
        <v>47</v>
      </c>
      <c r="G225" s="6">
        <v>47</v>
      </c>
    </row>
    <row r="226" spans="1:7" ht="15.75" thickBot="1">
      <c r="A226" s="6">
        <v>225</v>
      </c>
      <c r="B226" s="6">
        <v>0.19700000000000001</v>
      </c>
      <c r="C226" s="6">
        <v>0.4</v>
      </c>
      <c r="D226" s="6">
        <v>0.22389999999999999</v>
      </c>
      <c r="E226" s="6">
        <v>2</v>
      </c>
      <c r="F226" s="6">
        <v>43</v>
      </c>
      <c r="G226" s="6">
        <v>45</v>
      </c>
    </row>
    <row r="227" spans="1:7" ht="15.75" thickBot="1">
      <c r="A227" s="6">
        <v>226</v>
      </c>
      <c r="B227" s="6">
        <v>0.21210000000000001</v>
      </c>
      <c r="C227" s="6">
        <v>0.4</v>
      </c>
      <c r="D227" s="6">
        <v>0.1343</v>
      </c>
      <c r="E227" s="6">
        <v>4</v>
      </c>
      <c r="F227" s="6">
        <v>70</v>
      </c>
      <c r="G227" s="6">
        <v>74</v>
      </c>
    </row>
    <row r="228" spans="1:7" ht="15.75" thickBot="1">
      <c r="A228" s="6">
        <v>227</v>
      </c>
      <c r="B228" s="6">
        <v>0.2273</v>
      </c>
      <c r="C228" s="6">
        <v>0.4</v>
      </c>
      <c r="D228" s="6">
        <v>0.1045</v>
      </c>
      <c r="E228" s="6">
        <v>4</v>
      </c>
      <c r="F228" s="6">
        <v>174</v>
      </c>
      <c r="G228" s="6">
        <v>178</v>
      </c>
    </row>
    <row r="229" spans="1:7" ht="15.75" thickBot="1">
      <c r="A229" s="6">
        <v>228</v>
      </c>
      <c r="B229" s="6">
        <v>0.19700000000000001</v>
      </c>
      <c r="C229" s="6">
        <v>0.4</v>
      </c>
      <c r="D229" s="6">
        <v>0.22389999999999999</v>
      </c>
      <c r="E229" s="6">
        <v>1</v>
      </c>
      <c r="F229" s="6">
        <v>154</v>
      </c>
      <c r="G229" s="6">
        <v>155</v>
      </c>
    </row>
    <row r="230" spans="1:7" ht="15.75" thickBot="1">
      <c r="A230" s="6">
        <v>229</v>
      </c>
      <c r="B230" s="6">
        <v>0.16669999999999999</v>
      </c>
      <c r="C230" s="6">
        <v>0.47</v>
      </c>
      <c r="D230" s="6">
        <v>0.16420000000000001</v>
      </c>
      <c r="E230" s="6">
        <v>3</v>
      </c>
      <c r="F230" s="6">
        <v>92</v>
      </c>
      <c r="G230" s="6">
        <v>95</v>
      </c>
    </row>
    <row r="231" spans="1:7" ht="15.75" thickBot="1">
      <c r="A231" s="6">
        <v>230</v>
      </c>
      <c r="B231" s="6">
        <v>0.16669999999999999</v>
      </c>
      <c r="C231" s="6">
        <v>0.5</v>
      </c>
      <c r="D231" s="6">
        <v>0.16420000000000001</v>
      </c>
      <c r="E231" s="6">
        <v>1</v>
      </c>
      <c r="F231" s="6">
        <v>73</v>
      </c>
      <c r="G231" s="6">
        <v>74</v>
      </c>
    </row>
    <row r="232" spans="1:7" ht="15.75" thickBot="1">
      <c r="A232" s="6">
        <v>231</v>
      </c>
      <c r="B232" s="6">
        <v>0.13639999999999999</v>
      </c>
      <c r="C232" s="6">
        <v>0.59</v>
      </c>
      <c r="D232" s="6">
        <v>0.19400000000000001</v>
      </c>
      <c r="E232" s="6">
        <v>1</v>
      </c>
      <c r="F232" s="6">
        <v>37</v>
      </c>
      <c r="G232" s="6">
        <v>38</v>
      </c>
    </row>
    <row r="233" spans="1:7" ht="15.75" thickBot="1">
      <c r="A233" s="6">
        <v>232</v>
      </c>
      <c r="B233" s="6">
        <v>0.1515</v>
      </c>
      <c r="C233" s="6">
        <v>0.59</v>
      </c>
      <c r="D233" s="6">
        <v>0.16420000000000001</v>
      </c>
      <c r="E233" s="6">
        <v>2</v>
      </c>
      <c r="F233" s="6">
        <v>22</v>
      </c>
      <c r="G233" s="6">
        <v>24</v>
      </c>
    </row>
    <row r="234" spans="1:7" ht="15.75" thickBot="1">
      <c r="A234" s="6">
        <v>233</v>
      </c>
      <c r="B234" s="6">
        <v>0.1515</v>
      </c>
      <c r="C234" s="6">
        <v>0.59</v>
      </c>
      <c r="D234" s="6">
        <v>0.16420000000000001</v>
      </c>
      <c r="E234" s="6">
        <v>0</v>
      </c>
      <c r="F234" s="6">
        <v>18</v>
      </c>
      <c r="G234" s="6">
        <v>18</v>
      </c>
    </row>
    <row r="235" spans="1:7" ht="15.75" thickBot="1">
      <c r="A235" s="6">
        <v>234</v>
      </c>
      <c r="B235" s="6">
        <v>0.16669999999999999</v>
      </c>
      <c r="C235" s="6">
        <v>0.59</v>
      </c>
      <c r="D235" s="6">
        <v>0.1045</v>
      </c>
      <c r="E235" s="6">
        <v>2</v>
      </c>
      <c r="F235" s="6">
        <v>10</v>
      </c>
      <c r="G235" s="6">
        <v>12</v>
      </c>
    </row>
    <row r="236" spans="1:7" ht="15.75" thickBot="1">
      <c r="A236" s="6">
        <v>235</v>
      </c>
      <c r="B236" s="6">
        <v>0.1515</v>
      </c>
      <c r="C236" s="6">
        <v>0.59</v>
      </c>
      <c r="D236" s="6">
        <v>0.16420000000000001</v>
      </c>
      <c r="E236" s="6">
        <v>0</v>
      </c>
      <c r="F236" s="6">
        <v>3</v>
      </c>
      <c r="G236" s="6">
        <v>3</v>
      </c>
    </row>
    <row r="237" spans="1:7" ht="15.75" thickBot="1">
      <c r="A237" s="6">
        <v>236</v>
      </c>
      <c r="B237" s="6">
        <v>0.1515</v>
      </c>
      <c r="C237" s="6">
        <v>0.55000000000000004</v>
      </c>
      <c r="D237" s="6">
        <v>0.19400000000000001</v>
      </c>
      <c r="E237" s="6">
        <v>0</v>
      </c>
      <c r="F237" s="6">
        <v>3</v>
      </c>
      <c r="G237" s="6">
        <v>3</v>
      </c>
    </row>
    <row r="238" spans="1:7" ht="15.75" thickBot="1">
      <c r="A238" s="6">
        <v>237</v>
      </c>
      <c r="B238" s="6">
        <v>0.18179999999999999</v>
      </c>
      <c r="C238" s="6">
        <v>0.55000000000000004</v>
      </c>
      <c r="D238" s="6">
        <v>0.1343</v>
      </c>
      <c r="E238" s="6">
        <v>0</v>
      </c>
      <c r="F238" s="6">
        <v>6</v>
      </c>
      <c r="G238" s="6">
        <v>6</v>
      </c>
    </row>
    <row r="239" spans="1:7" ht="15.75" thickBot="1">
      <c r="A239" s="6">
        <v>238</v>
      </c>
      <c r="B239" s="6">
        <v>0.18179999999999999</v>
      </c>
      <c r="C239" s="6">
        <v>0.55000000000000004</v>
      </c>
      <c r="D239" s="6">
        <v>0.1343</v>
      </c>
      <c r="E239" s="6">
        <v>0</v>
      </c>
      <c r="F239" s="6">
        <v>27</v>
      </c>
      <c r="G239" s="6">
        <v>27</v>
      </c>
    </row>
    <row r="240" spans="1:7" ht="15.75" thickBot="1">
      <c r="A240" s="6">
        <v>239</v>
      </c>
      <c r="B240" s="6">
        <v>0.2273</v>
      </c>
      <c r="C240" s="6">
        <v>0.55000000000000004</v>
      </c>
      <c r="D240" s="6">
        <v>0</v>
      </c>
      <c r="E240" s="6">
        <v>2</v>
      </c>
      <c r="F240" s="6">
        <v>97</v>
      </c>
      <c r="G240" s="6">
        <v>99</v>
      </c>
    </row>
    <row r="241" spans="1:7" ht="15.75" thickBot="1">
      <c r="A241" s="6">
        <v>240</v>
      </c>
      <c r="B241" s="6">
        <v>0.21210000000000001</v>
      </c>
      <c r="C241" s="6">
        <v>0.51</v>
      </c>
      <c r="D241" s="6">
        <v>8.9599999999999999E-2</v>
      </c>
      <c r="E241" s="6">
        <v>3</v>
      </c>
      <c r="F241" s="6">
        <v>214</v>
      </c>
      <c r="G241" s="6">
        <v>217</v>
      </c>
    </row>
    <row r="242" spans="1:7" ht="15.75" thickBot="1">
      <c r="A242" s="6">
        <v>241</v>
      </c>
      <c r="B242" s="6">
        <v>0.19700000000000001</v>
      </c>
      <c r="C242" s="6">
        <v>0.51</v>
      </c>
      <c r="D242" s="6">
        <v>0.16420000000000001</v>
      </c>
      <c r="E242" s="6">
        <v>3</v>
      </c>
      <c r="F242" s="6">
        <v>127</v>
      </c>
      <c r="G242" s="6">
        <v>130</v>
      </c>
    </row>
    <row r="243" spans="1:7" ht="15.75" thickBot="1">
      <c r="A243" s="6">
        <v>242</v>
      </c>
      <c r="B243" s="6">
        <v>0.21210000000000001</v>
      </c>
      <c r="C243" s="6">
        <v>0.51</v>
      </c>
      <c r="D243" s="6">
        <v>0.16420000000000001</v>
      </c>
      <c r="E243" s="6">
        <v>3</v>
      </c>
      <c r="F243" s="6">
        <v>51</v>
      </c>
      <c r="G243" s="6">
        <v>54</v>
      </c>
    </row>
    <row r="244" spans="1:7" ht="15.75" thickBot="1">
      <c r="A244" s="6">
        <v>243</v>
      </c>
      <c r="B244" s="6">
        <v>0.21210000000000001</v>
      </c>
      <c r="C244" s="6">
        <v>0.47</v>
      </c>
      <c r="D244" s="6">
        <v>0.1343</v>
      </c>
      <c r="E244" s="6">
        <v>4</v>
      </c>
      <c r="F244" s="6">
        <v>31</v>
      </c>
      <c r="G244" s="6">
        <v>35</v>
      </c>
    </row>
    <row r="245" spans="1:7" ht="15.75" thickBot="1">
      <c r="A245" s="6">
        <v>244</v>
      </c>
      <c r="B245" s="6">
        <v>0.2273</v>
      </c>
      <c r="C245" s="6">
        <v>0.51</v>
      </c>
      <c r="D245" s="6">
        <v>0.1045</v>
      </c>
      <c r="E245" s="6">
        <v>2</v>
      </c>
      <c r="F245" s="6">
        <v>55</v>
      </c>
      <c r="G245" s="6">
        <v>57</v>
      </c>
    </row>
    <row r="246" spans="1:7" ht="15.75" thickBot="1">
      <c r="A246" s="6">
        <v>245</v>
      </c>
      <c r="B246" s="6">
        <v>0.2273</v>
      </c>
      <c r="C246" s="6">
        <v>0.59</v>
      </c>
      <c r="D246" s="6">
        <v>8.9599999999999999E-2</v>
      </c>
      <c r="E246" s="6">
        <v>6</v>
      </c>
      <c r="F246" s="6">
        <v>46</v>
      </c>
      <c r="G246" s="6">
        <v>52</v>
      </c>
    </row>
    <row r="247" spans="1:7" ht="15.75" thickBot="1">
      <c r="A247" s="6">
        <v>246</v>
      </c>
      <c r="B247" s="6">
        <v>0.2273</v>
      </c>
      <c r="C247" s="6">
        <v>0.59</v>
      </c>
      <c r="D247" s="6">
        <v>8.9599999999999999E-2</v>
      </c>
      <c r="E247" s="6">
        <v>3</v>
      </c>
      <c r="F247" s="6">
        <v>60</v>
      </c>
      <c r="G247" s="6">
        <v>63</v>
      </c>
    </row>
    <row r="248" spans="1:7" ht="15.75" thickBot="1">
      <c r="A248" s="6">
        <v>247</v>
      </c>
      <c r="B248" s="6">
        <v>0.19700000000000001</v>
      </c>
      <c r="C248" s="6">
        <v>0.8</v>
      </c>
      <c r="D248" s="6">
        <v>8.9599999999999999E-2</v>
      </c>
      <c r="E248" s="6">
        <v>2</v>
      </c>
      <c r="F248" s="6">
        <v>45</v>
      </c>
      <c r="G248" s="6">
        <v>47</v>
      </c>
    </row>
    <row r="249" spans="1:7" ht="15.75" thickBot="1">
      <c r="A249" s="6">
        <v>248</v>
      </c>
      <c r="B249" s="6">
        <v>0.1515</v>
      </c>
      <c r="C249" s="6">
        <v>0.86</v>
      </c>
      <c r="D249" s="6">
        <v>0.22389999999999999</v>
      </c>
      <c r="E249" s="6">
        <v>4</v>
      </c>
      <c r="F249" s="6">
        <v>72</v>
      </c>
      <c r="G249" s="6">
        <v>76</v>
      </c>
    </row>
    <row r="250" spans="1:7" ht="15.75" thickBot="1">
      <c r="A250" s="6">
        <v>249</v>
      </c>
      <c r="B250" s="6">
        <v>0.1515</v>
      </c>
      <c r="C250" s="6">
        <v>0.86</v>
      </c>
      <c r="D250" s="6">
        <v>0.22389999999999999</v>
      </c>
      <c r="E250" s="6">
        <v>6</v>
      </c>
      <c r="F250" s="6">
        <v>130</v>
      </c>
      <c r="G250" s="6">
        <v>136</v>
      </c>
    </row>
    <row r="251" spans="1:7" ht="15.75" thickBot="1">
      <c r="A251" s="6">
        <v>250</v>
      </c>
      <c r="B251" s="6">
        <v>0.18179999999999999</v>
      </c>
      <c r="C251" s="6">
        <v>0.93</v>
      </c>
      <c r="D251" s="6">
        <v>0.1045</v>
      </c>
      <c r="E251" s="6">
        <v>1</v>
      </c>
      <c r="F251" s="6">
        <v>94</v>
      </c>
      <c r="G251" s="6">
        <v>95</v>
      </c>
    </row>
    <row r="252" spans="1:7" ht="15.75" thickBot="1">
      <c r="A252" s="6">
        <v>251</v>
      </c>
      <c r="B252" s="6">
        <v>0.2273</v>
      </c>
      <c r="C252" s="6">
        <v>0.93</v>
      </c>
      <c r="D252" s="6">
        <v>0</v>
      </c>
      <c r="E252" s="6">
        <v>0</v>
      </c>
      <c r="F252" s="6">
        <v>51</v>
      </c>
      <c r="G252" s="6">
        <v>51</v>
      </c>
    </row>
    <row r="253" spans="1:7" ht="15.75" thickBot="1">
      <c r="A253" s="6">
        <v>252</v>
      </c>
      <c r="B253" s="6">
        <v>0.1515</v>
      </c>
      <c r="C253" s="6">
        <v>0.93</v>
      </c>
      <c r="D253" s="6">
        <v>0.19400000000000001</v>
      </c>
      <c r="E253" s="6">
        <v>0</v>
      </c>
      <c r="F253" s="6">
        <v>32</v>
      </c>
      <c r="G253" s="6">
        <v>32</v>
      </c>
    </row>
    <row r="254" spans="1:7" ht="15.75" thickBot="1">
      <c r="A254" s="6">
        <v>253</v>
      </c>
      <c r="B254" s="6">
        <v>0.19700000000000001</v>
      </c>
      <c r="C254" s="6">
        <v>0.86</v>
      </c>
      <c r="D254" s="6">
        <v>8.9599999999999999E-2</v>
      </c>
      <c r="E254" s="6">
        <v>0</v>
      </c>
      <c r="F254" s="6">
        <v>20</v>
      </c>
      <c r="G254" s="6">
        <v>20</v>
      </c>
    </row>
    <row r="255" spans="1:7" ht="15.75" thickBot="1">
      <c r="A255" s="6">
        <v>254</v>
      </c>
      <c r="B255" s="6">
        <v>0.18179999999999999</v>
      </c>
      <c r="C255" s="6">
        <v>0.93</v>
      </c>
      <c r="D255" s="6">
        <v>0.1045</v>
      </c>
      <c r="E255" s="6">
        <v>1</v>
      </c>
      <c r="F255" s="6">
        <v>28</v>
      </c>
      <c r="G255" s="6">
        <v>29</v>
      </c>
    </row>
    <row r="256" spans="1:7" ht="15.75" thickBot="1">
      <c r="A256" s="6">
        <v>255</v>
      </c>
      <c r="B256" s="6">
        <v>0.19700000000000001</v>
      </c>
      <c r="C256" s="6">
        <v>0.93</v>
      </c>
      <c r="D256" s="6">
        <v>8.9599999999999999E-2</v>
      </c>
      <c r="E256" s="6">
        <v>1</v>
      </c>
      <c r="F256" s="6">
        <v>18</v>
      </c>
      <c r="G256" s="6">
        <v>19</v>
      </c>
    </row>
    <row r="257" spans="1:7" ht="15.75" thickBot="1">
      <c r="A257" s="6">
        <v>256</v>
      </c>
      <c r="B257" s="6">
        <v>0.19700000000000001</v>
      </c>
      <c r="C257" s="6">
        <v>0.86</v>
      </c>
      <c r="D257" s="6">
        <v>8.9599999999999999E-2</v>
      </c>
      <c r="E257" s="6">
        <v>0</v>
      </c>
      <c r="F257" s="6">
        <v>7</v>
      </c>
      <c r="G257" s="6">
        <v>7</v>
      </c>
    </row>
    <row r="258" spans="1:7" ht="15.75" thickBot="1">
      <c r="A258" s="6">
        <v>257</v>
      </c>
      <c r="B258" s="6">
        <v>0.18179999999999999</v>
      </c>
      <c r="C258" s="6">
        <v>0.86</v>
      </c>
      <c r="D258" s="6">
        <v>0.1045</v>
      </c>
      <c r="E258" s="6">
        <v>0</v>
      </c>
      <c r="F258" s="6">
        <v>6</v>
      </c>
      <c r="G258" s="6">
        <v>6</v>
      </c>
    </row>
    <row r="259" spans="1:7" ht="15.75" thickBot="1">
      <c r="A259" s="6">
        <v>258</v>
      </c>
      <c r="B259" s="6">
        <v>0.1515</v>
      </c>
      <c r="C259" s="6">
        <v>0.86</v>
      </c>
      <c r="D259" s="6">
        <v>0.1343</v>
      </c>
      <c r="E259" s="6">
        <v>0</v>
      </c>
      <c r="F259" s="6">
        <v>1</v>
      </c>
      <c r="G259" s="6">
        <v>1</v>
      </c>
    </row>
    <row r="260" spans="1:7" ht="15.75" thickBot="1">
      <c r="A260" s="6">
        <v>259</v>
      </c>
      <c r="B260" s="6">
        <v>0.1515</v>
      </c>
      <c r="C260" s="6">
        <v>0.86</v>
      </c>
      <c r="D260" s="6">
        <v>0.16420000000000001</v>
      </c>
      <c r="E260" s="6">
        <v>0</v>
      </c>
      <c r="F260" s="6">
        <v>5</v>
      </c>
      <c r="G260" s="6">
        <v>5</v>
      </c>
    </row>
    <row r="261" spans="1:7" ht="15.75" thickBot="1">
      <c r="A261" s="6">
        <v>260</v>
      </c>
      <c r="B261" s="6">
        <v>0.1515</v>
      </c>
      <c r="C261" s="6">
        <v>0.93</v>
      </c>
      <c r="D261" s="6">
        <v>0.1343</v>
      </c>
      <c r="E261" s="6">
        <v>0</v>
      </c>
      <c r="F261" s="6">
        <v>16</v>
      </c>
      <c r="G261" s="6">
        <v>16</v>
      </c>
    </row>
    <row r="262" spans="1:7" ht="15.75" thickBot="1">
      <c r="A262" s="6">
        <v>261</v>
      </c>
      <c r="B262" s="6">
        <v>0.1515</v>
      </c>
      <c r="C262" s="6">
        <v>0.69</v>
      </c>
      <c r="D262" s="6">
        <v>0.1343</v>
      </c>
      <c r="E262" s="6">
        <v>0</v>
      </c>
      <c r="F262" s="6">
        <v>54</v>
      </c>
      <c r="G262" s="6">
        <v>54</v>
      </c>
    </row>
    <row r="263" spans="1:7" ht="15.75" thickBot="1">
      <c r="A263" s="6">
        <v>262</v>
      </c>
      <c r="B263" s="6">
        <v>0.16669999999999999</v>
      </c>
      <c r="C263" s="6">
        <v>0.59</v>
      </c>
      <c r="D263" s="6">
        <v>0.16420000000000001</v>
      </c>
      <c r="E263" s="6">
        <v>3</v>
      </c>
      <c r="F263" s="6">
        <v>125</v>
      </c>
      <c r="G263" s="6">
        <v>128</v>
      </c>
    </row>
    <row r="264" spans="1:7" ht="15.75" thickBot="1">
      <c r="A264" s="6">
        <v>263</v>
      </c>
      <c r="B264" s="6">
        <v>0.13639999999999999</v>
      </c>
      <c r="C264" s="6">
        <v>0.59</v>
      </c>
      <c r="D264" s="6">
        <v>0.32840000000000003</v>
      </c>
      <c r="E264" s="6">
        <v>3</v>
      </c>
      <c r="F264" s="6">
        <v>78</v>
      </c>
      <c r="G264" s="6">
        <v>81</v>
      </c>
    </row>
    <row r="265" spans="1:7" ht="15.75" thickBot="1">
      <c r="A265" s="6">
        <v>264</v>
      </c>
      <c r="B265" s="6">
        <v>0.18179999999999999</v>
      </c>
      <c r="C265" s="6">
        <v>0.55000000000000004</v>
      </c>
      <c r="D265" s="6">
        <v>0.22389999999999999</v>
      </c>
      <c r="E265" s="6">
        <v>0</v>
      </c>
      <c r="F265" s="6">
        <v>39</v>
      </c>
      <c r="G265" s="6">
        <v>39</v>
      </c>
    </row>
    <row r="266" spans="1:7" ht="15.75" thickBot="1">
      <c r="A266" s="6">
        <v>265</v>
      </c>
      <c r="B266" s="6">
        <v>0.18179999999999999</v>
      </c>
      <c r="C266" s="6">
        <v>0.51</v>
      </c>
      <c r="D266" s="6">
        <v>0.3881</v>
      </c>
      <c r="E266" s="6">
        <v>3</v>
      </c>
      <c r="F266" s="6">
        <v>32</v>
      </c>
      <c r="G266" s="6">
        <v>35</v>
      </c>
    </row>
    <row r="267" spans="1:7" ht="15.75" thickBot="1">
      <c r="A267" s="6">
        <v>266</v>
      </c>
      <c r="B267" s="6">
        <v>0.1515</v>
      </c>
      <c r="C267" s="6">
        <v>0.47</v>
      </c>
      <c r="D267" s="6">
        <v>0.58209999999999995</v>
      </c>
      <c r="E267" s="6">
        <v>3</v>
      </c>
      <c r="F267" s="6">
        <v>52</v>
      </c>
      <c r="G267" s="6">
        <v>55</v>
      </c>
    </row>
    <row r="268" spans="1:7" ht="15.75" thickBot="1">
      <c r="A268" s="6">
        <v>267</v>
      </c>
      <c r="B268" s="6">
        <v>0.19700000000000001</v>
      </c>
      <c r="C268" s="6">
        <v>0.44</v>
      </c>
      <c r="D268" s="6">
        <v>0.35820000000000002</v>
      </c>
      <c r="E268" s="6">
        <v>0</v>
      </c>
      <c r="F268" s="6">
        <v>49</v>
      </c>
      <c r="G268" s="6">
        <v>49</v>
      </c>
    </row>
    <row r="269" spans="1:7" ht="15.75" thickBot="1">
      <c r="A269" s="6">
        <v>268</v>
      </c>
      <c r="B269" s="6">
        <v>0.18179999999999999</v>
      </c>
      <c r="C269" s="6">
        <v>0.47</v>
      </c>
      <c r="D269" s="6">
        <v>0.32840000000000003</v>
      </c>
      <c r="E269" s="6">
        <v>0</v>
      </c>
      <c r="F269" s="6">
        <v>44</v>
      </c>
      <c r="G269" s="6">
        <v>44</v>
      </c>
    </row>
    <row r="270" spans="1:7" ht="15.75" thickBot="1">
      <c r="A270" s="6">
        <v>269</v>
      </c>
      <c r="B270" s="6">
        <v>0.16669999999999999</v>
      </c>
      <c r="C270" s="6">
        <v>0.47</v>
      </c>
      <c r="D270" s="6">
        <v>0.41789999999999999</v>
      </c>
      <c r="E270" s="6">
        <v>1</v>
      </c>
      <c r="F270" s="6">
        <v>48</v>
      </c>
      <c r="G270" s="6">
        <v>49</v>
      </c>
    </row>
    <row r="271" spans="1:7" ht="15.75" thickBot="1">
      <c r="A271" s="6">
        <v>270</v>
      </c>
      <c r="B271" s="6">
        <v>0.19700000000000001</v>
      </c>
      <c r="C271" s="6">
        <v>0.44</v>
      </c>
      <c r="D271" s="6">
        <v>0.32840000000000003</v>
      </c>
      <c r="E271" s="6">
        <v>5</v>
      </c>
      <c r="F271" s="6">
        <v>63</v>
      </c>
      <c r="G271" s="6">
        <v>68</v>
      </c>
    </row>
    <row r="272" spans="1:7" ht="15.75" thickBot="1">
      <c r="A272" s="6">
        <v>271</v>
      </c>
      <c r="B272" s="6">
        <v>0.18179999999999999</v>
      </c>
      <c r="C272" s="6">
        <v>0.47</v>
      </c>
      <c r="D272" s="6">
        <v>0.35820000000000002</v>
      </c>
      <c r="E272" s="6">
        <v>0</v>
      </c>
      <c r="F272" s="6">
        <v>139</v>
      </c>
      <c r="G272" s="6">
        <v>139</v>
      </c>
    </row>
    <row r="273" spans="1:7" ht="15.75" thickBot="1">
      <c r="A273" s="6">
        <v>272</v>
      </c>
      <c r="B273" s="6">
        <v>0.1515</v>
      </c>
      <c r="C273" s="6">
        <v>0.47</v>
      </c>
      <c r="D273" s="6">
        <v>0.52239999999999998</v>
      </c>
      <c r="E273" s="6">
        <v>2</v>
      </c>
      <c r="F273" s="6">
        <v>135</v>
      </c>
      <c r="G273" s="6">
        <v>137</v>
      </c>
    </row>
    <row r="274" spans="1:7" ht="15.75" thickBot="1">
      <c r="A274" s="6">
        <v>273</v>
      </c>
      <c r="B274" s="6">
        <v>0.1515</v>
      </c>
      <c r="C274" s="6">
        <v>0.47</v>
      </c>
      <c r="D274" s="6">
        <v>0.41789999999999999</v>
      </c>
      <c r="E274" s="6">
        <v>1</v>
      </c>
      <c r="F274" s="6">
        <v>82</v>
      </c>
      <c r="G274" s="6">
        <v>83</v>
      </c>
    </row>
    <row r="275" spans="1:7" ht="15.75" thickBot="1">
      <c r="A275" s="6">
        <v>274</v>
      </c>
      <c r="B275" s="6">
        <v>0.13639999999999999</v>
      </c>
      <c r="C275" s="6">
        <v>0.5</v>
      </c>
      <c r="D275" s="6">
        <v>0.32840000000000003</v>
      </c>
      <c r="E275" s="6">
        <v>2</v>
      </c>
      <c r="F275" s="6">
        <v>54</v>
      </c>
      <c r="G275" s="6">
        <v>56</v>
      </c>
    </row>
    <row r="276" spans="1:7" ht="15.75" thickBot="1">
      <c r="A276" s="6">
        <v>275</v>
      </c>
      <c r="B276" s="6">
        <v>0.13639999999999999</v>
      </c>
      <c r="C276" s="6">
        <v>0.55000000000000004</v>
      </c>
      <c r="D276" s="6">
        <v>0.32840000000000003</v>
      </c>
      <c r="E276" s="6">
        <v>0</v>
      </c>
      <c r="F276" s="6">
        <v>57</v>
      </c>
      <c r="G276" s="6">
        <v>57</v>
      </c>
    </row>
    <row r="277" spans="1:7" ht="15.75" thickBot="1">
      <c r="A277" s="6">
        <v>276</v>
      </c>
      <c r="B277" s="6">
        <v>0.1212</v>
      </c>
      <c r="C277" s="6">
        <v>0.55000000000000004</v>
      </c>
      <c r="D277" s="6">
        <v>0.44779999999999998</v>
      </c>
      <c r="E277" s="6">
        <v>1</v>
      </c>
      <c r="F277" s="6">
        <v>32</v>
      </c>
      <c r="G277" s="6">
        <v>33</v>
      </c>
    </row>
    <row r="278" spans="1:7" ht="15.75" thickBot="1">
      <c r="A278" s="6">
        <v>277</v>
      </c>
      <c r="B278" s="6">
        <v>0.1061</v>
      </c>
      <c r="C278" s="6">
        <v>0.59</v>
      </c>
      <c r="D278" s="6">
        <v>0.41789999999999999</v>
      </c>
      <c r="E278" s="6">
        <v>1</v>
      </c>
      <c r="F278" s="6">
        <v>19</v>
      </c>
      <c r="G278" s="6">
        <v>20</v>
      </c>
    </row>
    <row r="279" spans="1:7" ht="15.75" thickBot="1">
      <c r="A279" s="6">
        <v>278</v>
      </c>
      <c r="B279" s="6">
        <v>0.1212</v>
      </c>
      <c r="C279" s="6">
        <v>0.59</v>
      </c>
      <c r="D279" s="6">
        <v>0.28360000000000002</v>
      </c>
      <c r="E279" s="6">
        <v>1</v>
      </c>
      <c r="F279" s="6">
        <v>6</v>
      </c>
      <c r="G279" s="6">
        <v>7</v>
      </c>
    </row>
    <row r="280" spans="1:7" ht="15.75" thickBot="1">
      <c r="A280" s="6">
        <v>279</v>
      </c>
      <c r="B280" s="6">
        <v>0.1212</v>
      </c>
      <c r="C280" s="6">
        <v>0.5</v>
      </c>
      <c r="D280" s="6">
        <v>0.28360000000000002</v>
      </c>
      <c r="E280" s="6">
        <v>0</v>
      </c>
      <c r="F280" s="6">
        <v>2</v>
      </c>
      <c r="G280" s="6">
        <v>2</v>
      </c>
    </row>
    <row r="281" spans="1:7" ht="15.75" thickBot="1">
      <c r="A281" s="6">
        <v>280</v>
      </c>
      <c r="B281" s="6">
        <v>0.1212</v>
      </c>
      <c r="C281" s="6">
        <v>0.5</v>
      </c>
      <c r="D281" s="6">
        <v>0.35820000000000002</v>
      </c>
      <c r="E281" s="6">
        <v>0</v>
      </c>
      <c r="F281" s="6">
        <v>2</v>
      </c>
      <c r="G281" s="6">
        <v>2</v>
      </c>
    </row>
    <row r="282" spans="1:7" ht="15.75" thickBot="1">
      <c r="A282" s="6">
        <v>281</v>
      </c>
      <c r="B282" s="6">
        <v>0.1212</v>
      </c>
      <c r="C282" s="6">
        <v>0.5</v>
      </c>
      <c r="D282" s="6">
        <v>0.32840000000000003</v>
      </c>
      <c r="E282" s="6">
        <v>0</v>
      </c>
      <c r="F282" s="6">
        <v>3</v>
      </c>
      <c r="G282" s="6">
        <v>3</v>
      </c>
    </row>
    <row r="283" spans="1:7" ht="15.75" thickBot="1">
      <c r="A283" s="6">
        <v>282</v>
      </c>
      <c r="B283" s="6">
        <v>0.1212</v>
      </c>
      <c r="C283" s="6">
        <v>0.5</v>
      </c>
      <c r="D283" s="6">
        <v>0.25369999999999998</v>
      </c>
      <c r="E283" s="6">
        <v>0</v>
      </c>
      <c r="F283" s="6">
        <v>4</v>
      </c>
      <c r="G283" s="6">
        <v>4</v>
      </c>
    </row>
    <row r="284" spans="1:7" ht="15.75" thickBot="1">
      <c r="A284" s="6">
        <v>283</v>
      </c>
      <c r="B284" s="6">
        <v>0.1212</v>
      </c>
      <c r="C284" s="6">
        <v>0.5</v>
      </c>
      <c r="D284" s="6">
        <v>0.29849999999999999</v>
      </c>
      <c r="E284" s="6">
        <v>0</v>
      </c>
      <c r="F284" s="6">
        <v>3</v>
      </c>
      <c r="G284" s="6">
        <v>3</v>
      </c>
    </row>
    <row r="285" spans="1:7" ht="15.75" thickBot="1">
      <c r="A285" s="6">
        <v>284</v>
      </c>
      <c r="B285" s="6">
        <v>0.1515</v>
      </c>
      <c r="C285" s="6">
        <v>0.54</v>
      </c>
      <c r="D285" s="6">
        <v>0.1343</v>
      </c>
      <c r="E285" s="6">
        <v>0</v>
      </c>
      <c r="F285" s="6">
        <v>28</v>
      </c>
      <c r="G285" s="6">
        <v>28</v>
      </c>
    </row>
    <row r="286" spans="1:7" ht="15.75" thickBot="1">
      <c r="A286" s="6">
        <v>285</v>
      </c>
      <c r="B286" s="6">
        <v>0.1515</v>
      </c>
      <c r="C286" s="6">
        <v>0.54</v>
      </c>
      <c r="D286" s="6">
        <v>0.1343</v>
      </c>
      <c r="E286" s="6">
        <v>0</v>
      </c>
      <c r="F286" s="6">
        <v>72</v>
      </c>
      <c r="G286" s="6">
        <v>72</v>
      </c>
    </row>
    <row r="287" spans="1:7" ht="15.75" thickBot="1">
      <c r="A287" s="6">
        <v>286</v>
      </c>
      <c r="B287" s="6">
        <v>0.13639999999999999</v>
      </c>
      <c r="C287" s="6">
        <v>0.5</v>
      </c>
      <c r="D287" s="6">
        <v>0.19400000000000001</v>
      </c>
      <c r="E287" s="6">
        <v>5</v>
      </c>
      <c r="F287" s="6">
        <v>197</v>
      </c>
      <c r="G287" s="6">
        <v>202</v>
      </c>
    </row>
    <row r="288" spans="1:7" ht="15.75" thickBot="1">
      <c r="A288" s="6">
        <v>287</v>
      </c>
      <c r="B288" s="6">
        <v>0.1212</v>
      </c>
      <c r="C288" s="6">
        <v>0.5</v>
      </c>
      <c r="D288" s="6">
        <v>0.32840000000000003</v>
      </c>
      <c r="E288" s="6">
        <v>2</v>
      </c>
      <c r="F288" s="6">
        <v>137</v>
      </c>
      <c r="G288" s="6">
        <v>139</v>
      </c>
    </row>
    <row r="289" spans="1:7" ht="15.75" thickBot="1">
      <c r="A289" s="6">
        <v>288</v>
      </c>
      <c r="B289" s="6">
        <v>0.13639999999999999</v>
      </c>
      <c r="C289" s="6">
        <v>0.5</v>
      </c>
      <c r="D289" s="6">
        <v>0.35820000000000002</v>
      </c>
      <c r="E289" s="6">
        <v>2</v>
      </c>
      <c r="F289" s="6">
        <v>36</v>
      </c>
      <c r="G289" s="6">
        <v>38</v>
      </c>
    </row>
    <row r="290" spans="1:7" ht="15.75" thickBot="1">
      <c r="A290" s="6">
        <v>289</v>
      </c>
      <c r="B290" s="6">
        <v>0.16669999999999999</v>
      </c>
      <c r="C290" s="6">
        <v>0.44</v>
      </c>
      <c r="D290" s="6">
        <v>0.44779999999999998</v>
      </c>
      <c r="E290" s="6">
        <v>4</v>
      </c>
      <c r="F290" s="6">
        <v>33</v>
      </c>
      <c r="G290" s="6">
        <v>37</v>
      </c>
    </row>
    <row r="291" spans="1:7" ht="15.75" thickBot="1">
      <c r="A291" s="6">
        <v>290</v>
      </c>
      <c r="B291" s="6">
        <v>0.16669999999999999</v>
      </c>
      <c r="C291" s="6">
        <v>0.44</v>
      </c>
      <c r="D291" s="6">
        <v>0.41789999999999999</v>
      </c>
      <c r="E291" s="6">
        <v>3</v>
      </c>
      <c r="F291" s="6">
        <v>49</v>
      </c>
      <c r="G291" s="6">
        <v>52</v>
      </c>
    </row>
    <row r="292" spans="1:7" ht="15.75" thickBot="1">
      <c r="A292" s="6">
        <v>291</v>
      </c>
      <c r="B292" s="6">
        <v>0.19700000000000001</v>
      </c>
      <c r="C292" s="6">
        <v>0.41</v>
      </c>
      <c r="D292" s="6">
        <v>0.44779999999999998</v>
      </c>
      <c r="E292" s="6">
        <v>2</v>
      </c>
      <c r="F292" s="6">
        <v>81</v>
      </c>
      <c r="G292" s="6">
        <v>83</v>
      </c>
    </row>
    <row r="293" spans="1:7" ht="15.75" thickBot="1">
      <c r="A293" s="6">
        <v>292</v>
      </c>
      <c r="B293" s="6">
        <v>0.19700000000000001</v>
      </c>
      <c r="C293" s="6">
        <v>0.41</v>
      </c>
      <c r="D293" s="6">
        <v>0.3881</v>
      </c>
      <c r="E293" s="6">
        <v>3</v>
      </c>
      <c r="F293" s="6">
        <v>39</v>
      </c>
      <c r="G293" s="6">
        <v>42</v>
      </c>
    </row>
    <row r="294" spans="1:7" ht="15.75" thickBot="1">
      <c r="A294" s="6">
        <v>293</v>
      </c>
      <c r="B294" s="6">
        <v>0.21210000000000001</v>
      </c>
      <c r="C294" s="6">
        <v>0.38</v>
      </c>
      <c r="D294" s="6">
        <v>0.29849999999999999</v>
      </c>
      <c r="E294" s="6">
        <v>5</v>
      </c>
      <c r="F294" s="6">
        <v>55</v>
      </c>
      <c r="G294" s="6">
        <v>60</v>
      </c>
    </row>
    <row r="295" spans="1:7" ht="15.75" thickBot="1">
      <c r="A295" s="6">
        <v>294</v>
      </c>
      <c r="B295" s="6">
        <v>0.21210000000000001</v>
      </c>
      <c r="C295" s="6">
        <v>0.38</v>
      </c>
      <c r="D295" s="6">
        <v>0.35820000000000002</v>
      </c>
      <c r="E295" s="6">
        <v>2</v>
      </c>
      <c r="F295" s="6">
        <v>76</v>
      </c>
      <c r="G295" s="6">
        <v>78</v>
      </c>
    </row>
    <row r="296" spans="1:7" ht="15.75" thickBot="1">
      <c r="A296" s="6">
        <v>295</v>
      </c>
      <c r="B296" s="6">
        <v>0.18179999999999999</v>
      </c>
      <c r="C296" s="6">
        <v>0.4</v>
      </c>
      <c r="D296" s="6">
        <v>0.28360000000000002</v>
      </c>
      <c r="E296" s="6">
        <v>4</v>
      </c>
      <c r="F296" s="6">
        <v>158</v>
      </c>
      <c r="G296" s="6">
        <v>162</v>
      </c>
    </row>
    <row r="297" spans="1:7" ht="15.75" thickBot="1">
      <c r="A297" s="6">
        <v>296</v>
      </c>
      <c r="B297" s="6">
        <v>0.18179999999999999</v>
      </c>
      <c r="C297" s="6">
        <v>0.4</v>
      </c>
      <c r="D297" s="6">
        <v>0.32840000000000003</v>
      </c>
      <c r="E297" s="6">
        <v>3</v>
      </c>
      <c r="F297" s="6">
        <v>141</v>
      </c>
      <c r="G297" s="6">
        <v>144</v>
      </c>
    </row>
    <row r="298" spans="1:7" ht="15.75" thickBot="1">
      <c r="A298" s="6">
        <v>297</v>
      </c>
      <c r="B298" s="6">
        <v>0.1515</v>
      </c>
      <c r="C298" s="6">
        <v>0.47</v>
      </c>
      <c r="D298" s="6">
        <v>0.25369999999999998</v>
      </c>
      <c r="E298" s="6">
        <v>1</v>
      </c>
      <c r="F298" s="6">
        <v>98</v>
      </c>
      <c r="G298" s="6">
        <v>99</v>
      </c>
    </row>
    <row r="299" spans="1:7" ht="15.75" thickBot="1">
      <c r="A299" s="6">
        <v>298</v>
      </c>
      <c r="B299" s="6">
        <v>0.1515</v>
      </c>
      <c r="C299" s="6">
        <v>0.47</v>
      </c>
      <c r="D299" s="6">
        <v>0.22389999999999999</v>
      </c>
      <c r="E299" s="6">
        <v>0</v>
      </c>
      <c r="F299" s="6">
        <v>64</v>
      </c>
      <c r="G299" s="6">
        <v>64</v>
      </c>
    </row>
    <row r="300" spans="1:7" ht="15.75" thickBot="1">
      <c r="A300" s="6">
        <v>299</v>
      </c>
      <c r="B300" s="6">
        <v>0.1212</v>
      </c>
      <c r="C300" s="6">
        <v>0.46</v>
      </c>
      <c r="D300" s="6">
        <v>0.29849999999999999</v>
      </c>
      <c r="E300" s="6">
        <v>0</v>
      </c>
      <c r="F300" s="6">
        <v>40</v>
      </c>
      <c r="G300" s="6">
        <v>40</v>
      </c>
    </row>
    <row r="301" spans="1:7" ht="15.75" thickBot="1">
      <c r="A301" s="6">
        <v>300</v>
      </c>
      <c r="B301" s="6">
        <v>0.1212</v>
      </c>
      <c r="C301" s="6">
        <v>0.46</v>
      </c>
      <c r="D301" s="6">
        <v>0.32840000000000003</v>
      </c>
      <c r="E301" s="6">
        <v>0</v>
      </c>
      <c r="F301" s="6">
        <v>30</v>
      </c>
      <c r="G301" s="6">
        <v>30</v>
      </c>
    </row>
    <row r="302" spans="1:7" ht="15.75" thickBot="1">
      <c r="A302" s="6">
        <v>301</v>
      </c>
      <c r="B302" s="6">
        <v>0.13639999999999999</v>
      </c>
      <c r="C302" s="6">
        <v>0.5</v>
      </c>
      <c r="D302" s="6">
        <v>0.19400000000000001</v>
      </c>
      <c r="E302" s="6">
        <v>1</v>
      </c>
      <c r="F302" s="6">
        <v>14</v>
      </c>
      <c r="G302" s="6">
        <v>15</v>
      </c>
    </row>
    <row r="303" spans="1:7" ht="15.75" thickBot="1">
      <c r="A303" s="6">
        <v>302</v>
      </c>
      <c r="B303" s="6">
        <v>0.13639999999999999</v>
      </c>
      <c r="C303" s="6">
        <v>0.5</v>
      </c>
      <c r="D303" s="6">
        <v>0.19400000000000001</v>
      </c>
      <c r="E303" s="6">
        <v>0</v>
      </c>
      <c r="F303" s="6">
        <v>14</v>
      </c>
      <c r="G303" s="6">
        <v>14</v>
      </c>
    </row>
    <row r="304" spans="1:7" ht="15.75" thickBot="1">
      <c r="A304" s="6">
        <v>303</v>
      </c>
      <c r="B304" s="6">
        <v>0.1212</v>
      </c>
      <c r="C304" s="6">
        <v>0.54</v>
      </c>
      <c r="D304" s="6">
        <v>0.16420000000000001</v>
      </c>
      <c r="E304" s="6">
        <v>0</v>
      </c>
      <c r="F304" s="6">
        <v>5</v>
      </c>
      <c r="G304" s="6">
        <v>5</v>
      </c>
    </row>
    <row r="305" spans="1:7" ht="15.75" thickBot="1">
      <c r="A305" s="6">
        <v>304</v>
      </c>
      <c r="B305" s="6">
        <v>0.1212</v>
      </c>
      <c r="C305" s="6">
        <v>0.54</v>
      </c>
      <c r="D305" s="6">
        <v>0.1343</v>
      </c>
      <c r="E305" s="6">
        <v>0</v>
      </c>
      <c r="F305" s="6">
        <v>1</v>
      </c>
      <c r="G305" s="6">
        <v>1</v>
      </c>
    </row>
    <row r="306" spans="1:7" ht="15.75" thickBot="1">
      <c r="A306" s="6">
        <v>305</v>
      </c>
      <c r="B306" s="6">
        <v>0.13639999999999999</v>
      </c>
      <c r="C306" s="6">
        <v>0.54</v>
      </c>
      <c r="D306" s="6">
        <v>0.1045</v>
      </c>
      <c r="E306" s="6">
        <v>0</v>
      </c>
      <c r="F306" s="6">
        <v>1</v>
      </c>
      <c r="G306" s="6">
        <v>1</v>
      </c>
    </row>
    <row r="307" spans="1:7" ht="15.75" thickBot="1">
      <c r="A307" s="6">
        <v>306</v>
      </c>
      <c r="B307" s="6">
        <v>0.13639999999999999</v>
      </c>
      <c r="C307" s="6">
        <v>0.54</v>
      </c>
      <c r="D307" s="6">
        <v>8.9599999999999999E-2</v>
      </c>
      <c r="E307" s="6">
        <v>0</v>
      </c>
      <c r="F307" s="6">
        <v>8</v>
      </c>
      <c r="G307" s="6">
        <v>8</v>
      </c>
    </row>
    <row r="308" spans="1:7" ht="15.75" thickBot="1">
      <c r="A308" s="6">
        <v>307</v>
      </c>
      <c r="B308" s="6">
        <v>0.18179999999999999</v>
      </c>
      <c r="C308" s="6">
        <v>0.54</v>
      </c>
      <c r="D308" s="6">
        <v>0</v>
      </c>
      <c r="E308" s="6">
        <v>0</v>
      </c>
      <c r="F308" s="6">
        <v>17</v>
      </c>
      <c r="G308" s="6">
        <v>17</v>
      </c>
    </row>
    <row r="309" spans="1:7" ht="15.75" thickBot="1">
      <c r="A309" s="6">
        <v>308</v>
      </c>
      <c r="B309" s="6">
        <v>0.1212</v>
      </c>
      <c r="C309" s="6">
        <v>0.74</v>
      </c>
      <c r="D309" s="6">
        <v>0.16420000000000001</v>
      </c>
      <c r="E309" s="6">
        <v>0</v>
      </c>
      <c r="F309" s="6">
        <v>70</v>
      </c>
      <c r="G309" s="6">
        <v>70</v>
      </c>
    </row>
    <row r="310" spans="1:7" ht="15.75" thickBot="1">
      <c r="A310" s="6">
        <v>309</v>
      </c>
      <c r="B310" s="6">
        <v>0.16669999999999999</v>
      </c>
      <c r="C310" s="6">
        <v>0.68</v>
      </c>
      <c r="D310" s="6">
        <v>0</v>
      </c>
      <c r="E310" s="6">
        <v>2</v>
      </c>
      <c r="F310" s="6">
        <v>156</v>
      </c>
      <c r="G310" s="6">
        <v>158</v>
      </c>
    </row>
    <row r="311" spans="1:7" ht="15.75" thickBot="1">
      <c r="A311" s="6">
        <v>310</v>
      </c>
      <c r="B311" s="6">
        <v>0.1515</v>
      </c>
      <c r="C311" s="6">
        <v>0.69</v>
      </c>
      <c r="D311" s="6">
        <v>0.1343</v>
      </c>
      <c r="E311" s="6">
        <v>0</v>
      </c>
      <c r="F311" s="6">
        <v>117</v>
      </c>
      <c r="G311" s="6">
        <v>117</v>
      </c>
    </row>
    <row r="312" spans="1:7" ht="15.75" thickBot="1">
      <c r="A312" s="6">
        <v>311</v>
      </c>
      <c r="B312" s="6">
        <v>0.18179999999999999</v>
      </c>
      <c r="C312" s="6">
        <v>0.55000000000000004</v>
      </c>
      <c r="D312" s="6">
        <v>0.19400000000000001</v>
      </c>
      <c r="E312" s="6">
        <v>4</v>
      </c>
      <c r="F312" s="6">
        <v>40</v>
      </c>
      <c r="G312" s="6">
        <v>44</v>
      </c>
    </row>
    <row r="313" spans="1:7" ht="15.75" thickBot="1">
      <c r="A313" s="6">
        <v>312</v>
      </c>
      <c r="B313" s="6">
        <v>0.16669999999999999</v>
      </c>
      <c r="C313" s="6">
        <v>0.51</v>
      </c>
      <c r="D313" s="6">
        <v>0.28360000000000002</v>
      </c>
      <c r="E313" s="6">
        <v>6</v>
      </c>
      <c r="F313" s="6">
        <v>47</v>
      </c>
      <c r="G313" s="6">
        <v>53</v>
      </c>
    </row>
    <row r="314" spans="1:7" ht="15.75" thickBot="1">
      <c r="A314" s="6">
        <v>313</v>
      </c>
      <c r="B314" s="6">
        <v>0.19700000000000001</v>
      </c>
      <c r="C314" s="6">
        <v>0.44</v>
      </c>
      <c r="D314" s="6">
        <v>0.25369999999999998</v>
      </c>
      <c r="E314" s="6">
        <v>2</v>
      </c>
      <c r="F314" s="6">
        <v>59</v>
      </c>
      <c r="G314" s="6">
        <v>61</v>
      </c>
    </row>
    <row r="315" spans="1:7" ht="15.75" thickBot="1">
      <c r="A315" s="6">
        <v>314</v>
      </c>
      <c r="B315" s="6">
        <v>0.19700000000000001</v>
      </c>
      <c r="C315" s="6">
        <v>0.37</v>
      </c>
      <c r="D315" s="6">
        <v>0.3881</v>
      </c>
      <c r="E315" s="6">
        <v>4</v>
      </c>
      <c r="F315" s="6">
        <v>73</v>
      </c>
      <c r="G315" s="6">
        <v>77</v>
      </c>
    </row>
    <row r="316" spans="1:7" ht="15.75" thickBot="1">
      <c r="A316" s="6">
        <v>315</v>
      </c>
      <c r="B316" s="6">
        <v>0.21210000000000001</v>
      </c>
      <c r="C316" s="6">
        <v>0.41</v>
      </c>
      <c r="D316" s="6">
        <v>0.28360000000000002</v>
      </c>
      <c r="E316" s="6">
        <v>5</v>
      </c>
      <c r="F316" s="6">
        <v>59</v>
      </c>
      <c r="G316" s="6">
        <v>64</v>
      </c>
    </row>
    <row r="317" spans="1:7" ht="15.75" thickBot="1">
      <c r="A317" s="6">
        <v>316</v>
      </c>
      <c r="B317" s="6">
        <v>0.2424</v>
      </c>
      <c r="C317" s="6">
        <v>0.38</v>
      </c>
      <c r="D317" s="6">
        <v>0.16420000000000001</v>
      </c>
      <c r="E317" s="6">
        <v>9</v>
      </c>
      <c r="F317" s="6">
        <v>59</v>
      </c>
      <c r="G317" s="6">
        <v>68</v>
      </c>
    </row>
    <row r="318" spans="1:7" ht="15.75" thickBot="1">
      <c r="A318" s="6">
        <v>317</v>
      </c>
      <c r="B318" s="6">
        <v>0.2424</v>
      </c>
      <c r="C318" s="6">
        <v>0.41</v>
      </c>
      <c r="D318" s="6">
        <v>0.1045</v>
      </c>
      <c r="E318" s="6">
        <v>3</v>
      </c>
      <c r="F318" s="6">
        <v>87</v>
      </c>
      <c r="G318" s="6">
        <v>90</v>
      </c>
    </row>
    <row r="319" spans="1:7" ht="15.75" thickBot="1">
      <c r="A319" s="6">
        <v>318</v>
      </c>
      <c r="B319" s="6">
        <v>0.2273</v>
      </c>
      <c r="C319" s="6">
        <v>0.41</v>
      </c>
      <c r="D319" s="6">
        <v>0.16420000000000001</v>
      </c>
      <c r="E319" s="6">
        <v>4</v>
      </c>
      <c r="F319" s="6">
        <v>155</v>
      </c>
      <c r="G319" s="6">
        <v>159</v>
      </c>
    </row>
    <row r="320" spans="1:7" ht="15.75" thickBot="1">
      <c r="A320" s="6">
        <v>319</v>
      </c>
      <c r="B320" s="6">
        <v>0.2576</v>
      </c>
      <c r="C320" s="6">
        <v>0.47</v>
      </c>
      <c r="D320" s="6">
        <v>0</v>
      </c>
      <c r="E320" s="6">
        <v>5</v>
      </c>
      <c r="F320" s="6">
        <v>134</v>
      </c>
      <c r="G320" s="6">
        <v>139</v>
      </c>
    </row>
    <row r="321" spans="1:7" ht="15.75" thickBot="1">
      <c r="A321" s="6">
        <v>320</v>
      </c>
      <c r="B321" s="6">
        <v>0.19700000000000001</v>
      </c>
      <c r="C321" s="6">
        <v>0.59</v>
      </c>
      <c r="D321" s="6">
        <v>8.9599999999999999E-2</v>
      </c>
      <c r="E321" s="6">
        <v>3</v>
      </c>
      <c r="F321" s="6">
        <v>89</v>
      </c>
      <c r="G321" s="6">
        <v>92</v>
      </c>
    </row>
    <row r="322" spans="1:7" ht="15.75" thickBot="1">
      <c r="A322" s="6">
        <v>321</v>
      </c>
      <c r="B322" s="6">
        <v>0.2424</v>
      </c>
      <c r="C322" s="6">
        <v>0.59</v>
      </c>
      <c r="D322" s="6">
        <v>0</v>
      </c>
      <c r="E322" s="6">
        <v>0</v>
      </c>
      <c r="F322" s="6">
        <v>68</v>
      </c>
      <c r="G322" s="6">
        <v>68</v>
      </c>
    </row>
    <row r="323" spans="1:7" ht="15.75" thickBot="1">
      <c r="A323" s="6">
        <v>322</v>
      </c>
      <c r="B323" s="6">
        <v>0.2273</v>
      </c>
      <c r="C323" s="6">
        <v>0.69</v>
      </c>
      <c r="D323" s="6">
        <v>0</v>
      </c>
      <c r="E323" s="6">
        <v>4</v>
      </c>
      <c r="F323" s="6">
        <v>48</v>
      </c>
      <c r="G323" s="6">
        <v>52</v>
      </c>
    </row>
    <row r="324" spans="1:7" ht="15.75" thickBot="1">
      <c r="A324" s="6">
        <v>323</v>
      </c>
      <c r="B324" s="6">
        <v>0.2273</v>
      </c>
      <c r="C324" s="6">
        <v>0.69</v>
      </c>
      <c r="D324" s="6">
        <v>0</v>
      </c>
      <c r="E324" s="6">
        <v>2</v>
      </c>
      <c r="F324" s="6">
        <v>34</v>
      </c>
      <c r="G324" s="6">
        <v>36</v>
      </c>
    </row>
    <row r="325" spans="1:7" ht="15.75" thickBot="1">
      <c r="A325" s="6">
        <v>324</v>
      </c>
      <c r="B325" s="6">
        <v>0.2424</v>
      </c>
      <c r="C325" s="6">
        <v>0.55000000000000004</v>
      </c>
      <c r="D325" s="6">
        <v>0</v>
      </c>
      <c r="E325" s="6">
        <v>1</v>
      </c>
      <c r="F325" s="6">
        <v>26</v>
      </c>
      <c r="G325" s="6">
        <v>27</v>
      </c>
    </row>
    <row r="326" spans="1:7" ht="15.75" thickBot="1">
      <c r="A326" s="6">
        <v>325</v>
      </c>
      <c r="B326" s="6">
        <v>0.2424</v>
      </c>
      <c r="C326" s="6">
        <v>0.55000000000000004</v>
      </c>
      <c r="D326" s="6">
        <v>0</v>
      </c>
      <c r="E326" s="6">
        <v>3</v>
      </c>
      <c r="F326" s="6">
        <v>25</v>
      </c>
      <c r="G326" s="6">
        <v>28</v>
      </c>
    </row>
    <row r="327" spans="1:7" ht="15.75" thickBot="1">
      <c r="A327" s="6">
        <v>326</v>
      </c>
      <c r="B327" s="6">
        <v>0.19700000000000001</v>
      </c>
      <c r="C327" s="6">
        <v>0.59</v>
      </c>
      <c r="D327" s="6">
        <v>8.9599999999999999E-2</v>
      </c>
      <c r="E327" s="6">
        <v>2</v>
      </c>
      <c r="F327" s="6">
        <v>18</v>
      </c>
      <c r="G327" s="6">
        <v>20</v>
      </c>
    </row>
    <row r="328" spans="1:7" ht="15.75" thickBot="1">
      <c r="A328" s="6">
        <v>327</v>
      </c>
      <c r="B328" s="6">
        <v>0.19700000000000001</v>
      </c>
      <c r="C328" s="6">
        <v>0.59</v>
      </c>
      <c r="D328" s="6">
        <v>8.9599999999999999E-2</v>
      </c>
      <c r="E328" s="6">
        <v>0</v>
      </c>
      <c r="F328" s="6">
        <v>12</v>
      </c>
      <c r="G328" s="6">
        <v>12</v>
      </c>
    </row>
    <row r="329" spans="1:7" ht="15.75" thickBot="1">
      <c r="A329" s="6">
        <v>328</v>
      </c>
      <c r="B329" s="6">
        <v>0.2273</v>
      </c>
      <c r="C329" s="6">
        <v>0.59</v>
      </c>
      <c r="D329" s="6">
        <v>0</v>
      </c>
      <c r="E329" s="6">
        <v>1</v>
      </c>
      <c r="F329" s="6">
        <v>7</v>
      </c>
      <c r="G329" s="6">
        <v>8</v>
      </c>
    </row>
    <row r="330" spans="1:7" ht="15.75" thickBot="1">
      <c r="A330" s="6">
        <v>329</v>
      </c>
      <c r="B330" s="6">
        <v>0.2273</v>
      </c>
      <c r="C330" s="6">
        <v>0.59</v>
      </c>
      <c r="D330" s="6">
        <v>0</v>
      </c>
      <c r="E330" s="6">
        <v>0</v>
      </c>
      <c r="F330" s="6">
        <v>5</v>
      </c>
      <c r="G330" s="6">
        <v>5</v>
      </c>
    </row>
    <row r="331" spans="1:7" ht="15.75" thickBot="1">
      <c r="A331" s="6">
        <v>330</v>
      </c>
      <c r="B331" s="6">
        <v>0.2273</v>
      </c>
      <c r="C331" s="6">
        <v>0.59</v>
      </c>
      <c r="D331" s="6">
        <v>0</v>
      </c>
      <c r="E331" s="6">
        <v>0</v>
      </c>
      <c r="F331" s="6">
        <v>1</v>
      </c>
      <c r="G331" s="6">
        <v>1</v>
      </c>
    </row>
    <row r="332" spans="1:7" ht="15.75" thickBot="1">
      <c r="A332" s="6">
        <v>331</v>
      </c>
      <c r="B332" s="6">
        <v>0.16669999999999999</v>
      </c>
      <c r="C332" s="6">
        <v>0.63</v>
      </c>
      <c r="D332" s="6">
        <v>0.1045</v>
      </c>
      <c r="E332" s="6">
        <v>1</v>
      </c>
      <c r="F332" s="6">
        <v>2</v>
      </c>
      <c r="G332" s="6">
        <v>3</v>
      </c>
    </row>
    <row r="333" spans="1:7" ht="15.75" thickBot="1">
      <c r="A333" s="6">
        <v>332</v>
      </c>
      <c r="B333" s="6">
        <v>0.21210000000000001</v>
      </c>
      <c r="C333" s="6">
        <v>0.63</v>
      </c>
      <c r="D333" s="6">
        <v>0</v>
      </c>
      <c r="E333" s="6">
        <v>1</v>
      </c>
      <c r="F333" s="6">
        <v>9</v>
      </c>
      <c r="G333" s="6">
        <v>10</v>
      </c>
    </row>
    <row r="334" spans="1:7" ht="15.75" thickBot="1">
      <c r="A334" s="6">
        <v>333</v>
      </c>
      <c r="B334" s="6">
        <v>0.1515</v>
      </c>
      <c r="C334" s="6">
        <v>0.63</v>
      </c>
      <c r="D334" s="6">
        <v>0.1343</v>
      </c>
      <c r="E334" s="6">
        <v>1</v>
      </c>
      <c r="F334" s="6">
        <v>22</v>
      </c>
      <c r="G334" s="6">
        <v>23</v>
      </c>
    </row>
    <row r="335" spans="1:7" ht="15.75" thickBot="1">
      <c r="A335" s="6">
        <v>334</v>
      </c>
      <c r="B335" s="6">
        <v>0.18179999999999999</v>
      </c>
      <c r="C335" s="6">
        <v>0.64</v>
      </c>
      <c r="D335" s="6">
        <v>0.1343</v>
      </c>
      <c r="E335" s="6">
        <v>2</v>
      </c>
      <c r="F335" s="6">
        <v>31</v>
      </c>
      <c r="G335" s="6">
        <v>33</v>
      </c>
    </row>
    <row r="336" spans="1:7" ht="15.75" thickBot="1">
      <c r="A336" s="6">
        <v>335</v>
      </c>
      <c r="B336" s="6">
        <v>0.19700000000000001</v>
      </c>
      <c r="C336" s="6">
        <v>0.59</v>
      </c>
      <c r="D336" s="6">
        <v>0.16420000000000001</v>
      </c>
      <c r="E336" s="6">
        <v>2</v>
      </c>
      <c r="F336" s="6">
        <v>57</v>
      </c>
      <c r="G336" s="6">
        <v>59</v>
      </c>
    </row>
    <row r="337" spans="1:7" ht="15.75" thickBot="1">
      <c r="A337" s="6">
        <v>336</v>
      </c>
      <c r="B337" s="6">
        <v>0.19700000000000001</v>
      </c>
      <c r="C337" s="6">
        <v>0.55000000000000004</v>
      </c>
      <c r="D337" s="6">
        <v>0.22389999999999999</v>
      </c>
      <c r="E337" s="6">
        <v>18</v>
      </c>
      <c r="F337" s="6">
        <v>54</v>
      </c>
      <c r="G337" s="6">
        <v>72</v>
      </c>
    </row>
    <row r="338" spans="1:7" ht="15.75" thickBot="1">
      <c r="A338" s="6">
        <v>337</v>
      </c>
      <c r="B338" s="6">
        <v>0.2273</v>
      </c>
      <c r="C338" s="6">
        <v>0.48</v>
      </c>
      <c r="D338" s="6">
        <v>0.22389999999999999</v>
      </c>
      <c r="E338" s="6">
        <v>15</v>
      </c>
      <c r="F338" s="6">
        <v>74</v>
      </c>
      <c r="G338" s="6">
        <v>89</v>
      </c>
    </row>
    <row r="339" spans="1:7" ht="15.75" thickBot="1">
      <c r="A339" s="6">
        <v>338</v>
      </c>
      <c r="B339" s="6">
        <v>0.2576</v>
      </c>
      <c r="C339" s="6">
        <v>0.38</v>
      </c>
      <c r="D339" s="6">
        <v>0.29849999999999999</v>
      </c>
      <c r="E339" s="6">
        <v>21</v>
      </c>
      <c r="F339" s="6">
        <v>80</v>
      </c>
      <c r="G339" s="6">
        <v>101</v>
      </c>
    </row>
    <row r="340" spans="1:7" ht="15.75" thickBot="1">
      <c r="A340" s="6">
        <v>339</v>
      </c>
      <c r="B340" s="6">
        <v>0.28789999999999999</v>
      </c>
      <c r="C340" s="6">
        <v>0.39</v>
      </c>
      <c r="D340" s="6">
        <v>0.28360000000000002</v>
      </c>
      <c r="E340" s="6">
        <v>26</v>
      </c>
      <c r="F340" s="6">
        <v>92</v>
      </c>
      <c r="G340" s="6">
        <v>118</v>
      </c>
    </row>
    <row r="341" spans="1:7" ht="15.75" thickBot="1">
      <c r="A341" s="6">
        <v>340</v>
      </c>
      <c r="B341" s="6">
        <v>0.31819999999999998</v>
      </c>
      <c r="C341" s="6">
        <v>0.36</v>
      </c>
      <c r="D341" s="6">
        <v>0.19400000000000001</v>
      </c>
      <c r="E341" s="6">
        <v>21</v>
      </c>
      <c r="F341" s="6">
        <v>108</v>
      </c>
      <c r="G341" s="6">
        <v>129</v>
      </c>
    </row>
    <row r="342" spans="1:7" ht="15.75" thickBot="1">
      <c r="A342" s="6">
        <v>341</v>
      </c>
      <c r="B342" s="6">
        <v>0.33329999999999999</v>
      </c>
      <c r="C342" s="6">
        <v>0.34</v>
      </c>
      <c r="D342" s="6">
        <v>0.19400000000000001</v>
      </c>
      <c r="E342" s="6">
        <v>33</v>
      </c>
      <c r="F342" s="6">
        <v>95</v>
      </c>
      <c r="G342" s="6">
        <v>128</v>
      </c>
    </row>
    <row r="343" spans="1:7" ht="15.75" thickBot="1">
      <c r="A343" s="6">
        <v>342</v>
      </c>
      <c r="B343" s="6">
        <v>0.30299999999999999</v>
      </c>
      <c r="C343" s="6">
        <v>0.36</v>
      </c>
      <c r="D343" s="6">
        <v>0.28360000000000002</v>
      </c>
      <c r="E343" s="6">
        <v>29</v>
      </c>
      <c r="F343" s="6">
        <v>54</v>
      </c>
      <c r="G343" s="6">
        <v>83</v>
      </c>
    </row>
    <row r="344" spans="1:7" ht="15.75" thickBot="1">
      <c r="A344" s="6">
        <v>343</v>
      </c>
      <c r="B344" s="6">
        <v>0.28789999999999999</v>
      </c>
      <c r="C344" s="6">
        <v>0.45</v>
      </c>
      <c r="D344" s="6">
        <v>0.25369999999999998</v>
      </c>
      <c r="E344" s="6">
        <v>15</v>
      </c>
      <c r="F344" s="6">
        <v>69</v>
      </c>
      <c r="G344" s="6">
        <v>84</v>
      </c>
    </row>
    <row r="345" spans="1:7" ht="15.75" thickBot="1">
      <c r="A345" s="6">
        <v>344</v>
      </c>
      <c r="B345" s="6">
        <v>0.30299999999999999</v>
      </c>
      <c r="C345" s="6">
        <v>0.39</v>
      </c>
      <c r="D345" s="6">
        <v>0.25369999999999998</v>
      </c>
      <c r="E345" s="6">
        <v>14</v>
      </c>
      <c r="F345" s="6">
        <v>60</v>
      </c>
      <c r="G345" s="6">
        <v>74</v>
      </c>
    </row>
    <row r="346" spans="1:7" ht="15.75" thickBot="1">
      <c r="A346" s="6">
        <v>345</v>
      </c>
      <c r="B346" s="6">
        <v>0.30299999999999999</v>
      </c>
      <c r="C346" s="6">
        <v>0.39</v>
      </c>
      <c r="D346" s="6">
        <v>0.25369999999999998</v>
      </c>
      <c r="E346" s="6">
        <v>6</v>
      </c>
      <c r="F346" s="6">
        <v>35</v>
      </c>
      <c r="G346" s="6">
        <v>41</v>
      </c>
    </row>
    <row r="347" spans="1:7" ht="15.75" thickBot="1">
      <c r="A347" s="6">
        <v>346</v>
      </c>
      <c r="B347" s="6">
        <v>0.30299999999999999</v>
      </c>
      <c r="C347" s="6">
        <v>0.39</v>
      </c>
      <c r="D347" s="6">
        <v>0.22389999999999999</v>
      </c>
      <c r="E347" s="6">
        <v>6</v>
      </c>
      <c r="F347" s="6">
        <v>51</v>
      </c>
      <c r="G347" s="6">
        <v>57</v>
      </c>
    </row>
    <row r="348" spans="1:7" ht="15.75" thickBot="1">
      <c r="A348" s="6">
        <v>347</v>
      </c>
      <c r="B348" s="6">
        <v>0.31819999999999998</v>
      </c>
      <c r="C348" s="6">
        <v>0.42</v>
      </c>
      <c r="D348" s="6">
        <v>0.1045</v>
      </c>
      <c r="E348" s="6">
        <v>0</v>
      </c>
      <c r="F348" s="6">
        <v>26</v>
      </c>
      <c r="G348" s="6">
        <v>26</v>
      </c>
    </row>
    <row r="349" spans="1:7" ht="15.75" thickBot="1">
      <c r="A349" s="6">
        <v>348</v>
      </c>
      <c r="B349" s="6">
        <v>0.28789999999999999</v>
      </c>
      <c r="C349" s="6">
        <v>0.45</v>
      </c>
      <c r="D349" s="6">
        <v>0.28360000000000002</v>
      </c>
      <c r="E349" s="6">
        <v>5</v>
      </c>
      <c r="F349" s="6">
        <v>39</v>
      </c>
      <c r="G349" s="6">
        <v>44</v>
      </c>
    </row>
    <row r="350" spans="1:7" ht="15.75" thickBot="1">
      <c r="A350" s="6">
        <v>349</v>
      </c>
      <c r="B350" s="6">
        <v>0.30299999999999999</v>
      </c>
      <c r="C350" s="6">
        <v>0.56000000000000005</v>
      </c>
      <c r="D350" s="6">
        <v>0</v>
      </c>
      <c r="E350" s="6">
        <v>6</v>
      </c>
      <c r="F350" s="6">
        <v>33</v>
      </c>
      <c r="G350" s="6">
        <v>39</v>
      </c>
    </row>
    <row r="351" spans="1:7" ht="15.75" thickBot="1">
      <c r="A351" s="6">
        <v>350</v>
      </c>
      <c r="B351" s="6">
        <v>0.2727</v>
      </c>
      <c r="C351" s="6">
        <v>0.56000000000000005</v>
      </c>
      <c r="D351" s="6">
        <v>0.1343</v>
      </c>
      <c r="E351" s="6">
        <v>4</v>
      </c>
      <c r="F351" s="6">
        <v>19</v>
      </c>
      <c r="G351" s="6">
        <v>23</v>
      </c>
    </row>
    <row r="352" spans="1:7" ht="15.75" thickBot="1">
      <c r="A352" s="6">
        <v>351</v>
      </c>
      <c r="B352" s="6">
        <v>0.28789999999999999</v>
      </c>
      <c r="C352" s="6">
        <v>0.56000000000000005</v>
      </c>
      <c r="D352" s="6">
        <v>8.9599999999999999E-2</v>
      </c>
      <c r="E352" s="6">
        <v>3</v>
      </c>
      <c r="F352" s="6">
        <v>13</v>
      </c>
      <c r="G352" s="6">
        <v>16</v>
      </c>
    </row>
    <row r="353" spans="1:7" ht="15.75" thickBot="1">
      <c r="A353" s="6">
        <v>352</v>
      </c>
      <c r="B353" s="6">
        <v>0.2727</v>
      </c>
      <c r="C353" s="6">
        <v>0.69</v>
      </c>
      <c r="D353" s="6">
        <v>0</v>
      </c>
      <c r="E353" s="6">
        <v>9</v>
      </c>
      <c r="F353" s="6">
        <v>6</v>
      </c>
      <c r="G353" s="6">
        <v>15</v>
      </c>
    </row>
    <row r="354" spans="1:7" ht="15.75" thickBot="1">
      <c r="A354" s="6">
        <v>353</v>
      </c>
      <c r="B354" s="6">
        <v>0.2576</v>
      </c>
      <c r="C354" s="6">
        <v>0.56000000000000005</v>
      </c>
      <c r="D354" s="6">
        <v>0.16420000000000001</v>
      </c>
      <c r="E354" s="6">
        <v>0</v>
      </c>
      <c r="F354" s="6">
        <v>1</v>
      </c>
      <c r="G354" s="6">
        <v>1</v>
      </c>
    </row>
    <row r="355" spans="1:7" ht="15.75" thickBot="1">
      <c r="A355" s="6">
        <v>354</v>
      </c>
      <c r="B355" s="6">
        <v>0.2576</v>
      </c>
      <c r="C355" s="6">
        <v>0.56000000000000005</v>
      </c>
      <c r="D355" s="6">
        <v>0.16420000000000001</v>
      </c>
      <c r="E355" s="6">
        <v>1</v>
      </c>
      <c r="F355" s="6">
        <v>1</v>
      </c>
      <c r="G355" s="6">
        <v>2</v>
      </c>
    </row>
    <row r="356" spans="1:7" ht="15.75" thickBot="1">
      <c r="A356" s="6">
        <v>355</v>
      </c>
      <c r="B356" s="6">
        <v>0.2576</v>
      </c>
      <c r="C356" s="6">
        <v>0.56000000000000005</v>
      </c>
      <c r="D356" s="6">
        <v>0.16420000000000001</v>
      </c>
      <c r="E356" s="6">
        <v>0</v>
      </c>
      <c r="F356" s="6">
        <v>1</v>
      </c>
      <c r="G356" s="6">
        <v>1</v>
      </c>
    </row>
    <row r="357" spans="1:7" ht="15.75" thickBot="1">
      <c r="A357" s="6">
        <v>356</v>
      </c>
      <c r="B357" s="6">
        <v>0.21210000000000001</v>
      </c>
      <c r="C357" s="6">
        <v>0.56000000000000005</v>
      </c>
      <c r="D357" s="6">
        <v>0.29849999999999999</v>
      </c>
      <c r="E357" s="6">
        <v>0</v>
      </c>
      <c r="F357" s="6">
        <v>3</v>
      </c>
      <c r="G357" s="6">
        <v>3</v>
      </c>
    </row>
    <row r="358" spans="1:7" ht="15.75" thickBot="1">
      <c r="A358" s="6">
        <v>357</v>
      </c>
      <c r="B358" s="6">
        <v>0.21210000000000001</v>
      </c>
      <c r="C358" s="6">
        <v>0.55000000000000004</v>
      </c>
      <c r="D358" s="6">
        <v>0.28360000000000002</v>
      </c>
      <c r="E358" s="6">
        <v>0</v>
      </c>
      <c r="F358" s="6">
        <v>18</v>
      </c>
      <c r="G358" s="6">
        <v>18</v>
      </c>
    </row>
    <row r="359" spans="1:7" ht="15.75" thickBot="1">
      <c r="A359" s="6">
        <v>358</v>
      </c>
      <c r="B359" s="6">
        <v>0.21210000000000001</v>
      </c>
      <c r="C359" s="6">
        <v>0.51</v>
      </c>
      <c r="D359" s="6">
        <v>0.25369999999999998</v>
      </c>
      <c r="E359" s="6">
        <v>3</v>
      </c>
      <c r="F359" s="6">
        <v>29</v>
      </c>
      <c r="G359" s="6">
        <v>32</v>
      </c>
    </row>
    <row r="360" spans="1:7" ht="15.75" thickBot="1">
      <c r="A360" s="6">
        <v>359</v>
      </c>
      <c r="B360" s="6">
        <v>0.21210000000000001</v>
      </c>
      <c r="C360" s="6">
        <v>0.51</v>
      </c>
      <c r="D360" s="6">
        <v>0.28360000000000002</v>
      </c>
      <c r="E360" s="6">
        <v>8</v>
      </c>
      <c r="F360" s="6">
        <v>71</v>
      </c>
      <c r="G360" s="6">
        <v>79</v>
      </c>
    </row>
    <row r="361" spans="1:7" ht="15.75" thickBot="1">
      <c r="A361" s="6">
        <v>360</v>
      </c>
      <c r="B361" s="6">
        <v>0.2273</v>
      </c>
      <c r="C361" s="6">
        <v>0.44</v>
      </c>
      <c r="D361" s="6">
        <v>0.25369999999999998</v>
      </c>
      <c r="E361" s="6">
        <v>23</v>
      </c>
      <c r="F361" s="6">
        <v>70</v>
      </c>
      <c r="G361" s="6">
        <v>93</v>
      </c>
    </row>
    <row r="362" spans="1:7" ht="15.75" thickBot="1">
      <c r="A362" s="6">
        <v>361</v>
      </c>
      <c r="B362" s="6">
        <v>0.21210000000000001</v>
      </c>
      <c r="C362" s="6">
        <v>0.41</v>
      </c>
      <c r="D362" s="6">
        <v>0.28360000000000002</v>
      </c>
      <c r="E362" s="6">
        <v>29</v>
      </c>
      <c r="F362" s="6">
        <v>75</v>
      </c>
      <c r="G362" s="6">
        <v>104</v>
      </c>
    </row>
    <row r="363" spans="1:7" ht="15.75" thickBot="1">
      <c r="A363" s="6">
        <v>362</v>
      </c>
      <c r="B363" s="6">
        <v>0.2273</v>
      </c>
      <c r="C363" s="6">
        <v>0.35</v>
      </c>
      <c r="D363" s="6">
        <v>0.29849999999999999</v>
      </c>
      <c r="E363" s="6">
        <v>23</v>
      </c>
      <c r="F363" s="6">
        <v>95</v>
      </c>
      <c r="G363" s="6">
        <v>118</v>
      </c>
    </row>
    <row r="364" spans="1:7" ht="15.75" thickBot="1">
      <c r="A364" s="6">
        <v>363</v>
      </c>
      <c r="B364" s="6">
        <v>0.2727</v>
      </c>
      <c r="C364" s="6">
        <v>0.36</v>
      </c>
      <c r="D364" s="6">
        <v>0.25369999999999998</v>
      </c>
      <c r="E364" s="6">
        <v>22</v>
      </c>
      <c r="F364" s="6">
        <v>69</v>
      </c>
      <c r="G364" s="6">
        <v>91</v>
      </c>
    </row>
    <row r="365" spans="1:7" ht="15.75" thickBot="1">
      <c r="A365" s="6">
        <v>364</v>
      </c>
      <c r="B365" s="6">
        <v>0.2424</v>
      </c>
      <c r="C365" s="6">
        <v>0.38</v>
      </c>
      <c r="D365" s="6">
        <v>0.25369999999999998</v>
      </c>
      <c r="E365" s="6">
        <v>35</v>
      </c>
      <c r="F365" s="6">
        <v>78</v>
      </c>
      <c r="G365" s="6">
        <v>113</v>
      </c>
    </row>
    <row r="366" spans="1:7" ht="15.75" thickBot="1">
      <c r="A366" s="6">
        <v>365</v>
      </c>
      <c r="B366" s="6">
        <v>0.2273</v>
      </c>
      <c r="C366" s="6">
        <v>0.38</v>
      </c>
      <c r="D366" s="6">
        <v>0.22389999999999999</v>
      </c>
      <c r="E366" s="6">
        <v>22</v>
      </c>
      <c r="F366" s="6">
        <v>77</v>
      </c>
      <c r="G366" s="6">
        <v>99</v>
      </c>
    </row>
    <row r="367" spans="1:7" ht="15.75" thickBot="1">
      <c r="A367" s="6">
        <v>366</v>
      </c>
      <c r="B367" s="6">
        <v>0.21210000000000001</v>
      </c>
      <c r="C367" s="6">
        <v>0.37</v>
      </c>
      <c r="D367" s="6">
        <v>0.25369999999999998</v>
      </c>
      <c r="E367" s="6">
        <v>23</v>
      </c>
      <c r="F367" s="6">
        <v>82</v>
      </c>
      <c r="G367" s="6">
        <v>105</v>
      </c>
    </row>
    <row r="368" spans="1:7" ht="15.75" thickBot="1">
      <c r="A368" s="6">
        <v>367</v>
      </c>
      <c r="B368" s="6">
        <v>0.21210000000000001</v>
      </c>
      <c r="C368" s="6">
        <v>0.4</v>
      </c>
      <c r="D368" s="6">
        <v>0.16420000000000001</v>
      </c>
      <c r="E368" s="6">
        <v>11</v>
      </c>
      <c r="F368" s="6">
        <v>56</v>
      </c>
      <c r="G368" s="6">
        <v>67</v>
      </c>
    </row>
    <row r="369" spans="1:7" ht="15.75" thickBot="1">
      <c r="A369" s="6">
        <v>368</v>
      </c>
      <c r="B369" s="6">
        <v>0.19700000000000001</v>
      </c>
      <c r="C369" s="6">
        <v>0.47</v>
      </c>
      <c r="D369" s="6">
        <v>0.1343</v>
      </c>
      <c r="E369" s="6">
        <v>14</v>
      </c>
      <c r="F369" s="6">
        <v>47</v>
      </c>
      <c r="G369" s="6">
        <v>61</v>
      </c>
    </row>
    <row r="370" spans="1:7" ht="15.75" thickBot="1">
      <c r="A370" s="6">
        <v>369</v>
      </c>
      <c r="B370" s="6">
        <v>0.19700000000000001</v>
      </c>
      <c r="C370" s="6">
        <v>0.47</v>
      </c>
      <c r="D370" s="6">
        <v>0.16420000000000001</v>
      </c>
      <c r="E370" s="6">
        <v>7</v>
      </c>
      <c r="F370" s="6">
        <v>50</v>
      </c>
      <c r="G370" s="6">
        <v>57</v>
      </c>
    </row>
    <row r="371" spans="1:7" ht="15.75" thickBot="1">
      <c r="A371" s="6">
        <v>370</v>
      </c>
      <c r="B371" s="6">
        <v>0.19700000000000001</v>
      </c>
      <c r="C371" s="6">
        <v>0.51</v>
      </c>
      <c r="D371" s="6">
        <v>0.16420000000000001</v>
      </c>
      <c r="E371" s="6">
        <v>6</v>
      </c>
      <c r="F371" s="6">
        <v>22</v>
      </c>
      <c r="G371" s="6">
        <v>28</v>
      </c>
    </row>
    <row r="372" spans="1:7" ht="15.75" thickBot="1">
      <c r="A372" s="6">
        <v>371</v>
      </c>
      <c r="B372" s="6">
        <v>0.21210000000000001</v>
      </c>
      <c r="C372" s="6">
        <v>0.49</v>
      </c>
      <c r="D372" s="6">
        <v>0.1343</v>
      </c>
      <c r="E372" s="6">
        <v>2</v>
      </c>
      <c r="F372" s="6">
        <v>19</v>
      </c>
      <c r="G372" s="6">
        <v>21</v>
      </c>
    </row>
    <row r="373" spans="1:7" ht="15.75" thickBot="1">
      <c r="A373" s="6">
        <v>372</v>
      </c>
      <c r="B373" s="6">
        <v>0.2273</v>
      </c>
      <c r="C373" s="6">
        <v>0.4</v>
      </c>
      <c r="D373" s="6">
        <v>0.1045</v>
      </c>
      <c r="E373" s="6">
        <v>0</v>
      </c>
      <c r="F373" s="6">
        <v>18</v>
      </c>
      <c r="G373" s="6">
        <v>18</v>
      </c>
    </row>
    <row r="374" spans="1:7" ht="15.75" thickBot="1">
      <c r="A374" s="6">
        <v>373</v>
      </c>
      <c r="B374" s="6">
        <v>0.19700000000000001</v>
      </c>
      <c r="C374" s="6">
        <v>0.47</v>
      </c>
      <c r="D374" s="6">
        <v>0.22389999999999999</v>
      </c>
      <c r="E374" s="6">
        <v>1</v>
      </c>
      <c r="F374" s="6">
        <v>16</v>
      </c>
      <c r="G374" s="6">
        <v>17</v>
      </c>
    </row>
    <row r="375" spans="1:7" ht="15.75" thickBot="1">
      <c r="A375" s="6">
        <v>374</v>
      </c>
      <c r="B375" s="6">
        <v>0.19700000000000001</v>
      </c>
      <c r="C375" s="6">
        <v>0.44</v>
      </c>
      <c r="D375" s="6">
        <v>0.19400000000000001</v>
      </c>
      <c r="E375" s="6">
        <v>1</v>
      </c>
      <c r="F375" s="6">
        <v>15</v>
      </c>
      <c r="G375" s="6">
        <v>16</v>
      </c>
    </row>
    <row r="376" spans="1:7" ht="15.75" thickBot="1">
      <c r="A376" s="6">
        <v>375</v>
      </c>
      <c r="B376" s="6">
        <v>0.16669999999999999</v>
      </c>
      <c r="C376" s="6">
        <v>0.43</v>
      </c>
      <c r="D376" s="6">
        <v>0.25369999999999998</v>
      </c>
      <c r="E376" s="6">
        <v>0</v>
      </c>
      <c r="F376" s="6">
        <v>8</v>
      </c>
      <c r="G376" s="6">
        <v>8</v>
      </c>
    </row>
    <row r="377" spans="1:7" ht="15.75" thickBot="1">
      <c r="A377" s="6">
        <v>376</v>
      </c>
      <c r="B377" s="6">
        <v>0.18179999999999999</v>
      </c>
      <c r="C377" s="6">
        <v>0.43</v>
      </c>
      <c r="D377" s="6">
        <v>0.19400000000000001</v>
      </c>
      <c r="E377" s="6">
        <v>0</v>
      </c>
      <c r="F377" s="6">
        <v>2</v>
      </c>
      <c r="G377" s="6">
        <v>2</v>
      </c>
    </row>
    <row r="378" spans="1:7" ht="15.75" thickBot="1">
      <c r="A378" s="6">
        <v>377</v>
      </c>
      <c r="B378" s="6">
        <v>0.19700000000000001</v>
      </c>
      <c r="C378" s="6">
        <v>0.43</v>
      </c>
      <c r="D378" s="6">
        <v>0.1343</v>
      </c>
      <c r="E378" s="6">
        <v>1</v>
      </c>
      <c r="F378" s="6">
        <v>2</v>
      </c>
      <c r="G378" s="6">
        <v>3</v>
      </c>
    </row>
    <row r="379" spans="1:7" ht="15.75" thickBot="1">
      <c r="A379" s="6">
        <v>378</v>
      </c>
      <c r="B379" s="6">
        <v>0.19700000000000001</v>
      </c>
      <c r="C379" s="6">
        <v>0.43</v>
      </c>
      <c r="D379" s="6">
        <v>0.16420000000000001</v>
      </c>
      <c r="E379" s="6">
        <v>0</v>
      </c>
      <c r="F379" s="6">
        <v>1</v>
      </c>
      <c r="G379" s="6">
        <v>1</v>
      </c>
    </row>
    <row r="380" spans="1:7" ht="15.75" thickBot="1">
      <c r="A380" s="6">
        <v>379</v>
      </c>
      <c r="B380" s="6">
        <v>0.18179999999999999</v>
      </c>
      <c r="C380" s="6">
        <v>0.43</v>
      </c>
      <c r="D380" s="6">
        <v>0.19400000000000001</v>
      </c>
      <c r="E380" s="6">
        <v>0</v>
      </c>
      <c r="F380" s="6">
        <v>5</v>
      </c>
      <c r="G380" s="6">
        <v>5</v>
      </c>
    </row>
    <row r="381" spans="1:7" ht="15.75" thickBot="1">
      <c r="A381" s="6">
        <v>380</v>
      </c>
      <c r="B381" s="6">
        <v>0.18179999999999999</v>
      </c>
      <c r="C381" s="6">
        <v>0.5</v>
      </c>
      <c r="D381" s="6">
        <v>0.1343</v>
      </c>
      <c r="E381" s="6">
        <v>4</v>
      </c>
      <c r="F381" s="6">
        <v>9</v>
      </c>
      <c r="G381" s="6">
        <v>13</v>
      </c>
    </row>
    <row r="382" spans="1:7" ht="15.75" thickBot="1">
      <c r="A382" s="6">
        <v>381</v>
      </c>
      <c r="B382" s="6">
        <v>0.1515</v>
      </c>
      <c r="C382" s="6">
        <v>0.47</v>
      </c>
      <c r="D382" s="6">
        <v>0.22389999999999999</v>
      </c>
      <c r="E382" s="6">
        <v>3</v>
      </c>
      <c r="F382" s="6">
        <v>30</v>
      </c>
      <c r="G382" s="6">
        <v>33</v>
      </c>
    </row>
    <row r="383" spans="1:7" ht="15.75" thickBot="1">
      <c r="A383" s="6">
        <v>382</v>
      </c>
      <c r="B383" s="6">
        <v>0.1515</v>
      </c>
      <c r="C383" s="6">
        <v>0.47</v>
      </c>
      <c r="D383" s="6">
        <v>0.22389999999999999</v>
      </c>
      <c r="E383" s="6">
        <v>8</v>
      </c>
      <c r="F383" s="6">
        <v>39</v>
      </c>
      <c r="G383" s="6">
        <v>47</v>
      </c>
    </row>
    <row r="384" spans="1:7" ht="15.75" thickBot="1">
      <c r="A384" s="6">
        <v>383</v>
      </c>
      <c r="B384" s="6">
        <v>0.1515</v>
      </c>
      <c r="C384" s="6">
        <v>0.5</v>
      </c>
      <c r="D384" s="6">
        <v>0.25369999999999998</v>
      </c>
      <c r="E384" s="6">
        <v>7</v>
      </c>
      <c r="F384" s="6">
        <v>50</v>
      </c>
      <c r="G384" s="6">
        <v>57</v>
      </c>
    </row>
    <row r="385" spans="1:7" ht="15.75" thickBot="1">
      <c r="A385" s="6">
        <v>384</v>
      </c>
      <c r="B385" s="6">
        <v>0.1515</v>
      </c>
      <c r="C385" s="6">
        <v>0.55000000000000004</v>
      </c>
      <c r="D385" s="6">
        <v>0.19400000000000001</v>
      </c>
      <c r="E385" s="6">
        <v>9</v>
      </c>
      <c r="F385" s="6">
        <v>55</v>
      </c>
      <c r="G385" s="6">
        <v>64</v>
      </c>
    </row>
    <row r="386" spans="1:7" ht="15.75" thickBot="1">
      <c r="A386" s="6">
        <v>385</v>
      </c>
      <c r="B386" s="6">
        <v>0.19700000000000001</v>
      </c>
      <c r="C386" s="6">
        <v>0.47</v>
      </c>
      <c r="D386" s="6">
        <v>0.1343</v>
      </c>
      <c r="E386" s="6">
        <v>10</v>
      </c>
      <c r="F386" s="6">
        <v>70</v>
      </c>
      <c r="G386" s="6">
        <v>80</v>
      </c>
    </row>
    <row r="387" spans="1:7" ht="15.75" thickBot="1">
      <c r="A387" s="6">
        <v>386</v>
      </c>
      <c r="B387" s="6">
        <v>0.19700000000000001</v>
      </c>
      <c r="C387" s="6">
        <v>0.47</v>
      </c>
      <c r="D387" s="6">
        <v>0.1343</v>
      </c>
      <c r="E387" s="6">
        <v>13</v>
      </c>
      <c r="F387" s="6">
        <v>80</v>
      </c>
      <c r="G387" s="6">
        <v>93</v>
      </c>
    </row>
    <row r="388" spans="1:7" ht="15.75" thickBot="1">
      <c r="A388" s="6">
        <v>387</v>
      </c>
      <c r="B388" s="6">
        <v>0.21210000000000001</v>
      </c>
      <c r="C388" s="6">
        <v>0.43</v>
      </c>
      <c r="D388" s="6">
        <v>0.1045</v>
      </c>
      <c r="E388" s="6">
        <v>12</v>
      </c>
      <c r="F388" s="6">
        <v>74</v>
      </c>
      <c r="G388" s="6">
        <v>86</v>
      </c>
    </row>
    <row r="389" spans="1:7" ht="15.75" thickBot="1">
      <c r="A389" s="6">
        <v>388</v>
      </c>
      <c r="B389" s="6">
        <v>0.21210000000000001</v>
      </c>
      <c r="C389" s="6">
        <v>0.47</v>
      </c>
      <c r="D389" s="6">
        <v>0.16420000000000001</v>
      </c>
      <c r="E389" s="6">
        <v>21</v>
      </c>
      <c r="F389" s="6">
        <v>72</v>
      </c>
      <c r="G389" s="6">
        <v>93</v>
      </c>
    </row>
    <row r="390" spans="1:7" ht="15.75" thickBot="1">
      <c r="A390" s="6">
        <v>389</v>
      </c>
      <c r="B390" s="6">
        <v>0.21210000000000001</v>
      </c>
      <c r="C390" s="6">
        <v>0.47</v>
      </c>
      <c r="D390" s="6">
        <v>0.16420000000000001</v>
      </c>
      <c r="E390" s="6">
        <v>6</v>
      </c>
      <c r="F390" s="6">
        <v>76</v>
      </c>
      <c r="G390" s="6">
        <v>82</v>
      </c>
    </row>
    <row r="391" spans="1:7" ht="15.75" thickBot="1">
      <c r="A391" s="6">
        <v>390</v>
      </c>
      <c r="B391" s="6">
        <v>0.19700000000000001</v>
      </c>
      <c r="C391" s="6">
        <v>0.51</v>
      </c>
      <c r="D391" s="6">
        <v>0.19400000000000001</v>
      </c>
      <c r="E391" s="6">
        <v>4</v>
      </c>
      <c r="F391" s="6">
        <v>67</v>
      </c>
      <c r="G391" s="6">
        <v>71</v>
      </c>
    </row>
    <row r="392" spans="1:7" ht="15.75" thickBot="1">
      <c r="A392" s="6">
        <v>391</v>
      </c>
      <c r="B392" s="6">
        <v>0.16669999999999999</v>
      </c>
      <c r="C392" s="6">
        <v>0.55000000000000004</v>
      </c>
      <c r="D392" s="6">
        <v>0.25369999999999998</v>
      </c>
      <c r="E392" s="6">
        <v>7</v>
      </c>
      <c r="F392" s="6">
        <v>85</v>
      </c>
      <c r="G392" s="6">
        <v>92</v>
      </c>
    </row>
    <row r="393" spans="1:7" ht="15.75" thickBot="1">
      <c r="A393" s="6">
        <v>392</v>
      </c>
      <c r="B393" s="6">
        <v>0.18179999999999999</v>
      </c>
      <c r="C393" s="6">
        <v>0.59</v>
      </c>
      <c r="D393" s="6">
        <v>0.19400000000000001</v>
      </c>
      <c r="E393" s="6">
        <v>2</v>
      </c>
      <c r="F393" s="6">
        <v>58</v>
      </c>
      <c r="G393" s="6">
        <v>60</v>
      </c>
    </row>
    <row r="394" spans="1:7" ht="15.75" thickBot="1">
      <c r="A394" s="6">
        <v>393</v>
      </c>
      <c r="B394" s="6">
        <v>0.1515</v>
      </c>
      <c r="C394" s="6">
        <v>0.8</v>
      </c>
      <c r="D394" s="6">
        <v>0.19400000000000001</v>
      </c>
      <c r="E394" s="6">
        <v>4</v>
      </c>
      <c r="F394" s="6">
        <v>29</v>
      </c>
      <c r="G394" s="6">
        <v>33</v>
      </c>
    </row>
    <row r="395" spans="1:7" ht="15.75" thickBot="1">
      <c r="A395" s="6">
        <v>394</v>
      </c>
      <c r="B395" s="6">
        <v>0.1515</v>
      </c>
      <c r="C395" s="6">
        <v>0.8</v>
      </c>
      <c r="D395" s="6">
        <v>0.19400000000000001</v>
      </c>
      <c r="E395" s="6">
        <v>3</v>
      </c>
      <c r="F395" s="6">
        <v>24</v>
      </c>
      <c r="G395" s="6">
        <v>27</v>
      </c>
    </row>
    <row r="396" spans="1:7" ht="15.75" thickBot="1">
      <c r="A396" s="6">
        <v>395</v>
      </c>
      <c r="B396" s="6">
        <v>0.1212</v>
      </c>
      <c r="C396" s="6">
        <v>0.93</v>
      </c>
      <c r="D396" s="6">
        <v>0.25369999999999998</v>
      </c>
      <c r="E396" s="6">
        <v>0</v>
      </c>
      <c r="F396" s="6">
        <v>13</v>
      </c>
      <c r="G396" s="6">
        <v>13</v>
      </c>
    </row>
    <row r="397" spans="1:7" ht="15.75" thickBot="1">
      <c r="A397" s="6">
        <v>396</v>
      </c>
      <c r="B397" s="6">
        <v>0.13639999999999999</v>
      </c>
      <c r="C397" s="6">
        <v>0.86</v>
      </c>
      <c r="D397" s="6">
        <v>0.28360000000000002</v>
      </c>
      <c r="E397" s="6">
        <v>1</v>
      </c>
      <c r="F397" s="6">
        <v>3</v>
      </c>
      <c r="G397" s="6">
        <v>4</v>
      </c>
    </row>
    <row r="398" spans="1:7" ht="15.75" thickBot="1">
      <c r="A398" s="6">
        <v>397</v>
      </c>
      <c r="B398" s="6">
        <v>0.18179999999999999</v>
      </c>
      <c r="C398" s="6">
        <v>0.86</v>
      </c>
      <c r="D398" s="6">
        <v>0.32840000000000003</v>
      </c>
      <c r="E398" s="6">
        <v>0</v>
      </c>
      <c r="F398" s="6">
        <v>3</v>
      </c>
      <c r="G398" s="6">
        <v>3</v>
      </c>
    </row>
    <row r="399" spans="1:7" ht="15.75" thickBot="1">
      <c r="A399" s="6">
        <v>398</v>
      </c>
      <c r="B399" s="6">
        <v>0.19700000000000001</v>
      </c>
      <c r="C399" s="6">
        <v>0.86</v>
      </c>
      <c r="D399" s="6">
        <v>0.22389999999999999</v>
      </c>
      <c r="E399" s="6">
        <v>0</v>
      </c>
      <c r="F399" s="6">
        <v>22</v>
      </c>
      <c r="G399" s="6">
        <v>22</v>
      </c>
    </row>
    <row r="400" spans="1:7" ht="15.75" thickBot="1">
      <c r="A400" s="6">
        <v>399</v>
      </c>
      <c r="B400" s="6">
        <v>0.2273</v>
      </c>
      <c r="C400" s="6">
        <v>0.8</v>
      </c>
      <c r="D400" s="6">
        <v>0.16420000000000001</v>
      </c>
      <c r="E400" s="6">
        <v>2</v>
      </c>
      <c r="F400" s="6">
        <v>26</v>
      </c>
      <c r="G400" s="6">
        <v>28</v>
      </c>
    </row>
    <row r="401" spans="1:7" ht="15.75" thickBot="1">
      <c r="A401" s="6">
        <v>400</v>
      </c>
      <c r="B401" s="6">
        <v>0.2273</v>
      </c>
      <c r="C401" s="6">
        <v>0.87</v>
      </c>
      <c r="D401" s="6">
        <v>0.16420000000000001</v>
      </c>
      <c r="E401" s="6">
        <v>3</v>
      </c>
      <c r="F401" s="6">
        <v>32</v>
      </c>
      <c r="G401" s="6">
        <v>35</v>
      </c>
    </row>
    <row r="402" spans="1:7" ht="15.75" thickBot="1">
      <c r="A402" s="6">
        <v>401</v>
      </c>
      <c r="B402" s="6">
        <v>0.2273</v>
      </c>
      <c r="C402" s="6">
        <v>0.87</v>
      </c>
      <c r="D402" s="6">
        <v>0.19400000000000001</v>
      </c>
      <c r="E402" s="6">
        <v>0</v>
      </c>
      <c r="F402" s="6">
        <v>61</v>
      </c>
      <c r="G402" s="6">
        <v>61</v>
      </c>
    </row>
    <row r="403" spans="1:7" ht="15.75" thickBot="1">
      <c r="A403" s="6">
        <v>402</v>
      </c>
      <c r="B403" s="6">
        <v>0.2273</v>
      </c>
      <c r="C403" s="6">
        <v>0.82</v>
      </c>
      <c r="D403" s="6">
        <v>0.19400000000000001</v>
      </c>
      <c r="E403" s="6">
        <v>1</v>
      </c>
      <c r="F403" s="6">
        <v>124</v>
      </c>
      <c r="G403" s="6">
        <v>125</v>
      </c>
    </row>
    <row r="404" spans="1:7" ht="15.75" thickBot="1">
      <c r="A404" s="6">
        <v>403</v>
      </c>
      <c r="B404" s="6">
        <v>0.2273</v>
      </c>
      <c r="C404" s="6">
        <v>0.8</v>
      </c>
      <c r="D404" s="6">
        <v>0.16420000000000001</v>
      </c>
      <c r="E404" s="6">
        <v>1</v>
      </c>
      <c r="F404" s="6">
        <v>132</v>
      </c>
      <c r="G404" s="6">
        <v>133</v>
      </c>
    </row>
    <row r="405" spans="1:7" ht="15.75" thickBot="1">
      <c r="A405" s="6">
        <v>404</v>
      </c>
      <c r="B405" s="6">
        <v>0.2273</v>
      </c>
      <c r="C405" s="6">
        <v>0.8</v>
      </c>
      <c r="D405" s="6">
        <v>0.1343</v>
      </c>
      <c r="E405" s="6">
        <v>1</v>
      </c>
      <c r="F405" s="6">
        <v>98</v>
      </c>
      <c r="G405" s="6">
        <v>99</v>
      </c>
    </row>
    <row r="406" spans="1:7" ht="15.75" thickBot="1">
      <c r="A406" s="6">
        <v>405</v>
      </c>
      <c r="B406" s="6">
        <v>0.2727</v>
      </c>
      <c r="C406" s="6">
        <v>0.87</v>
      </c>
      <c r="D406" s="6">
        <v>0</v>
      </c>
      <c r="E406" s="6">
        <v>0</v>
      </c>
      <c r="F406" s="6">
        <v>83</v>
      </c>
      <c r="G406" s="6">
        <v>83</v>
      </c>
    </row>
    <row r="407" spans="1:7" ht="15.75" thickBot="1">
      <c r="A407" s="6">
        <v>406</v>
      </c>
      <c r="B407" s="6">
        <v>0.2424</v>
      </c>
      <c r="C407" s="6">
        <v>0.93</v>
      </c>
      <c r="D407" s="6">
        <v>0.1045</v>
      </c>
      <c r="E407" s="6">
        <v>0</v>
      </c>
      <c r="F407" s="6">
        <v>41</v>
      </c>
      <c r="G407" s="6">
        <v>41</v>
      </c>
    </row>
    <row r="408" spans="1:7" ht="15.75" thickBot="1">
      <c r="A408" s="6">
        <v>407</v>
      </c>
      <c r="B408" s="6">
        <v>0.2576</v>
      </c>
      <c r="C408" s="6">
        <v>0.93</v>
      </c>
      <c r="D408" s="6">
        <v>8.9599999999999999E-2</v>
      </c>
      <c r="E408" s="6">
        <v>0</v>
      </c>
      <c r="F408" s="6">
        <v>33</v>
      </c>
      <c r="G408" s="6">
        <v>33</v>
      </c>
    </row>
    <row r="409" spans="1:7" ht="15.75" thickBot="1">
      <c r="A409" s="6">
        <v>408</v>
      </c>
      <c r="B409" s="6">
        <v>0.2727</v>
      </c>
      <c r="C409" s="6">
        <v>0.93</v>
      </c>
      <c r="D409" s="6">
        <v>0</v>
      </c>
      <c r="E409" s="6">
        <v>1</v>
      </c>
      <c r="F409" s="6">
        <v>19</v>
      </c>
      <c r="G409" s="6">
        <v>20</v>
      </c>
    </row>
    <row r="410" spans="1:7" ht="15.75" thickBot="1">
      <c r="A410" s="6">
        <v>409</v>
      </c>
      <c r="B410" s="6">
        <v>0.2727</v>
      </c>
      <c r="C410" s="6">
        <v>0.93</v>
      </c>
      <c r="D410" s="6">
        <v>0</v>
      </c>
      <c r="E410" s="6">
        <v>0</v>
      </c>
      <c r="F410" s="6">
        <v>3</v>
      </c>
      <c r="G410" s="6">
        <v>3</v>
      </c>
    </row>
    <row r="411" spans="1:7" ht="15.75" thickBot="1">
      <c r="A411" s="6">
        <v>410</v>
      </c>
      <c r="B411" s="6">
        <v>0.2273</v>
      </c>
      <c r="C411" s="6">
        <v>0.93</v>
      </c>
      <c r="D411" s="6">
        <v>0.1343</v>
      </c>
      <c r="E411" s="6">
        <v>1</v>
      </c>
      <c r="F411" s="6">
        <v>6</v>
      </c>
      <c r="G411" s="6">
        <v>7</v>
      </c>
    </row>
    <row r="412" spans="1:7" ht="15.75" thickBot="1">
      <c r="A412" s="6">
        <v>411</v>
      </c>
      <c r="B412" s="6">
        <v>0.2273</v>
      </c>
      <c r="C412" s="6">
        <v>0.93</v>
      </c>
      <c r="D412" s="6">
        <v>0.1343</v>
      </c>
      <c r="E412" s="6">
        <v>0</v>
      </c>
      <c r="F412" s="6">
        <v>3</v>
      </c>
      <c r="G412" s="6">
        <v>3</v>
      </c>
    </row>
    <row r="413" spans="1:7" ht="15.75" thickBot="1">
      <c r="A413" s="6">
        <v>412</v>
      </c>
      <c r="B413" s="6">
        <v>0.2273</v>
      </c>
      <c r="C413" s="6">
        <v>0.93</v>
      </c>
      <c r="D413" s="6">
        <v>0.1343</v>
      </c>
      <c r="E413" s="6">
        <v>1</v>
      </c>
      <c r="F413" s="6">
        <v>1</v>
      </c>
      <c r="G413" s="6">
        <v>2</v>
      </c>
    </row>
    <row r="414" spans="1:7" ht="15.75" thickBot="1">
      <c r="A414" s="6">
        <v>413</v>
      </c>
      <c r="B414" s="6">
        <v>0.2576</v>
      </c>
      <c r="C414" s="6">
        <v>0.93</v>
      </c>
      <c r="D414" s="6">
        <v>8.9599999999999999E-2</v>
      </c>
      <c r="E414" s="6">
        <v>0</v>
      </c>
      <c r="F414" s="6">
        <v>7</v>
      </c>
      <c r="G414" s="6">
        <v>7</v>
      </c>
    </row>
    <row r="415" spans="1:7" ht="15.75" thickBot="1">
      <c r="A415" s="6">
        <v>414</v>
      </c>
      <c r="B415" s="6">
        <v>0.2576</v>
      </c>
      <c r="C415" s="6">
        <v>0.93</v>
      </c>
      <c r="D415" s="6">
        <v>8.9599999999999999E-2</v>
      </c>
      <c r="E415" s="6">
        <v>0</v>
      </c>
      <c r="F415" s="6">
        <v>32</v>
      </c>
      <c r="G415" s="6">
        <v>32</v>
      </c>
    </row>
    <row r="416" spans="1:7" ht="15.75" thickBot="1">
      <c r="A416" s="6">
        <v>415</v>
      </c>
      <c r="B416" s="6">
        <v>0.2576</v>
      </c>
      <c r="C416" s="6">
        <v>0.92</v>
      </c>
      <c r="D416" s="6">
        <v>0.1045</v>
      </c>
      <c r="E416" s="6">
        <v>1</v>
      </c>
      <c r="F416" s="6">
        <v>89</v>
      </c>
      <c r="G416" s="6">
        <v>90</v>
      </c>
    </row>
    <row r="417" spans="1:7" ht="15.75" thickBot="1">
      <c r="A417" s="6">
        <v>416</v>
      </c>
      <c r="B417" s="6">
        <v>0.2576</v>
      </c>
      <c r="C417" s="6">
        <v>0.93</v>
      </c>
      <c r="D417" s="6">
        <v>0.1045</v>
      </c>
      <c r="E417" s="6">
        <v>1</v>
      </c>
      <c r="F417" s="6">
        <v>196</v>
      </c>
      <c r="G417" s="6">
        <v>197</v>
      </c>
    </row>
    <row r="418" spans="1:7" ht="15.75" thickBot="1">
      <c r="A418" s="6">
        <v>417</v>
      </c>
      <c r="B418" s="6">
        <v>0.2576</v>
      </c>
      <c r="C418" s="6">
        <v>0.93</v>
      </c>
      <c r="D418" s="6">
        <v>0.1045</v>
      </c>
      <c r="E418" s="6">
        <v>2</v>
      </c>
      <c r="F418" s="6">
        <v>107</v>
      </c>
      <c r="G418" s="6">
        <v>109</v>
      </c>
    </row>
    <row r="419" spans="1:7" ht="15.75" thickBot="1">
      <c r="A419" s="6">
        <v>418</v>
      </c>
      <c r="B419" s="6">
        <v>0.2727</v>
      </c>
      <c r="C419" s="6">
        <v>0.93</v>
      </c>
      <c r="D419" s="6">
        <v>0.1343</v>
      </c>
      <c r="E419" s="6">
        <v>1</v>
      </c>
      <c r="F419" s="6">
        <v>46</v>
      </c>
      <c r="G419" s="6">
        <v>47</v>
      </c>
    </row>
    <row r="420" spans="1:7" ht="15.75" thickBot="1">
      <c r="A420" s="6">
        <v>419</v>
      </c>
      <c r="B420" s="6">
        <v>0.30299999999999999</v>
      </c>
      <c r="C420" s="6">
        <v>0.87</v>
      </c>
      <c r="D420" s="6">
        <v>8.9599999999999999E-2</v>
      </c>
      <c r="E420" s="6">
        <v>5</v>
      </c>
      <c r="F420" s="6">
        <v>47</v>
      </c>
      <c r="G420" s="6">
        <v>52</v>
      </c>
    </row>
    <row r="421" spans="1:7" ht="15.75" thickBot="1">
      <c r="A421" s="6">
        <v>420</v>
      </c>
      <c r="B421" s="6">
        <v>0.31819999999999998</v>
      </c>
      <c r="C421" s="6">
        <v>0.81</v>
      </c>
      <c r="D421" s="6">
        <v>8.9599999999999999E-2</v>
      </c>
      <c r="E421" s="6">
        <v>5</v>
      </c>
      <c r="F421" s="6">
        <v>65</v>
      </c>
      <c r="G421" s="6">
        <v>70</v>
      </c>
    </row>
    <row r="422" spans="1:7" ht="15.75" thickBot="1">
      <c r="A422" s="6">
        <v>421</v>
      </c>
      <c r="B422" s="6">
        <v>0.40910000000000002</v>
      </c>
      <c r="C422" s="6">
        <v>0.62</v>
      </c>
      <c r="D422" s="6">
        <v>0.28360000000000002</v>
      </c>
      <c r="E422" s="6">
        <v>11</v>
      </c>
      <c r="F422" s="6">
        <v>67</v>
      </c>
      <c r="G422" s="6">
        <v>78</v>
      </c>
    </row>
    <row r="423" spans="1:7" ht="15.75" thickBot="1">
      <c r="A423" s="6">
        <v>422</v>
      </c>
      <c r="B423" s="6">
        <v>0.40910000000000002</v>
      </c>
      <c r="C423" s="6">
        <v>0.57999999999999996</v>
      </c>
      <c r="D423" s="6">
        <v>0.25369999999999998</v>
      </c>
      <c r="E423" s="6">
        <v>7</v>
      </c>
      <c r="F423" s="6">
        <v>68</v>
      </c>
      <c r="G423" s="6">
        <v>75</v>
      </c>
    </row>
    <row r="424" spans="1:7" ht="15.75" thickBot="1">
      <c r="A424" s="6">
        <v>423</v>
      </c>
      <c r="B424" s="6">
        <v>0.40910000000000002</v>
      </c>
      <c r="C424" s="6">
        <v>0.54</v>
      </c>
      <c r="D424" s="6">
        <v>0.28360000000000002</v>
      </c>
      <c r="E424" s="6">
        <v>4</v>
      </c>
      <c r="F424" s="6">
        <v>78</v>
      </c>
      <c r="G424" s="6">
        <v>82</v>
      </c>
    </row>
    <row r="425" spans="1:7" ht="15.75" thickBot="1">
      <c r="A425" s="6">
        <v>424</v>
      </c>
      <c r="B425" s="6">
        <v>0.39389999999999997</v>
      </c>
      <c r="C425" s="6">
        <v>0.57999999999999996</v>
      </c>
      <c r="D425" s="6">
        <v>0.3881</v>
      </c>
      <c r="E425" s="6">
        <v>10</v>
      </c>
      <c r="F425" s="6">
        <v>94</v>
      </c>
      <c r="G425" s="6">
        <v>104</v>
      </c>
    </row>
    <row r="426" spans="1:7" ht="15.75" thickBot="1">
      <c r="A426" s="6">
        <v>425</v>
      </c>
      <c r="B426" s="6">
        <v>0.33329999999999999</v>
      </c>
      <c r="C426" s="6">
        <v>0.56999999999999995</v>
      </c>
      <c r="D426" s="6">
        <v>0.32840000000000003</v>
      </c>
      <c r="E426" s="6">
        <v>7</v>
      </c>
      <c r="F426" s="6">
        <v>190</v>
      </c>
      <c r="G426" s="6">
        <v>197</v>
      </c>
    </row>
    <row r="427" spans="1:7" ht="15.75" thickBot="1">
      <c r="A427" s="6">
        <v>426</v>
      </c>
      <c r="B427" s="6">
        <v>0.31819999999999998</v>
      </c>
      <c r="C427" s="6">
        <v>0.61</v>
      </c>
      <c r="D427" s="6">
        <v>0.28360000000000002</v>
      </c>
      <c r="E427" s="6">
        <v>5</v>
      </c>
      <c r="F427" s="6">
        <v>156</v>
      </c>
      <c r="G427" s="6">
        <v>161</v>
      </c>
    </row>
    <row r="428" spans="1:7" ht="15.75" thickBot="1">
      <c r="A428" s="6">
        <v>427</v>
      </c>
      <c r="B428" s="6">
        <v>0.28789999999999999</v>
      </c>
      <c r="C428" s="6">
        <v>0.56999999999999995</v>
      </c>
      <c r="D428" s="6">
        <v>0.41789999999999999</v>
      </c>
      <c r="E428" s="6">
        <v>4</v>
      </c>
      <c r="F428" s="6">
        <v>108</v>
      </c>
      <c r="G428" s="6">
        <v>112</v>
      </c>
    </row>
    <row r="429" spans="1:7" ht="15.75" thickBot="1">
      <c r="A429" s="6">
        <v>428</v>
      </c>
      <c r="B429" s="6">
        <v>0.30299999999999999</v>
      </c>
      <c r="C429" s="6">
        <v>0.49</v>
      </c>
      <c r="D429" s="6">
        <v>0.29849999999999999</v>
      </c>
      <c r="E429" s="6">
        <v>2</v>
      </c>
      <c r="F429" s="6">
        <v>74</v>
      </c>
      <c r="G429" s="6">
        <v>76</v>
      </c>
    </row>
    <row r="430" spans="1:7" ht="15.75" thickBot="1">
      <c r="A430" s="6">
        <v>429</v>
      </c>
      <c r="B430" s="6">
        <v>0.28789999999999999</v>
      </c>
      <c r="C430" s="6">
        <v>0.49</v>
      </c>
      <c r="D430" s="6">
        <v>0.41789999999999999</v>
      </c>
      <c r="E430" s="6">
        <v>4</v>
      </c>
      <c r="F430" s="6">
        <v>55</v>
      </c>
      <c r="G430" s="6">
        <v>59</v>
      </c>
    </row>
    <row r="431" spans="1:7" ht="15.75" thickBot="1">
      <c r="A431" s="6">
        <v>430</v>
      </c>
      <c r="B431" s="6">
        <v>0.30299999999999999</v>
      </c>
      <c r="C431" s="6">
        <v>0.52</v>
      </c>
      <c r="D431" s="6">
        <v>0.16420000000000001</v>
      </c>
      <c r="E431" s="6">
        <v>6</v>
      </c>
      <c r="F431" s="6">
        <v>53</v>
      </c>
      <c r="G431" s="6">
        <v>59</v>
      </c>
    </row>
    <row r="432" spans="1:7" ht="15.75" thickBot="1">
      <c r="A432" s="6">
        <v>431</v>
      </c>
      <c r="B432" s="6">
        <v>0.2727</v>
      </c>
      <c r="C432" s="6">
        <v>0.52</v>
      </c>
      <c r="D432" s="6">
        <v>0.4627</v>
      </c>
      <c r="E432" s="6">
        <v>1</v>
      </c>
      <c r="F432" s="6">
        <v>27</v>
      </c>
      <c r="G432" s="6">
        <v>28</v>
      </c>
    </row>
    <row r="433" spans="1:7" ht="15.75" thickBot="1">
      <c r="A433" s="6">
        <v>432</v>
      </c>
      <c r="B433" s="6">
        <v>0.2273</v>
      </c>
      <c r="C433" s="6">
        <v>0.56000000000000005</v>
      </c>
      <c r="D433" s="6">
        <v>0.3881</v>
      </c>
      <c r="E433" s="6">
        <v>5</v>
      </c>
      <c r="F433" s="6">
        <v>8</v>
      </c>
      <c r="G433" s="6">
        <v>13</v>
      </c>
    </row>
    <row r="434" spans="1:7" ht="15.75" thickBot="1">
      <c r="A434" s="6">
        <v>433</v>
      </c>
      <c r="B434" s="6">
        <v>0.2727</v>
      </c>
      <c r="C434" s="6">
        <v>0.56000000000000005</v>
      </c>
      <c r="D434" s="6">
        <v>0</v>
      </c>
      <c r="E434" s="6">
        <v>2</v>
      </c>
      <c r="F434" s="6">
        <v>3</v>
      </c>
      <c r="G434" s="6">
        <v>5</v>
      </c>
    </row>
    <row r="435" spans="1:7" ht="15.75" thickBot="1">
      <c r="A435" s="6">
        <v>434</v>
      </c>
      <c r="B435" s="6">
        <v>0.2727</v>
      </c>
      <c r="C435" s="6">
        <v>0.56000000000000005</v>
      </c>
      <c r="D435" s="6">
        <v>0</v>
      </c>
      <c r="E435" s="6">
        <v>0</v>
      </c>
      <c r="F435" s="6">
        <v>2</v>
      </c>
      <c r="G435" s="6">
        <v>2</v>
      </c>
    </row>
    <row r="436" spans="1:7" ht="15.75" thickBot="1">
      <c r="A436" s="6">
        <v>435</v>
      </c>
      <c r="B436" s="6">
        <v>0.2576</v>
      </c>
      <c r="C436" s="6">
        <v>0.56000000000000005</v>
      </c>
      <c r="D436" s="6">
        <v>0.16420000000000001</v>
      </c>
      <c r="E436" s="6">
        <v>0</v>
      </c>
      <c r="F436" s="6">
        <v>1</v>
      </c>
      <c r="G436" s="6">
        <v>1</v>
      </c>
    </row>
    <row r="437" spans="1:7" ht="15.75" thickBot="1">
      <c r="A437" s="6">
        <v>436</v>
      </c>
      <c r="B437" s="6">
        <v>0.2576</v>
      </c>
      <c r="C437" s="6">
        <v>0.56000000000000005</v>
      </c>
      <c r="D437" s="6">
        <v>0.16420000000000001</v>
      </c>
      <c r="E437" s="6">
        <v>0</v>
      </c>
      <c r="F437" s="6">
        <v>1</v>
      </c>
      <c r="G437" s="6">
        <v>1</v>
      </c>
    </row>
    <row r="438" spans="1:7" ht="15.75" thickBot="1">
      <c r="A438" s="6">
        <v>437</v>
      </c>
      <c r="B438" s="6">
        <v>0.2273</v>
      </c>
      <c r="C438" s="6">
        <v>0.6</v>
      </c>
      <c r="D438" s="6">
        <v>0.22389999999999999</v>
      </c>
      <c r="E438" s="6">
        <v>0</v>
      </c>
      <c r="F438" s="6">
        <v>6</v>
      </c>
      <c r="G438" s="6">
        <v>6</v>
      </c>
    </row>
    <row r="439" spans="1:7" ht="15.75" thickBot="1">
      <c r="A439" s="6">
        <v>438</v>
      </c>
      <c r="B439" s="6">
        <v>0.21210000000000001</v>
      </c>
      <c r="C439" s="6">
        <v>0.6</v>
      </c>
      <c r="D439" s="6">
        <v>0.22389999999999999</v>
      </c>
      <c r="E439" s="6">
        <v>0</v>
      </c>
      <c r="F439" s="6">
        <v>35</v>
      </c>
      <c r="G439" s="6">
        <v>35</v>
      </c>
    </row>
    <row r="440" spans="1:7" ht="15.75" thickBot="1">
      <c r="A440" s="6">
        <v>439</v>
      </c>
      <c r="B440" s="6">
        <v>0.21210000000000001</v>
      </c>
      <c r="C440" s="6">
        <v>0.55000000000000004</v>
      </c>
      <c r="D440" s="6">
        <v>0.22389999999999999</v>
      </c>
      <c r="E440" s="6">
        <v>1</v>
      </c>
      <c r="F440" s="6">
        <v>100</v>
      </c>
      <c r="G440" s="6">
        <v>101</v>
      </c>
    </row>
    <row r="441" spans="1:7" ht="15.75" thickBot="1">
      <c r="A441" s="6">
        <v>440</v>
      </c>
      <c r="B441" s="6">
        <v>0.21210000000000001</v>
      </c>
      <c r="C441" s="6">
        <v>0.55000000000000004</v>
      </c>
      <c r="D441" s="6">
        <v>0.28360000000000002</v>
      </c>
      <c r="E441" s="6">
        <v>2</v>
      </c>
      <c r="F441" s="6">
        <v>247</v>
      </c>
      <c r="G441" s="6">
        <v>249</v>
      </c>
    </row>
    <row r="442" spans="1:7" ht="15.75" thickBot="1">
      <c r="A442" s="6">
        <v>441</v>
      </c>
      <c r="B442" s="6">
        <v>0.2273</v>
      </c>
      <c r="C442" s="6">
        <v>0.52</v>
      </c>
      <c r="D442" s="6">
        <v>0.22389999999999999</v>
      </c>
      <c r="E442" s="6">
        <v>3</v>
      </c>
      <c r="F442" s="6">
        <v>140</v>
      </c>
      <c r="G442" s="6">
        <v>143</v>
      </c>
    </row>
    <row r="443" spans="1:7" ht="15.75" thickBot="1">
      <c r="A443" s="6">
        <v>442</v>
      </c>
      <c r="B443" s="6">
        <v>0.2273</v>
      </c>
      <c r="C443" s="6">
        <v>0.48</v>
      </c>
      <c r="D443" s="6">
        <v>0.29849999999999999</v>
      </c>
      <c r="E443" s="6">
        <v>1</v>
      </c>
      <c r="F443" s="6">
        <v>56</v>
      </c>
      <c r="G443" s="6">
        <v>57</v>
      </c>
    </row>
    <row r="444" spans="1:7" ht="15.75" thickBot="1">
      <c r="A444" s="6">
        <v>443</v>
      </c>
      <c r="B444" s="6">
        <v>0.2727</v>
      </c>
      <c r="C444" s="6">
        <v>0.45</v>
      </c>
      <c r="D444" s="6">
        <v>0.16420000000000001</v>
      </c>
      <c r="E444" s="6">
        <v>5</v>
      </c>
      <c r="F444" s="6">
        <v>63</v>
      </c>
      <c r="G444" s="6">
        <v>68</v>
      </c>
    </row>
    <row r="445" spans="1:7" ht="15.75" thickBot="1">
      <c r="A445" s="6">
        <v>444</v>
      </c>
      <c r="B445" s="6">
        <v>0.33329999999999999</v>
      </c>
      <c r="C445" s="6">
        <v>0.42</v>
      </c>
      <c r="D445" s="6">
        <v>0</v>
      </c>
      <c r="E445" s="6">
        <v>7</v>
      </c>
      <c r="F445" s="6">
        <v>77</v>
      </c>
      <c r="G445" s="6">
        <v>84</v>
      </c>
    </row>
    <row r="446" spans="1:7" ht="15.75" thickBot="1">
      <c r="A446" s="6">
        <v>445</v>
      </c>
      <c r="B446" s="6">
        <v>0.28789999999999999</v>
      </c>
      <c r="C446" s="6">
        <v>0.45</v>
      </c>
      <c r="D446" s="6">
        <v>0.1045</v>
      </c>
      <c r="E446" s="6">
        <v>12</v>
      </c>
      <c r="F446" s="6">
        <v>86</v>
      </c>
      <c r="G446" s="6">
        <v>98</v>
      </c>
    </row>
    <row r="447" spans="1:7" ht="15.75" thickBot="1">
      <c r="A447" s="6">
        <v>446</v>
      </c>
      <c r="B447" s="6">
        <v>0.30299999999999999</v>
      </c>
      <c r="C447" s="6">
        <v>0.45</v>
      </c>
      <c r="D447" s="6">
        <v>0.1343</v>
      </c>
      <c r="E447" s="6">
        <v>6</v>
      </c>
      <c r="F447" s="6">
        <v>75</v>
      </c>
      <c r="G447" s="6">
        <v>81</v>
      </c>
    </row>
    <row r="448" spans="1:7" ht="15.75" thickBot="1">
      <c r="A448" s="6">
        <v>447</v>
      </c>
      <c r="B448" s="6">
        <v>0.31819999999999998</v>
      </c>
      <c r="C448" s="6">
        <v>0.45</v>
      </c>
      <c r="D448" s="6">
        <v>0.19400000000000001</v>
      </c>
      <c r="E448" s="6">
        <v>8</v>
      </c>
      <c r="F448" s="6">
        <v>62</v>
      </c>
      <c r="G448" s="6">
        <v>70</v>
      </c>
    </row>
    <row r="449" spans="1:7" ht="15.75" thickBot="1">
      <c r="A449" s="6">
        <v>448</v>
      </c>
      <c r="B449" s="6">
        <v>0.30299999999999999</v>
      </c>
      <c r="C449" s="6">
        <v>0.49</v>
      </c>
      <c r="D449" s="6">
        <v>0.1343</v>
      </c>
      <c r="E449" s="6">
        <v>8</v>
      </c>
      <c r="F449" s="6">
        <v>83</v>
      </c>
      <c r="G449" s="6">
        <v>91</v>
      </c>
    </row>
    <row r="450" spans="1:7" ht="15.75" thickBot="1">
      <c r="A450" s="6">
        <v>449</v>
      </c>
      <c r="B450" s="6">
        <v>0.31819999999999998</v>
      </c>
      <c r="C450" s="6">
        <v>0.49</v>
      </c>
      <c r="D450" s="6">
        <v>0.1045</v>
      </c>
      <c r="E450" s="6">
        <v>8</v>
      </c>
      <c r="F450" s="6">
        <v>207</v>
      </c>
      <c r="G450" s="6">
        <v>215</v>
      </c>
    </row>
    <row r="451" spans="1:7" ht="15.75" thickBot="1">
      <c r="A451" s="6">
        <v>450</v>
      </c>
      <c r="B451" s="6">
        <v>0.2576</v>
      </c>
      <c r="C451" s="6">
        <v>0.56000000000000005</v>
      </c>
      <c r="D451" s="6">
        <v>0.19400000000000001</v>
      </c>
      <c r="E451" s="6">
        <v>1</v>
      </c>
      <c r="F451" s="6">
        <v>184</v>
      </c>
      <c r="G451" s="6">
        <v>185</v>
      </c>
    </row>
    <row r="452" spans="1:7" ht="15.75" thickBot="1">
      <c r="A452" s="6">
        <v>451</v>
      </c>
      <c r="B452" s="6">
        <v>0.2273</v>
      </c>
      <c r="C452" s="6">
        <v>0.56000000000000005</v>
      </c>
      <c r="D452" s="6">
        <v>0.32840000000000003</v>
      </c>
      <c r="E452" s="6">
        <v>6</v>
      </c>
      <c r="F452" s="6">
        <v>146</v>
      </c>
      <c r="G452" s="6">
        <v>152</v>
      </c>
    </row>
    <row r="453" spans="1:7" ht="15.75" thickBot="1">
      <c r="A453" s="6">
        <v>452</v>
      </c>
      <c r="B453" s="6">
        <v>0.2424</v>
      </c>
      <c r="C453" s="6">
        <v>0.6</v>
      </c>
      <c r="D453" s="6">
        <v>0.28360000000000002</v>
      </c>
      <c r="E453" s="6">
        <v>2</v>
      </c>
      <c r="F453" s="6">
        <v>124</v>
      </c>
      <c r="G453" s="6">
        <v>126</v>
      </c>
    </row>
    <row r="454" spans="1:7" ht="15.75" thickBot="1">
      <c r="A454" s="6">
        <v>453</v>
      </c>
      <c r="B454" s="6">
        <v>0.2273</v>
      </c>
      <c r="C454" s="6">
        <v>0.6</v>
      </c>
      <c r="D454" s="6">
        <v>0.25369999999999998</v>
      </c>
      <c r="E454" s="6">
        <v>3</v>
      </c>
      <c r="F454" s="6">
        <v>54</v>
      </c>
      <c r="G454" s="6">
        <v>57</v>
      </c>
    </row>
    <row r="455" spans="1:7" ht="15.75" thickBot="1">
      <c r="A455" s="6">
        <v>454</v>
      </c>
      <c r="B455" s="6">
        <v>0.21210000000000001</v>
      </c>
      <c r="C455" s="6">
        <v>0.65</v>
      </c>
      <c r="D455" s="6">
        <v>0.28360000000000002</v>
      </c>
      <c r="E455" s="6">
        <v>0</v>
      </c>
      <c r="F455" s="6">
        <v>56</v>
      </c>
      <c r="G455" s="6">
        <v>56</v>
      </c>
    </row>
    <row r="456" spans="1:7" ht="15.75" thickBot="1">
      <c r="A456" s="6">
        <v>455</v>
      </c>
      <c r="B456" s="6">
        <v>0.21210000000000001</v>
      </c>
      <c r="C456" s="6">
        <v>0.65</v>
      </c>
      <c r="D456" s="6">
        <v>0.32840000000000003</v>
      </c>
      <c r="E456" s="6">
        <v>3</v>
      </c>
      <c r="F456" s="6">
        <v>28</v>
      </c>
      <c r="G456" s="6">
        <v>31</v>
      </c>
    </row>
    <row r="457" spans="1:7" ht="15.75" thickBot="1">
      <c r="A457" s="6">
        <v>456</v>
      </c>
      <c r="B457" s="6">
        <v>0.2273</v>
      </c>
      <c r="C457" s="6">
        <v>0.7</v>
      </c>
      <c r="D457" s="6">
        <v>0.25369999999999998</v>
      </c>
      <c r="E457" s="6">
        <v>1</v>
      </c>
      <c r="F457" s="6">
        <v>20</v>
      </c>
      <c r="G457" s="6">
        <v>21</v>
      </c>
    </row>
    <row r="458" spans="1:7" ht="15.75" thickBot="1">
      <c r="A458" s="6">
        <v>457</v>
      </c>
      <c r="B458" s="6">
        <v>0.2273</v>
      </c>
      <c r="C458" s="6">
        <v>0.7</v>
      </c>
      <c r="D458" s="6">
        <v>0.25369999999999998</v>
      </c>
      <c r="E458" s="6">
        <v>0</v>
      </c>
      <c r="F458" s="6">
        <v>6</v>
      </c>
      <c r="G458" s="6">
        <v>6</v>
      </c>
    </row>
    <row r="459" spans="1:7" ht="15.75" thickBot="1">
      <c r="A459" s="6">
        <v>458</v>
      </c>
      <c r="B459" s="6">
        <v>0.2424</v>
      </c>
      <c r="C459" s="6">
        <v>0.75</v>
      </c>
      <c r="D459" s="6">
        <v>0.16420000000000001</v>
      </c>
      <c r="E459" s="6">
        <v>0</v>
      </c>
      <c r="F459" s="6">
        <v>2</v>
      </c>
      <c r="G459" s="6">
        <v>2</v>
      </c>
    </row>
    <row r="460" spans="1:7" ht="15.75" thickBot="1">
      <c r="A460" s="6">
        <v>459</v>
      </c>
      <c r="B460" s="6">
        <v>0.21210000000000001</v>
      </c>
      <c r="C460" s="6">
        <v>0.8</v>
      </c>
      <c r="D460" s="6">
        <v>0.29849999999999999</v>
      </c>
      <c r="E460" s="6">
        <v>0</v>
      </c>
      <c r="F460" s="6">
        <v>1</v>
      </c>
      <c r="G460" s="6">
        <v>1</v>
      </c>
    </row>
    <row r="461" spans="1:7" ht="15.75" thickBot="1">
      <c r="A461" s="6">
        <v>460</v>
      </c>
      <c r="B461" s="6">
        <v>0.2576</v>
      </c>
      <c r="C461" s="6">
        <v>0.87</v>
      </c>
      <c r="D461" s="6">
        <v>8.9599999999999999E-2</v>
      </c>
      <c r="E461" s="6">
        <v>0</v>
      </c>
      <c r="F461" s="6">
        <v>1</v>
      </c>
      <c r="G461" s="6">
        <v>1</v>
      </c>
    </row>
    <row r="462" spans="1:7" ht="15.75" thickBot="1">
      <c r="A462" s="6">
        <v>461</v>
      </c>
      <c r="B462" s="6">
        <v>0.19700000000000001</v>
      </c>
      <c r="C462" s="6">
        <v>0.6</v>
      </c>
      <c r="D462" s="6">
        <v>0.41789999999999999</v>
      </c>
      <c r="E462" s="6">
        <v>1</v>
      </c>
      <c r="F462" s="6">
        <v>4</v>
      </c>
      <c r="G462" s="6">
        <v>5</v>
      </c>
    </row>
    <row r="463" spans="1:7" ht="15.75" thickBot="1">
      <c r="A463" s="6">
        <v>462</v>
      </c>
      <c r="B463" s="6">
        <v>0.21210000000000001</v>
      </c>
      <c r="C463" s="6">
        <v>0.55000000000000004</v>
      </c>
      <c r="D463" s="6">
        <v>0.25369999999999998</v>
      </c>
      <c r="E463" s="6">
        <v>0</v>
      </c>
      <c r="F463" s="6">
        <v>27</v>
      </c>
      <c r="G463" s="6">
        <v>27</v>
      </c>
    </row>
    <row r="464" spans="1:7" ht="15.75" thickBot="1">
      <c r="A464" s="6">
        <v>463</v>
      </c>
      <c r="B464" s="6">
        <v>0.18179999999999999</v>
      </c>
      <c r="C464" s="6">
        <v>0.51</v>
      </c>
      <c r="D464" s="6">
        <v>0.28360000000000002</v>
      </c>
      <c r="E464" s="6">
        <v>2</v>
      </c>
      <c r="F464" s="6">
        <v>66</v>
      </c>
      <c r="G464" s="6">
        <v>68</v>
      </c>
    </row>
    <row r="465" spans="1:7" ht="15.75" thickBot="1">
      <c r="A465" s="6">
        <v>464</v>
      </c>
      <c r="B465" s="6">
        <v>0.18179999999999999</v>
      </c>
      <c r="C465" s="6">
        <v>0.47</v>
      </c>
      <c r="D465" s="6">
        <v>0.32840000000000003</v>
      </c>
      <c r="E465" s="6">
        <v>7</v>
      </c>
      <c r="F465" s="6">
        <v>210</v>
      </c>
      <c r="G465" s="6">
        <v>217</v>
      </c>
    </row>
    <row r="466" spans="1:7" ht="15.75" thickBot="1">
      <c r="A466" s="6">
        <v>465</v>
      </c>
      <c r="B466" s="6">
        <v>0.18179999999999999</v>
      </c>
      <c r="C466" s="6">
        <v>0.51</v>
      </c>
      <c r="D466" s="6">
        <v>0.35820000000000002</v>
      </c>
      <c r="E466" s="6">
        <v>7</v>
      </c>
      <c r="F466" s="6">
        <v>159</v>
      </c>
      <c r="G466" s="6">
        <v>166</v>
      </c>
    </row>
    <row r="467" spans="1:7" ht="15.75" thickBot="1">
      <c r="A467" s="6">
        <v>466</v>
      </c>
      <c r="B467" s="6">
        <v>0.16669999999999999</v>
      </c>
      <c r="C467" s="6">
        <v>0.47</v>
      </c>
      <c r="D467" s="6">
        <v>0.4627</v>
      </c>
      <c r="E467" s="6">
        <v>6</v>
      </c>
      <c r="F467" s="6">
        <v>57</v>
      </c>
      <c r="G467" s="6">
        <v>63</v>
      </c>
    </row>
    <row r="468" spans="1:7" ht="15.75" thickBot="1">
      <c r="A468" s="6">
        <v>467</v>
      </c>
      <c r="B468" s="6">
        <v>0.18179999999999999</v>
      </c>
      <c r="C468" s="6">
        <v>0.41</v>
      </c>
      <c r="D468" s="6">
        <v>0.4627</v>
      </c>
      <c r="E468" s="6">
        <v>6</v>
      </c>
      <c r="F468" s="6">
        <v>53</v>
      </c>
      <c r="G468" s="6">
        <v>59</v>
      </c>
    </row>
    <row r="469" spans="1:7" ht="15.75" thickBot="1">
      <c r="A469" s="6">
        <v>468</v>
      </c>
      <c r="B469" s="6">
        <v>0.18179999999999999</v>
      </c>
      <c r="C469" s="6">
        <v>0.27</v>
      </c>
      <c r="D469" s="6">
        <v>0.58209999999999995</v>
      </c>
      <c r="E469" s="6">
        <v>11</v>
      </c>
      <c r="F469" s="6">
        <v>67</v>
      </c>
      <c r="G469" s="6">
        <v>78</v>
      </c>
    </row>
    <row r="470" spans="1:7" ht="15.75" thickBot="1">
      <c r="A470" s="6">
        <v>469</v>
      </c>
      <c r="B470" s="6">
        <v>0.1515</v>
      </c>
      <c r="C470" s="6">
        <v>0.21</v>
      </c>
      <c r="D470" s="6">
        <v>0.58209999999999995</v>
      </c>
      <c r="E470" s="6">
        <v>8</v>
      </c>
      <c r="F470" s="6">
        <v>65</v>
      </c>
      <c r="G470" s="6">
        <v>73</v>
      </c>
    </row>
    <row r="471" spans="1:7" ht="15.75" thickBot="1">
      <c r="A471" s="6">
        <v>470</v>
      </c>
      <c r="B471" s="6">
        <v>0.1515</v>
      </c>
      <c r="C471" s="6">
        <v>0.25</v>
      </c>
      <c r="D471" s="6">
        <v>0.52239999999999998</v>
      </c>
      <c r="E471" s="6">
        <v>6</v>
      </c>
      <c r="F471" s="6">
        <v>56</v>
      </c>
      <c r="G471" s="6">
        <v>62</v>
      </c>
    </row>
    <row r="472" spans="1:7" ht="15.75" thickBot="1">
      <c r="A472" s="6">
        <v>471</v>
      </c>
      <c r="B472" s="6">
        <v>0.1212</v>
      </c>
      <c r="C472" s="6">
        <v>0.26</v>
      </c>
      <c r="D472" s="6">
        <v>0.44779999999999998</v>
      </c>
      <c r="E472" s="6">
        <v>4</v>
      </c>
      <c r="F472" s="6">
        <v>61</v>
      </c>
      <c r="G472" s="6">
        <v>65</v>
      </c>
    </row>
    <row r="473" spans="1:7" ht="15.75" thickBot="1">
      <c r="A473" s="6">
        <v>472</v>
      </c>
      <c r="B473" s="6">
        <v>0.13639999999999999</v>
      </c>
      <c r="C473" s="6">
        <v>0.26</v>
      </c>
      <c r="D473" s="6">
        <v>0.35820000000000002</v>
      </c>
      <c r="E473" s="6">
        <v>0</v>
      </c>
      <c r="F473" s="6">
        <v>97</v>
      </c>
      <c r="G473" s="6">
        <v>97</v>
      </c>
    </row>
    <row r="474" spans="1:7" ht="15.75" thickBot="1">
      <c r="A474" s="6">
        <v>473</v>
      </c>
      <c r="B474" s="6">
        <v>0.1212</v>
      </c>
      <c r="C474" s="6">
        <v>0.28000000000000003</v>
      </c>
      <c r="D474" s="6">
        <v>0.35820000000000002</v>
      </c>
      <c r="E474" s="6">
        <v>10</v>
      </c>
      <c r="F474" s="6">
        <v>151</v>
      </c>
      <c r="G474" s="6">
        <v>161</v>
      </c>
    </row>
    <row r="475" spans="1:7" ht="15.75" thickBot="1">
      <c r="A475" s="6">
        <v>474</v>
      </c>
      <c r="B475" s="6">
        <v>0.1212</v>
      </c>
      <c r="C475" s="6">
        <v>0.3</v>
      </c>
      <c r="D475" s="6">
        <v>0.25369999999999998</v>
      </c>
      <c r="E475" s="6">
        <v>1</v>
      </c>
      <c r="F475" s="6">
        <v>119</v>
      </c>
      <c r="G475" s="6">
        <v>120</v>
      </c>
    </row>
    <row r="476" spans="1:7" ht="15.75" thickBot="1">
      <c r="A476" s="6">
        <v>475</v>
      </c>
      <c r="B476" s="6">
        <v>0.1061</v>
      </c>
      <c r="C476" s="6">
        <v>0.3</v>
      </c>
      <c r="D476" s="6">
        <v>0.32840000000000003</v>
      </c>
      <c r="E476" s="6">
        <v>3</v>
      </c>
      <c r="F476" s="6">
        <v>93</v>
      </c>
      <c r="G476" s="6">
        <v>96</v>
      </c>
    </row>
    <row r="477" spans="1:7" ht="15.75" thickBot="1">
      <c r="A477" s="6">
        <v>476</v>
      </c>
      <c r="B477" s="6">
        <v>7.5800000000000006E-2</v>
      </c>
      <c r="C477" s="6">
        <v>0.33</v>
      </c>
      <c r="D477" s="6">
        <v>0.41789999999999999</v>
      </c>
      <c r="E477" s="6">
        <v>1</v>
      </c>
      <c r="F477" s="6">
        <v>52</v>
      </c>
      <c r="G477" s="6">
        <v>53</v>
      </c>
    </row>
    <row r="478" spans="1:7" ht="15.75" thickBot="1">
      <c r="A478" s="6">
        <v>477</v>
      </c>
      <c r="B478" s="6">
        <v>7.5800000000000006E-2</v>
      </c>
      <c r="C478" s="6">
        <v>0.38</v>
      </c>
      <c r="D478" s="6">
        <v>0.28360000000000002</v>
      </c>
      <c r="E478" s="6">
        <v>0</v>
      </c>
      <c r="F478" s="6">
        <v>41</v>
      </c>
      <c r="G478" s="6">
        <v>41</v>
      </c>
    </row>
    <row r="479" spans="1:7" ht="15.75" thickBot="1">
      <c r="A479" s="6">
        <v>478</v>
      </c>
      <c r="B479" s="6">
        <v>3.0300000000000001E-2</v>
      </c>
      <c r="C479" s="6">
        <v>0.41</v>
      </c>
      <c r="D479" s="6">
        <v>0.3881</v>
      </c>
      <c r="E479" s="6">
        <v>1</v>
      </c>
      <c r="F479" s="6">
        <v>33</v>
      </c>
      <c r="G479" s="6">
        <v>34</v>
      </c>
    </row>
    <row r="480" spans="1:7" ht="15.75" thickBot="1">
      <c r="A480" s="6">
        <v>479</v>
      </c>
      <c r="B480" s="6">
        <v>4.5499999999999999E-2</v>
      </c>
      <c r="C480" s="6">
        <v>0.38</v>
      </c>
      <c r="D480" s="6">
        <v>0.32840000000000003</v>
      </c>
      <c r="E480" s="6">
        <v>0</v>
      </c>
      <c r="F480" s="6">
        <v>27</v>
      </c>
      <c r="G480" s="6">
        <v>27</v>
      </c>
    </row>
    <row r="481" spans="1:7" ht="15.75" thickBot="1">
      <c r="A481" s="6">
        <v>480</v>
      </c>
      <c r="B481" s="6">
        <v>3.0300000000000001E-2</v>
      </c>
      <c r="C481" s="6">
        <v>0.45</v>
      </c>
      <c r="D481" s="6">
        <v>0.25369999999999998</v>
      </c>
      <c r="E481" s="6">
        <v>0</v>
      </c>
      <c r="F481" s="6">
        <v>13</v>
      </c>
      <c r="G481" s="6">
        <v>13</v>
      </c>
    </row>
    <row r="482" spans="1:7" ht="15.75" thickBot="1">
      <c r="A482" s="6">
        <v>481</v>
      </c>
      <c r="B482" s="6">
        <v>0</v>
      </c>
      <c r="C482" s="6">
        <v>0.41</v>
      </c>
      <c r="D482" s="6">
        <v>0.3881</v>
      </c>
      <c r="E482" s="6">
        <v>3</v>
      </c>
      <c r="F482" s="6">
        <v>9</v>
      </c>
      <c r="G482" s="6">
        <v>12</v>
      </c>
    </row>
    <row r="483" spans="1:7" ht="15.75" thickBot="1">
      <c r="A483" s="6">
        <v>482</v>
      </c>
      <c r="B483" s="6">
        <v>3.0300000000000001E-2</v>
      </c>
      <c r="C483" s="6">
        <v>0.41</v>
      </c>
      <c r="D483" s="6">
        <v>0.25369999999999998</v>
      </c>
      <c r="E483" s="6">
        <v>0</v>
      </c>
      <c r="F483" s="6">
        <v>11</v>
      </c>
      <c r="G483" s="6">
        <v>11</v>
      </c>
    </row>
    <row r="484" spans="1:7" ht="15.75" thickBot="1">
      <c r="A484" s="6">
        <v>483</v>
      </c>
      <c r="B484" s="6">
        <v>3.0300000000000001E-2</v>
      </c>
      <c r="C484" s="6">
        <v>0.41</v>
      </c>
      <c r="D484" s="6">
        <v>0.28360000000000002</v>
      </c>
      <c r="E484" s="6">
        <v>1</v>
      </c>
      <c r="F484" s="6">
        <v>6</v>
      </c>
      <c r="G484" s="6">
        <v>7</v>
      </c>
    </row>
    <row r="485" spans="1:7" ht="15.75" thickBot="1">
      <c r="A485" s="6">
        <v>484</v>
      </c>
      <c r="B485" s="6">
        <v>1.52E-2</v>
      </c>
      <c r="C485" s="6">
        <v>0.48</v>
      </c>
      <c r="D485" s="6">
        <v>0.29849999999999999</v>
      </c>
      <c r="E485" s="6">
        <v>0</v>
      </c>
      <c r="F485" s="6">
        <v>3</v>
      </c>
      <c r="G485" s="6">
        <v>3</v>
      </c>
    </row>
    <row r="486" spans="1:7" ht="15.75" thickBot="1">
      <c r="A486" s="6">
        <v>485</v>
      </c>
      <c r="B486" s="6">
        <v>3.0300000000000001E-2</v>
      </c>
      <c r="C486" s="6">
        <v>0.44</v>
      </c>
      <c r="D486" s="6">
        <v>0.22389999999999999</v>
      </c>
      <c r="E486" s="6">
        <v>0</v>
      </c>
      <c r="F486" s="6">
        <v>2</v>
      </c>
      <c r="G486" s="6">
        <v>2</v>
      </c>
    </row>
    <row r="487" spans="1:7" ht="15.75" thickBot="1">
      <c r="A487" s="6">
        <v>486</v>
      </c>
      <c r="B487" s="6">
        <v>1.52E-2</v>
      </c>
      <c r="C487" s="6">
        <v>0.44</v>
      </c>
      <c r="D487" s="6">
        <v>0.28360000000000002</v>
      </c>
      <c r="E487" s="6">
        <v>0</v>
      </c>
      <c r="F487" s="6">
        <v>8</v>
      </c>
      <c r="G487" s="6">
        <v>8</v>
      </c>
    </row>
    <row r="488" spans="1:7" ht="15.75" thickBot="1">
      <c r="A488" s="6">
        <v>487</v>
      </c>
      <c r="B488" s="6">
        <v>0</v>
      </c>
      <c r="C488" s="6">
        <v>0.44</v>
      </c>
      <c r="D488" s="6">
        <v>0.32840000000000003</v>
      </c>
      <c r="E488" s="6">
        <v>1</v>
      </c>
      <c r="F488" s="6">
        <v>26</v>
      </c>
      <c r="G488" s="6">
        <v>27</v>
      </c>
    </row>
    <row r="489" spans="1:7" ht="15.75" thickBot="1">
      <c r="A489" s="6">
        <v>488</v>
      </c>
      <c r="B489" s="6">
        <v>3.0300000000000001E-2</v>
      </c>
      <c r="C489" s="6">
        <v>0.41</v>
      </c>
      <c r="D489" s="6">
        <v>0.25369999999999998</v>
      </c>
      <c r="E489" s="6">
        <v>3</v>
      </c>
      <c r="F489" s="6">
        <v>37</v>
      </c>
      <c r="G489" s="6">
        <v>40</v>
      </c>
    </row>
    <row r="490" spans="1:7" ht="15.75" thickBot="1">
      <c r="A490" s="6">
        <v>489</v>
      </c>
      <c r="B490" s="6">
        <v>6.0600000000000001E-2</v>
      </c>
      <c r="C490" s="6">
        <v>0.41</v>
      </c>
      <c r="D490" s="6">
        <v>0.16420000000000001</v>
      </c>
      <c r="E490" s="6">
        <v>3</v>
      </c>
      <c r="F490" s="6">
        <v>50</v>
      </c>
      <c r="G490" s="6">
        <v>53</v>
      </c>
    </row>
    <row r="491" spans="1:7" ht="15.75" thickBot="1">
      <c r="A491" s="6">
        <v>490</v>
      </c>
      <c r="B491" s="6">
        <v>7.5800000000000006E-2</v>
      </c>
      <c r="C491" s="6">
        <v>0.38</v>
      </c>
      <c r="D491" s="6">
        <v>0.1343</v>
      </c>
      <c r="E491" s="6">
        <v>4</v>
      </c>
      <c r="F491" s="6">
        <v>59</v>
      </c>
      <c r="G491" s="6">
        <v>63</v>
      </c>
    </row>
    <row r="492" spans="1:7" ht="15.75" thickBot="1">
      <c r="A492" s="6">
        <v>491</v>
      </c>
      <c r="B492" s="6">
        <v>0.1061</v>
      </c>
      <c r="C492" s="6">
        <v>0.38</v>
      </c>
      <c r="D492" s="6">
        <v>0.1045</v>
      </c>
      <c r="E492" s="6">
        <v>10</v>
      </c>
      <c r="F492" s="6">
        <v>60</v>
      </c>
      <c r="G492" s="6">
        <v>70</v>
      </c>
    </row>
    <row r="493" spans="1:7" ht="15.75" thickBot="1">
      <c r="A493" s="6">
        <v>492</v>
      </c>
      <c r="B493" s="6">
        <v>0.16669999999999999</v>
      </c>
      <c r="C493" s="6">
        <v>0.35</v>
      </c>
      <c r="D493" s="6">
        <v>0</v>
      </c>
      <c r="E493" s="6">
        <v>12</v>
      </c>
      <c r="F493" s="6">
        <v>72</v>
      </c>
      <c r="G493" s="6">
        <v>84</v>
      </c>
    </row>
    <row r="494" spans="1:7" ht="15.75" thickBot="1">
      <c r="A494" s="6">
        <v>493</v>
      </c>
      <c r="B494" s="6">
        <v>0.13639999999999999</v>
      </c>
      <c r="C494" s="6">
        <v>0.33</v>
      </c>
      <c r="D494" s="6">
        <v>0.1045</v>
      </c>
      <c r="E494" s="6">
        <v>11</v>
      </c>
      <c r="F494" s="6">
        <v>64</v>
      </c>
      <c r="G494" s="6">
        <v>75</v>
      </c>
    </row>
    <row r="495" spans="1:7" ht="15.75" thickBot="1">
      <c r="A495" s="6">
        <v>494</v>
      </c>
      <c r="B495" s="6">
        <v>0.1515</v>
      </c>
      <c r="C495" s="6">
        <v>0.28000000000000003</v>
      </c>
      <c r="D495" s="6">
        <v>0</v>
      </c>
      <c r="E495" s="6">
        <v>10</v>
      </c>
      <c r="F495" s="6">
        <v>93</v>
      </c>
      <c r="G495" s="6">
        <v>103</v>
      </c>
    </row>
    <row r="496" spans="1:7" ht="15.75" thickBot="1">
      <c r="A496" s="6">
        <v>495</v>
      </c>
      <c r="B496" s="6">
        <v>0.13639999999999999</v>
      </c>
      <c r="C496" s="6">
        <v>0.28000000000000003</v>
      </c>
      <c r="D496" s="6">
        <v>0.19400000000000001</v>
      </c>
      <c r="E496" s="6">
        <v>11</v>
      </c>
      <c r="F496" s="6">
        <v>72</v>
      </c>
      <c r="G496" s="6">
        <v>83</v>
      </c>
    </row>
    <row r="497" spans="1:7" ht="15.75" thickBot="1">
      <c r="A497" s="6">
        <v>496</v>
      </c>
      <c r="B497" s="6">
        <v>0.19700000000000001</v>
      </c>
      <c r="C497" s="6">
        <v>0.28000000000000003</v>
      </c>
      <c r="D497" s="6">
        <v>0</v>
      </c>
      <c r="E497" s="6">
        <v>8</v>
      </c>
      <c r="F497" s="6">
        <v>59</v>
      </c>
      <c r="G497" s="6">
        <v>67</v>
      </c>
    </row>
    <row r="498" spans="1:7" ht="15.75" thickBot="1">
      <c r="A498" s="6">
        <v>497</v>
      </c>
      <c r="B498" s="6">
        <v>9.0899999999999995E-2</v>
      </c>
      <c r="C498" s="6">
        <v>0.35</v>
      </c>
      <c r="D498" s="6">
        <v>0.19400000000000001</v>
      </c>
      <c r="E498" s="6">
        <v>0</v>
      </c>
      <c r="F498" s="6">
        <v>54</v>
      </c>
      <c r="G498" s="6">
        <v>54</v>
      </c>
    </row>
    <row r="499" spans="1:7" ht="15.75" thickBot="1">
      <c r="A499" s="6">
        <v>498</v>
      </c>
      <c r="B499" s="6">
        <v>0.1061</v>
      </c>
      <c r="C499" s="6">
        <v>0.35</v>
      </c>
      <c r="D499" s="6">
        <v>0.1343</v>
      </c>
      <c r="E499" s="6">
        <v>6</v>
      </c>
      <c r="F499" s="6">
        <v>53</v>
      </c>
      <c r="G499" s="6">
        <v>59</v>
      </c>
    </row>
    <row r="500" spans="1:7" ht="15.75" thickBot="1">
      <c r="A500" s="6">
        <v>499</v>
      </c>
      <c r="B500" s="6">
        <v>7.5800000000000006E-2</v>
      </c>
      <c r="C500" s="6">
        <v>0.45</v>
      </c>
      <c r="D500" s="6">
        <v>0.16420000000000001</v>
      </c>
      <c r="E500" s="6">
        <v>1</v>
      </c>
      <c r="F500" s="6">
        <v>44</v>
      </c>
      <c r="G500" s="6">
        <v>45</v>
      </c>
    </row>
    <row r="501" spans="1:7" ht="15.75" thickBot="1">
      <c r="A501" s="6">
        <v>500</v>
      </c>
      <c r="B501" s="6">
        <v>0.1061</v>
      </c>
      <c r="C501" s="6">
        <v>0.41</v>
      </c>
      <c r="D501" s="6">
        <v>8.9599999999999999E-2</v>
      </c>
      <c r="E501" s="6">
        <v>0</v>
      </c>
      <c r="F501" s="6">
        <v>39</v>
      </c>
      <c r="G501" s="6">
        <v>39</v>
      </c>
    </row>
    <row r="502" spans="1:7" ht="15.75" thickBot="1">
      <c r="A502" s="6">
        <v>501</v>
      </c>
      <c r="B502" s="6">
        <v>0.1515</v>
      </c>
      <c r="C502" s="6">
        <v>0.49</v>
      </c>
      <c r="D502" s="6">
        <v>0</v>
      </c>
      <c r="E502" s="6">
        <v>7</v>
      </c>
      <c r="F502" s="6">
        <v>23</v>
      </c>
      <c r="G502" s="6">
        <v>30</v>
      </c>
    </row>
    <row r="503" spans="1:7" ht="15.75" thickBot="1">
      <c r="A503" s="6">
        <v>502</v>
      </c>
      <c r="B503" s="6">
        <v>7.5800000000000006E-2</v>
      </c>
      <c r="C503" s="6">
        <v>0.56999999999999995</v>
      </c>
      <c r="D503" s="6">
        <v>0.1045</v>
      </c>
      <c r="E503" s="6">
        <v>2</v>
      </c>
      <c r="F503" s="6">
        <v>31</v>
      </c>
      <c r="G503" s="6">
        <v>33</v>
      </c>
    </row>
    <row r="504" spans="1:7" ht="15.75" thickBot="1">
      <c r="A504" s="6">
        <v>503</v>
      </c>
      <c r="B504" s="6">
        <v>7.5800000000000006E-2</v>
      </c>
      <c r="C504" s="6">
        <v>0.56999999999999995</v>
      </c>
      <c r="D504" s="6">
        <v>0.1045</v>
      </c>
      <c r="E504" s="6">
        <v>2</v>
      </c>
      <c r="F504" s="6">
        <v>20</v>
      </c>
      <c r="G504" s="6">
        <v>22</v>
      </c>
    </row>
    <row r="505" spans="1:7" ht="15.75" thickBot="1">
      <c r="A505" s="6">
        <v>504</v>
      </c>
      <c r="B505" s="6">
        <v>7.5800000000000006E-2</v>
      </c>
      <c r="C505" s="6">
        <v>0.56999999999999995</v>
      </c>
      <c r="D505" s="6">
        <v>0.1045</v>
      </c>
      <c r="E505" s="6">
        <v>1</v>
      </c>
      <c r="F505" s="6">
        <v>12</v>
      </c>
      <c r="G505" s="6">
        <v>13</v>
      </c>
    </row>
    <row r="506" spans="1:7" ht="15.75" thickBot="1">
      <c r="A506" s="6">
        <v>505</v>
      </c>
      <c r="B506" s="6">
        <v>6.0600000000000001E-2</v>
      </c>
      <c r="C506" s="6">
        <v>0.62</v>
      </c>
      <c r="D506" s="6">
        <v>0.1343</v>
      </c>
      <c r="E506" s="6">
        <v>3</v>
      </c>
      <c r="F506" s="6">
        <v>15</v>
      </c>
      <c r="G506" s="6">
        <v>18</v>
      </c>
    </row>
    <row r="507" spans="1:7" ht="15.75" thickBot="1">
      <c r="A507" s="6">
        <v>506</v>
      </c>
      <c r="B507" s="6">
        <v>6.0600000000000001E-2</v>
      </c>
      <c r="C507" s="6">
        <v>0.62</v>
      </c>
      <c r="D507" s="6">
        <v>0.1343</v>
      </c>
      <c r="E507" s="6">
        <v>1</v>
      </c>
      <c r="F507" s="6">
        <v>4</v>
      </c>
      <c r="G507" s="6">
        <v>5</v>
      </c>
    </row>
    <row r="508" spans="1:7" ht="15.75" thickBot="1">
      <c r="A508" s="6">
        <v>507</v>
      </c>
      <c r="B508" s="6">
        <v>7.5800000000000006E-2</v>
      </c>
      <c r="C508" s="6">
        <v>0.56999999999999995</v>
      </c>
      <c r="D508" s="6">
        <v>0.1045</v>
      </c>
      <c r="E508" s="6">
        <v>0</v>
      </c>
      <c r="F508" s="6">
        <v>3</v>
      </c>
      <c r="G508" s="6">
        <v>3</v>
      </c>
    </row>
    <row r="509" spans="1:7" ht="15.75" thickBot="1">
      <c r="A509" s="6">
        <v>508</v>
      </c>
      <c r="B509" s="6">
        <v>7.5800000000000006E-2</v>
      </c>
      <c r="C509" s="6">
        <v>0.56999999999999995</v>
      </c>
      <c r="D509" s="6">
        <v>0.1045</v>
      </c>
      <c r="E509" s="6">
        <v>0</v>
      </c>
      <c r="F509" s="6">
        <v>1</v>
      </c>
      <c r="G509" s="6">
        <v>1</v>
      </c>
    </row>
    <row r="510" spans="1:7" ht="15.75" thickBot="1">
      <c r="A510" s="6">
        <v>509</v>
      </c>
      <c r="B510" s="6">
        <v>0.1061</v>
      </c>
      <c r="C510" s="6">
        <v>0.57999999999999996</v>
      </c>
      <c r="D510" s="6">
        <v>0.16420000000000001</v>
      </c>
      <c r="E510" s="6">
        <v>1</v>
      </c>
      <c r="F510" s="6">
        <v>1</v>
      </c>
      <c r="G510" s="6">
        <v>2</v>
      </c>
    </row>
    <row r="511" spans="1:7" ht="15.75" thickBot="1">
      <c r="A511" s="6">
        <v>510</v>
      </c>
      <c r="B511" s="6">
        <v>7.5800000000000006E-2</v>
      </c>
      <c r="C511" s="6">
        <v>0.62</v>
      </c>
      <c r="D511" s="6">
        <v>0.16420000000000001</v>
      </c>
      <c r="E511" s="6">
        <v>2</v>
      </c>
      <c r="F511" s="6">
        <v>17</v>
      </c>
      <c r="G511" s="6">
        <v>19</v>
      </c>
    </row>
    <row r="512" spans="1:7" ht="15.75" thickBot="1">
      <c r="A512" s="6">
        <v>511</v>
      </c>
      <c r="B512" s="6">
        <v>7.5800000000000006E-2</v>
      </c>
      <c r="C512" s="6">
        <v>0.54</v>
      </c>
      <c r="D512" s="6">
        <v>0.35820000000000002</v>
      </c>
      <c r="E512" s="6">
        <v>3</v>
      </c>
      <c r="F512" s="6">
        <v>25</v>
      </c>
      <c r="G512" s="6">
        <v>28</v>
      </c>
    </row>
    <row r="513" spans="1:7" ht="15.75" thickBot="1">
      <c r="A513" s="6">
        <v>512</v>
      </c>
      <c r="B513" s="6">
        <v>0.1061</v>
      </c>
      <c r="C513" s="6">
        <v>0.46</v>
      </c>
      <c r="D513" s="6">
        <v>0.3881</v>
      </c>
      <c r="E513" s="6">
        <v>7</v>
      </c>
      <c r="F513" s="6">
        <v>51</v>
      </c>
      <c r="G513" s="6">
        <v>58</v>
      </c>
    </row>
    <row r="514" spans="1:7" ht="15.75" thickBot="1">
      <c r="A514" s="6">
        <v>513</v>
      </c>
      <c r="B514" s="6">
        <v>0.13639999999999999</v>
      </c>
      <c r="C514" s="6">
        <v>0.43</v>
      </c>
      <c r="D514" s="6">
        <v>0.22389999999999999</v>
      </c>
      <c r="E514" s="6">
        <v>22</v>
      </c>
      <c r="F514" s="6">
        <v>77</v>
      </c>
      <c r="G514" s="6">
        <v>99</v>
      </c>
    </row>
    <row r="515" spans="1:7" ht="15.75" thickBot="1">
      <c r="A515" s="6">
        <v>514</v>
      </c>
      <c r="B515" s="6">
        <v>0.1212</v>
      </c>
      <c r="C515" s="6">
        <v>0.37</v>
      </c>
      <c r="D515" s="6">
        <v>0.4627</v>
      </c>
      <c r="E515" s="6">
        <v>24</v>
      </c>
      <c r="F515" s="6">
        <v>92</v>
      </c>
      <c r="G515" s="6">
        <v>116</v>
      </c>
    </row>
    <row r="516" spans="1:7" ht="15.75" thickBot="1">
      <c r="A516" s="6">
        <v>515</v>
      </c>
      <c r="B516" s="6">
        <v>0.1061</v>
      </c>
      <c r="C516" s="6">
        <v>0.33</v>
      </c>
      <c r="D516" s="6">
        <v>0.3881</v>
      </c>
      <c r="E516" s="6">
        <v>12</v>
      </c>
      <c r="F516" s="6">
        <v>75</v>
      </c>
      <c r="G516" s="6">
        <v>87</v>
      </c>
    </row>
    <row r="517" spans="1:7" ht="15.75" thickBot="1">
      <c r="A517" s="6">
        <v>516</v>
      </c>
      <c r="B517" s="6">
        <v>0.13639999999999999</v>
      </c>
      <c r="C517" s="6">
        <v>0.28000000000000003</v>
      </c>
      <c r="D517" s="6">
        <v>0.35820000000000002</v>
      </c>
      <c r="E517" s="6">
        <v>17</v>
      </c>
      <c r="F517" s="6">
        <v>93</v>
      </c>
      <c r="G517" s="6">
        <v>110</v>
      </c>
    </row>
    <row r="518" spans="1:7" ht="15.75" thickBot="1">
      <c r="A518" s="6">
        <v>517</v>
      </c>
      <c r="B518" s="6">
        <v>0.13639999999999999</v>
      </c>
      <c r="C518" s="6">
        <v>0.28000000000000003</v>
      </c>
      <c r="D518" s="6">
        <v>0.35820000000000002</v>
      </c>
      <c r="E518" s="6">
        <v>13</v>
      </c>
      <c r="F518" s="6">
        <v>64</v>
      </c>
      <c r="G518" s="6">
        <v>77</v>
      </c>
    </row>
    <row r="519" spans="1:7" ht="15.75" thickBot="1">
      <c r="A519" s="6">
        <v>518</v>
      </c>
      <c r="B519" s="6">
        <v>0.13639999999999999</v>
      </c>
      <c r="C519" s="6">
        <v>0.26</v>
      </c>
      <c r="D519" s="6">
        <v>0.32840000000000003</v>
      </c>
      <c r="E519" s="6">
        <v>9</v>
      </c>
      <c r="F519" s="6">
        <v>56</v>
      </c>
      <c r="G519" s="6">
        <v>65</v>
      </c>
    </row>
    <row r="520" spans="1:7" ht="15.75" thickBot="1">
      <c r="A520" s="6">
        <v>519</v>
      </c>
      <c r="B520" s="6">
        <v>0.1061</v>
      </c>
      <c r="C520" s="6">
        <v>0.26</v>
      </c>
      <c r="D520" s="6">
        <v>0.3881</v>
      </c>
      <c r="E520" s="6">
        <v>5</v>
      </c>
      <c r="F520" s="6">
        <v>50</v>
      </c>
      <c r="G520" s="6">
        <v>55</v>
      </c>
    </row>
    <row r="521" spans="1:7" ht="15.75" thickBot="1">
      <c r="A521" s="6">
        <v>520</v>
      </c>
      <c r="B521" s="6">
        <v>0.1212</v>
      </c>
      <c r="C521" s="6">
        <v>0.3</v>
      </c>
      <c r="D521" s="6">
        <v>0.25369999999999998</v>
      </c>
      <c r="E521" s="6">
        <v>5</v>
      </c>
      <c r="F521" s="6">
        <v>44</v>
      </c>
      <c r="G521" s="6">
        <v>49</v>
      </c>
    </row>
    <row r="522" spans="1:7" ht="15.75" thickBot="1">
      <c r="A522" s="6">
        <v>521</v>
      </c>
      <c r="B522" s="6">
        <v>0.1212</v>
      </c>
      <c r="C522" s="6">
        <v>0.3</v>
      </c>
      <c r="D522" s="6">
        <v>0.28360000000000002</v>
      </c>
      <c r="E522" s="6">
        <v>5</v>
      </c>
      <c r="F522" s="6">
        <v>45</v>
      </c>
      <c r="G522" s="6">
        <v>50</v>
      </c>
    </row>
    <row r="523" spans="1:7" ht="15.75" thickBot="1">
      <c r="A523" s="6">
        <v>522</v>
      </c>
      <c r="B523" s="6">
        <v>0.1061</v>
      </c>
      <c r="C523" s="6">
        <v>0.36</v>
      </c>
      <c r="D523" s="6">
        <v>0.25369999999999998</v>
      </c>
      <c r="E523" s="6">
        <v>4</v>
      </c>
      <c r="F523" s="6">
        <v>31</v>
      </c>
      <c r="G523" s="6">
        <v>35</v>
      </c>
    </row>
    <row r="524" spans="1:7" ht="15.75" thickBot="1">
      <c r="A524" s="6">
        <v>523</v>
      </c>
      <c r="B524" s="6">
        <v>0.1061</v>
      </c>
      <c r="C524" s="6">
        <v>0.36</v>
      </c>
      <c r="D524" s="6">
        <v>0.19400000000000001</v>
      </c>
      <c r="E524" s="6">
        <v>5</v>
      </c>
      <c r="F524" s="6">
        <v>20</v>
      </c>
      <c r="G524" s="6">
        <v>25</v>
      </c>
    </row>
    <row r="525" spans="1:7" ht="15.75" thickBot="1">
      <c r="A525" s="6">
        <v>524</v>
      </c>
      <c r="B525" s="6">
        <v>9.0899999999999995E-2</v>
      </c>
      <c r="C525" s="6">
        <v>0.38</v>
      </c>
      <c r="D525" s="6">
        <v>0.19400000000000001</v>
      </c>
      <c r="E525" s="6">
        <v>5</v>
      </c>
      <c r="F525" s="6">
        <v>23</v>
      </c>
      <c r="G525" s="6">
        <v>28</v>
      </c>
    </row>
    <row r="526" spans="1:7" ht="15.75" thickBot="1">
      <c r="A526" s="6">
        <v>525</v>
      </c>
      <c r="B526" s="6">
        <v>6.0600000000000001E-2</v>
      </c>
      <c r="C526" s="6">
        <v>0.41</v>
      </c>
      <c r="D526" s="6">
        <v>0.22389999999999999</v>
      </c>
      <c r="E526" s="6">
        <v>4</v>
      </c>
      <c r="F526" s="6">
        <v>17</v>
      </c>
      <c r="G526" s="6">
        <v>21</v>
      </c>
    </row>
    <row r="527" spans="1:7" ht="15.75" thickBot="1">
      <c r="A527" s="6">
        <v>526</v>
      </c>
      <c r="B527" s="6">
        <v>6.0600000000000001E-2</v>
      </c>
      <c r="C527" s="6">
        <v>0.41</v>
      </c>
      <c r="D527" s="6">
        <v>0.19400000000000001</v>
      </c>
      <c r="E527" s="6">
        <v>0</v>
      </c>
      <c r="F527" s="6">
        <v>7</v>
      </c>
      <c r="G527" s="6">
        <v>7</v>
      </c>
    </row>
    <row r="528" spans="1:7" ht="15.75" thickBot="1">
      <c r="A528" s="6">
        <v>527</v>
      </c>
      <c r="B528" s="6">
        <v>4.5499999999999999E-2</v>
      </c>
      <c r="C528" s="6">
        <v>0.45</v>
      </c>
      <c r="D528" s="6">
        <v>0.19400000000000001</v>
      </c>
      <c r="E528" s="6">
        <v>0</v>
      </c>
      <c r="F528" s="6">
        <v>1</v>
      </c>
      <c r="G528" s="6">
        <v>1</v>
      </c>
    </row>
    <row r="529" spans="1:7" ht="15.75" thickBot="1">
      <c r="A529" s="6">
        <v>528</v>
      </c>
      <c r="B529" s="6">
        <v>3.0300000000000001E-2</v>
      </c>
      <c r="C529" s="6">
        <v>0.45</v>
      </c>
      <c r="D529" s="6">
        <v>0.25369999999999998</v>
      </c>
      <c r="E529" s="6">
        <v>0</v>
      </c>
      <c r="F529" s="6">
        <v>1</v>
      </c>
      <c r="G529" s="6">
        <v>1</v>
      </c>
    </row>
    <row r="530" spans="1:7" ht="15.75" thickBot="1">
      <c r="A530" s="6">
        <v>529</v>
      </c>
      <c r="B530" s="6">
        <v>6.0600000000000001E-2</v>
      </c>
      <c r="C530" s="6">
        <v>0.48</v>
      </c>
      <c r="D530" s="6">
        <v>0.1343</v>
      </c>
      <c r="E530" s="6">
        <v>0</v>
      </c>
      <c r="F530" s="6">
        <v>1</v>
      </c>
      <c r="G530" s="6">
        <v>1</v>
      </c>
    </row>
    <row r="531" spans="1:7" ht="15.75" thickBot="1">
      <c r="A531" s="6">
        <v>530</v>
      </c>
      <c r="B531" s="6">
        <v>6.0600000000000001E-2</v>
      </c>
      <c r="C531" s="6">
        <v>0.48</v>
      </c>
      <c r="D531" s="6">
        <v>0.1343</v>
      </c>
      <c r="E531" s="6">
        <v>0</v>
      </c>
      <c r="F531" s="6">
        <v>5</v>
      </c>
      <c r="G531" s="6">
        <v>5</v>
      </c>
    </row>
    <row r="532" spans="1:7" ht="15.75" thickBot="1">
      <c r="A532" s="6">
        <v>531</v>
      </c>
      <c r="B532" s="6">
        <v>7.5800000000000006E-2</v>
      </c>
      <c r="C532" s="6">
        <v>0.48</v>
      </c>
      <c r="D532" s="6">
        <v>8.9599999999999999E-2</v>
      </c>
      <c r="E532" s="6">
        <v>0</v>
      </c>
      <c r="F532" s="6">
        <v>15</v>
      </c>
      <c r="G532" s="6">
        <v>15</v>
      </c>
    </row>
    <row r="533" spans="1:7" ht="15.75" thickBot="1">
      <c r="A533" s="6">
        <v>532</v>
      </c>
      <c r="B533" s="6">
        <v>0.1212</v>
      </c>
      <c r="C533" s="6">
        <v>0.48</v>
      </c>
      <c r="D533" s="6">
        <v>0</v>
      </c>
      <c r="E533" s="6">
        <v>5</v>
      </c>
      <c r="F533" s="6">
        <v>79</v>
      </c>
      <c r="G533" s="6">
        <v>84</v>
      </c>
    </row>
    <row r="534" spans="1:7" ht="15.75" thickBot="1">
      <c r="A534" s="6">
        <v>533</v>
      </c>
      <c r="B534" s="6">
        <v>0.13639999999999999</v>
      </c>
      <c r="C534" s="6">
        <v>0.49</v>
      </c>
      <c r="D534" s="6">
        <v>0</v>
      </c>
      <c r="E534" s="6">
        <v>6</v>
      </c>
      <c r="F534" s="6">
        <v>171</v>
      </c>
      <c r="G534" s="6">
        <v>177</v>
      </c>
    </row>
    <row r="535" spans="1:7" ht="15.75" thickBot="1">
      <c r="A535" s="6">
        <v>534</v>
      </c>
      <c r="B535" s="6">
        <v>0.1515</v>
      </c>
      <c r="C535" s="6">
        <v>0.41</v>
      </c>
      <c r="D535" s="6">
        <v>0</v>
      </c>
      <c r="E535" s="6">
        <v>4</v>
      </c>
      <c r="F535" s="6">
        <v>98</v>
      </c>
      <c r="G535" s="6">
        <v>102</v>
      </c>
    </row>
    <row r="536" spans="1:7" ht="15.75" thickBot="1">
      <c r="A536" s="6">
        <v>535</v>
      </c>
      <c r="B536" s="6">
        <v>0.13639999999999999</v>
      </c>
      <c r="C536" s="6">
        <v>0.42</v>
      </c>
      <c r="D536" s="6">
        <v>0</v>
      </c>
      <c r="E536" s="6">
        <v>6</v>
      </c>
      <c r="F536" s="6">
        <v>34</v>
      </c>
      <c r="G536" s="6">
        <v>40</v>
      </c>
    </row>
    <row r="537" spans="1:7" ht="15.75" thickBot="1">
      <c r="A537" s="6">
        <v>536</v>
      </c>
      <c r="B537" s="6">
        <v>0.1212</v>
      </c>
      <c r="C537" s="6">
        <v>0.46</v>
      </c>
      <c r="D537" s="6">
        <v>0.1343</v>
      </c>
      <c r="E537" s="6">
        <v>3</v>
      </c>
      <c r="F537" s="6">
        <v>43</v>
      </c>
      <c r="G537" s="6">
        <v>46</v>
      </c>
    </row>
    <row r="538" spans="1:7" ht="15.75" thickBot="1">
      <c r="A538" s="6">
        <v>537</v>
      </c>
      <c r="B538" s="6">
        <v>0.13639999999999999</v>
      </c>
      <c r="C538" s="6">
        <v>0.42</v>
      </c>
      <c r="D538" s="6">
        <v>0.19400000000000001</v>
      </c>
      <c r="E538" s="6">
        <v>11</v>
      </c>
      <c r="F538" s="6">
        <v>52</v>
      </c>
      <c r="G538" s="6">
        <v>63</v>
      </c>
    </row>
    <row r="539" spans="1:7" ht="15.75" thickBot="1">
      <c r="A539" s="6">
        <v>538</v>
      </c>
      <c r="B539" s="6">
        <v>0.13639999999999999</v>
      </c>
      <c r="C539" s="6">
        <v>0.43</v>
      </c>
      <c r="D539" s="6">
        <v>0.22389999999999999</v>
      </c>
      <c r="E539" s="6">
        <v>6</v>
      </c>
      <c r="F539" s="6">
        <v>54</v>
      </c>
      <c r="G539" s="6">
        <v>60</v>
      </c>
    </row>
    <row r="540" spans="1:7" ht="15.75" thickBot="1">
      <c r="A540" s="6">
        <v>539</v>
      </c>
      <c r="B540" s="6">
        <v>0.13639999999999999</v>
      </c>
      <c r="C540" s="6">
        <v>0.46</v>
      </c>
      <c r="D540" s="6">
        <v>0.22389999999999999</v>
      </c>
      <c r="E540" s="6">
        <v>2</v>
      </c>
      <c r="F540" s="6">
        <v>43</v>
      </c>
      <c r="G540" s="6">
        <v>45</v>
      </c>
    </row>
    <row r="541" spans="1:7" ht="15.75" thickBot="1">
      <c r="A541" s="6">
        <v>540</v>
      </c>
      <c r="B541" s="6">
        <v>0.16669999999999999</v>
      </c>
      <c r="C541" s="6">
        <v>0.4</v>
      </c>
      <c r="D541" s="6">
        <v>0.16420000000000001</v>
      </c>
      <c r="E541" s="6">
        <v>7</v>
      </c>
      <c r="F541" s="6">
        <v>50</v>
      </c>
      <c r="G541" s="6">
        <v>57</v>
      </c>
    </row>
    <row r="542" spans="1:7" ht="15.75" thickBot="1">
      <c r="A542" s="6">
        <v>541</v>
      </c>
      <c r="B542" s="6">
        <v>0.1515</v>
      </c>
      <c r="C542" s="6">
        <v>0.47</v>
      </c>
      <c r="D542" s="6">
        <v>0.25369999999999998</v>
      </c>
      <c r="E542" s="6">
        <v>4</v>
      </c>
      <c r="F542" s="6">
        <v>66</v>
      </c>
      <c r="G542" s="6">
        <v>70</v>
      </c>
    </row>
    <row r="543" spans="1:7" ht="15.75" thickBot="1">
      <c r="A543" s="6">
        <v>542</v>
      </c>
      <c r="B543" s="6">
        <v>0.1212</v>
      </c>
      <c r="C543" s="6">
        <v>0.5</v>
      </c>
      <c r="D543" s="6">
        <v>0.25369999999999998</v>
      </c>
      <c r="E543" s="6">
        <v>6</v>
      </c>
      <c r="F543" s="6">
        <v>178</v>
      </c>
      <c r="G543" s="6">
        <v>184</v>
      </c>
    </row>
    <row r="544" spans="1:7" ht="15.75" thickBot="1">
      <c r="A544" s="6">
        <v>543</v>
      </c>
      <c r="B544" s="6">
        <v>0.13639999999999999</v>
      </c>
      <c r="C544" s="6">
        <v>0.59</v>
      </c>
      <c r="D544" s="6">
        <v>0.19400000000000001</v>
      </c>
      <c r="E544" s="6">
        <v>8</v>
      </c>
      <c r="F544" s="6">
        <v>145</v>
      </c>
      <c r="G544" s="6">
        <v>153</v>
      </c>
    </row>
    <row r="545" spans="1:7" ht="15.75" thickBot="1">
      <c r="A545" s="6">
        <v>544</v>
      </c>
      <c r="B545" s="6">
        <v>0.1515</v>
      </c>
      <c r="C545" s="6">
        <v>0.54</v>
      </c>
      <c r="D545" s="6">
        <v>0.16420000000000001</v>
      </c>
      <c r="E545" s="6">
        <v>5</v>
      </c>
      <c r="F545" s="6">
        <v>101</v>
      </c>
      <c r="G545" s="6">
        <v>106</v>
      </c>
    </row>
    <row r="546" spans="1:7" ht="15.75" thickBot="1">
      <c r="A546" s="6">
        <v>545</v>
      </c>
      <c r="B546" s="6">
        <v>0.13639999999999999</v>
      </c>
      <c r="C546" s="6">
        <v>0.59</v>
      </c>
      <c r="D546" s="6">
        <v>0.19400000000000001</v>
      </c>
      <c r="E546" s="6">
        <v>1</v>
      </c>
      <c r="F546" s="6">
        <v>80</v>
      </c>
      <c r="G546" s="6">
        <v>81</v>
      </c>
    </row>
    <row r="547" spans="1:7" ht="15.75" thickBot="1">
      <c r="A547" s="6">
        <v>546</v>
      </c>
      <c r="B547" s="6">
        <v>0.1515</v>
      </c>
      <c r="C547" s="6">
        <v>0.63</v>
      </c>
      <c r="D547" s="6">
        <v>0.16420000000000001</v>
      </c>
      <c r="E547" s="6">
        <v>6</v>
      </c>
      <c r="F547" s="6">
        <v>53</v>
      </c>
      <c r="G547" s="6">
        <v>59</v>
      </c>
    </row>
    <row r="548" spans="1:7" ht="15.75" thickBot="1">
      <c r="A548" s="6">
        <v>547</v>
      </c>
      <c r="B548" s="6">
        <v>0.13639999999999999</v>
      </c>
      <c r="C548" s="6">
        <v>0.63</v>
      </c>
      <c r="D548" s="6">
        <v>0.22389999999999999</v>
      </c>
      <c r="E548" s="6">
        <v>3</v>
      </c>
      <c r="F548" s="6">
        <v>32</v>
      </c>
      <c r="G548" s="6">
        <v>35</v>
      </c>
    </row>
    <row r="549" spans="1:7" ht="15.75" thickBot="1">
      <c r="A549" s="6">
        <v>548</v>
      </c>
      <c r="B549" s="6">
        <v>0.1515</v>
      </c>
      <c r="C549" s="6">
        <v>0.64</v>
      </c>
      <c r="D549" s="6">
        <v>0.25369999999999998</v>
      </c>
      <c r="E549" s="6">
        <v>3</v>
      </c>
      <c r="F549" s="6">
        <v>21</v>
      </c>
      <c r="G549" s="6">
        <v>24</v>
      </c>
    </row>
    <row r="550" spans="1:7" ht="15.75" thickBot="1">
      <c r="A550" s="6">
        <v>549</v>
      </c>
      <c r="B550" s="6">
        <v>0.13639999999999999</v>
      </c>
      <c r="C550" s="6">
        <v>0.69</v>
      </c>
      <c r="D550" s="6">
        <v>0.28360000000000002</v>
      </c>
      <c r="E550" s="6">
        <v>3</v>
      </c>
      <c r="F550" s="6">
        <v>6</v>
      </c>
      <c r="G550" s="6">
        <v>9</v>
      </c>
    </row>
    <row r="551" spans="1:7" ht="15.75" thickBot="1">
      <c r="A551" s="6">
        <v>550</v>
      </c>
      <c r="B551" s="6">
        <v>0.16669999999999999</v>
      </c>
      <c r="C551" s="6">
        <v>0.69</v>
      </c>
      <c r="D551" s="6">
        <v>0.16420000000000001</v>
      </c>
      <c r="E551" s="6">
        <v>0</v>
      </c>
      <c r="F551" s="6">
        <v>5</v>
      </c>
      <c r="G551" s="6">
        <v>5</v>
      </c>
    </row>
    <row r="552" spans="1:7" ht="15.75" thickBot="1">
      <c r="A552" s="6">
        <v>551</v>
      </c>
      <c r="B552" s="6">
        <v>0.1515</v>
      </c>
      <c r="C552" s="6">
        <v>0.69</v>
      </c>
      <c r="D552" s="6">
        <v>0.22389999999999999</v>
      </c>
      <c r="E552" s="6">
        <v>0</v>
      </c>
      <c r="F552" s="6">
        <v>2</v>
      </c>
      <c r="G552" s="6">
        <v>2</v>
      </c>
    </row>
    <row r="553" spans="1:7" ht="15.75" thickBot="1">
      <c r="A553" s="6">
        <v>552</v>
      </c>
      <c r="B553" s="6">
        <v>0.16669999999999999</v>
      </c>
      <c r="C553" s="6">
        <v>0.74</v>
      </c>
      <c r="D553" s="6">
        <v>0.1045</v>
      </c>
      <c r="E553" s="6">
        <v>0</v>
      </c>
      <c r="F553" s="6">
        <v>1</v>
      </c>
      <c r="G553" s="6">
        <v>1</v>
      </c>
    </row>
    <row r="554" spans="1:7" ht="15.75" thickBot="1">
      <c r="A554" s="6">
        <v>553</v>
      </c>
      <c r="B554" s="6">
        <v>0.13639999999999999</v>
      </c>
      <c r="C554" s="6">
        <v>0.74</v>
      </c>
      <c r="D554" s="6">
        <v>0.22389999999999999</v>
      </c>
      <c r="E554" s="6">
        <v>0</v>
      </c>
      <c r="F554" s="6">
        <v>9</v>
      </c>
      <c r="G554" s="6">
        <v>9</v>
      </c>
    </row>
    <row r="555" spans="1:7" ht="15.75" thickBot="1">
      <c r="A555" s="6">
        <v>554</v>
      </c>
      <c r="B555" s="6">
        <v>0.18179999999999999</v>
      </c>
      <c r="C555" s="6">
        <v>0.74</v>
      </c>
      <c r="D555" s="6">
        <v>0.1045</v>
      </c>
      <c r="E555" s="6">
        <v>1</v>
      </c>
      <c r="F555" s="6">
        <v>35</v>
      </c>
      <c r="G555" s="6">
        <v>36</v>
      </c>
    </row>
    <row r="556" spans="1:7" ht="15.75" thickBot="1">
      <c r="A556" s="6">
        <v>555</v>
      </c>
      <c r="B556" s="6">
        <v>0.1515</v>
      </c>
      <c r="C556" s="6">
        <v>0.74</v>
      </c>
      <c r="D556" s="6">
        <v>0.22389999999999999</v>
      </c>
      <c r="E556" s="6">
        <v>5</v>
      </c>
      <c r="F556" s="6">
        <v>103</v>
      </c>
      <c r="G556" s="6">
        <v>108</v>
      </c>
    </row>
    <row r="557" spans="1:7" ht="15.75" thickBot="1">
      <c r="A557" s="6">
        <v>556</v>
      </c>
      <c r="B557" s="6">
        <v>0.18179999999999999</v>
      </c>
      <c r="C557" s="6">
        <v>0.74</v>
      </c>
      <c r="D557" s="6">
        <v>0.1343</v>
      </c>
      <c r="E557" s="6">
        <v>5</v>
      </c>
      <c r="F557" s="6">
        <v>233</v>
      </c>
      <c r="G557" s="6">
        <v>238</v>
      </c>
    </row>
    <row r="558" spans="1:7" ht="15.75" thickBot="1">
      <c r="A558" s="6">
        <v>557</v>
      </c>
      <c r="B558" s="6">
        <v>0.2273</v>
      </c>
      <c r="C558" s="6">
        <v>0.64</v>
      </c>
      <c r="D558" s="6">
        <v>8.9599999999999999E-2</v>
      </c>
      <c r="E558" s="6">
        <v>10</v>
      </c>
      <c r="F558" s="6">
        <v>134</v>
      </c>
      <c r="G558" s="6">
        <v>144</v>
      </c>
    </row>
    <row r="559" spans="1:7" ht="15.75" thickBot="1">
      <c r="A559" s="6">
        <v>558</v>
      </c>
      <c r="B559" s="6">
        <v>0.2424</v>
      </c>
      <c r="C559" s="6">
        <v>0.6</v>
      </c>
      <c r="D559" s="6">
        <v>0.1045</v>
      </c>
      <c r="E559" s="6">
        <v>6</v>
      </c>
      <c r="F559" s="6">
        <v>49</v>
      </c>
      <c r="G559" s="6">
        <v>55</v>
      </c>
    </row>
    <row r="560" spans="1:7" ht="15.75" thickBot="1">
      <c r="A560" s="6">
        <v>559</v>
      </c>
      <c r="B560" s="6">
        <v>0.2424</v>
      </c>
      <c r="C560" s="6">
        <v>0.6</v>
      </c>
      <c r="D560" s="6">
        <v>0.1343</v>
      </c>
      <c r="E560" s="6">
        <v>6</v>
      </c>
      <c r="F560" s="6">
        <v>55</v>
      </c>
      <c r="G560" s="6">
        <v>61</v>
      </c>
    </row>
    <row r="561" spans="1:7" ht="15.75" thickBot="1">
      <c r="A561" s="6">
        <v>560</v>
      </c>
      <c r="B561" s="6">
        <v>0.28789999999999999</v>
      </c>
      <c r="C561" s="6">
        <v>0.56000000000000005</v>
      </c>
      <c r="D561" s="6">
        <v>8.9599999999999999E-2</v>
      </c>
      <c r="E561" s="6">
        <v>21</v>
      </c>
      <c r="F561" s="6">
        <v>85</v>
      </c>
      <c r="G561" s="6">
        <v>106</v>
      </c>
    </row>
    <row r="562" spans="1:7" ht="15.75" thickBot="1">
      <c r="A562" s="6">
        <v>561</v>
      </c>
      <c r="B562" s="6">
        <v>0.2727</v>
      </c>
      <c r="C562" s="6">
        <v>0.56000000000000005</v>
      </c>
      <c r="D562" s="6">
        <v>0.1343</v>
      </c>
      <c r="E562" s="6">
        <v>21</v>
      </c>
      <c r="F562" s="6">
        <v>72</v>
      </c>
      <c r="G562" s="6">
        <v>93</v>
      </c>
    </row>
    <row r="563" spans="1:7" ht="15.75" thickBot="1">
      <c r="A563" s="6">
        <v>562</v>
      </c>
      <c r="B563" s="6">
        <v>0.33329999999999999</v>
      </c>
      <c r="C563" s="6">
        <v>0.45</v>
      </c>
      <c r="D563" s="6">
        <v>0</v>
      </c>
      <c r="E563" s="6">
        <v>11</v>
      </c>
      <c r="F563" s="6">
        <v>57</v>
      </c>
      <c r="G563" s="6">
        <v>68</v>
      </c>
    </row>
    <row r="564" spans="1:7" ht="15.75" thickBot="1">
      <c r="A564" s="6">
        <v>563</v>
      </c>
      <c r="B564" s="6">
        <v>0.34849999999999998</v>
      </c>
      <c r="C564" s="6">
        <v>0.42</v>
      </c>
      <c r="D564" s="6">
        <v>0</v>
      </c>
      <c r="E564" s="6">
        <v>21</v>
      </c>
      <c r="F564" s="6">
        <v>63</v>
      </c>
      <c r="G564" s="6">
        <v>84</v>
      </c>
    </row>
    <row r="565" spans="1:7" ht="15.75" thickBot="1">
      <c r="A565" s="6">
        <v>564</v>
      </c>
      <c r="B565" s="6">
        <v>0.34849999999999998</v>
      </c>
      <c r="C565" s="6">
        <v>0.42</v>
      </c>
      <c r="D565" s="6">
        <v>0</v>
      </c>
      <c r="E565" s="6">
        <v>14</v>
      </c>
      <c r="F565" s="6">
        <v>102</v>
      </c>
      <c r="G565" s="6">
        <v>116</v>
      </c>
    </row>
    <row r="566" spans="1:7" ht="15.75" thickBot="1">
      <c r="A566" s="6">
        <v>565</v>
      </c>
      <c r="B566" s="6">
        <v>0.33329999999999999</v>
      </c>
      <c r="C566" s="6">
        <v>0.45</v>
      </c>
      <c r="D566" s="6">
        <v>0</v>
      </c>
      <c r="E566" s="6">
        <v>14</v>
      </c>
      <c r="F566" s="6">
        <v>208</v>
      </c>
      <c r="G566" s="6">
        <v>222</v>
      </c>
    </row>
    <row r="567" spans="1:7" ht="15.75" thickBot="1">
      <c r="A567" s="6">
        <v>566</v>
      </c>
      <c r="B567" s="6">
        <v>0.31819999999999998</v>
      </c>
      <c r="C567" s="6">
        <v>0.49</v>
      </c>
      <c r="D567" s="6">
        <v>8.9599999999999999E-2</v>
      </c>
      <c r="E567" s="6">
        <v>7</v>
      </c>
      <c r="F567" s="6">
        <v>218</v>
      </c>
      <c r="G567" s="6">
        <v>225</v>
      </c>
    </row>
    <row r="568" spans="1:7" ht="15.75" thickBot="1">
      <c r="A568" s="6">
        <v>567</v>
      </c>
      <c r="B568" s="6">
        <v>0.2576</v>
      </c>
      <c r="C568" s="6">
        <v>0.65</v>
      </c>
      <c r="D568" s="6">
        <v>0.16420000000000001</v>
      </c>
      <c r="E568" s="6">
        <v>13</v>
      </c>
      <c r="F568" s="6">
        <v>133</v>
      </c>
      <c r="G568" s="6">
        <v>146</v>
      </c>
    </row>
    <row r="569" spans="1:7" ht="15.75" thickBot="1">
      <c r="A569" s="6">
        <v>568</v>
      </c>
      <c r="B569" s="6">
        <v>0.2273</v>
      </c>
      <c r="C569" s="6">
        <v>0.65</v>
      </c>
      <c r="D569" s="6">
        <v>0.19400000000000001</v>
      </c>
      <c r="E569" s="6">
        <v>16</v>
      </c>
      <c r="F569" s="6">
        <v>103</v>
      </c>
      <c r="G569" s="6">
        <v>119</v>
      </c>
    </row>
    <row r="570" spans="1:7" ht="15.75" thickBot="1">
      <c r="A570" s="6">
        <v>569</v>
      </c>
      <c r="B570" s="6">
        <v>0.2273</v>
      </c>
      <c r="C570" s="6">
        <v>0.65</v>
      </c>
      <c r="D570" s="6">
        <v>0.19400000000000001</v>
      </c>
      <c r="E570" s="6">
        <v>5</v>
      </c>
      <c r="F570" s="6">
        <v>40</v>
      </c>
      <c r="G570" s="6">
        <v>45</v>
      </c>
    </row>
    <row r="571" spans="1:7" ht="15.75" thickBot="1">
      <c r="A571" s="6">
        <v>570</v>
      </c>
      <c r="B571" s="6">
        <v>0.2273</v>
      </c>
      <c r="C571" s="6">
        <v>0.64</v>
      </c>
      <c r="D571" s="6">
        <v>0.16420000000000001</v>
      </c>
      <c r="E571" s="6">
        <v>4</v>
      </c>
      <c r="F571" s="6">
        <v>49</v>
      </c>
      <c r="G571" s="6">
        <v>53</v>
      </c>
    </row>
    <row r="572" spans="1:7" ht="15.75" thickBot="1">
      <c r="A572" s="6">
        <v>571</v>
      </c>
      <c r="B572" s="6">
        <v>0.2273</v>
      </c>
      <c r="C572" s="6">
        <v>0.64</v>
      </c>
      <c r="D572" s="6">
        <v>0.16420000000000001</v>
      </c>
      <c r="E572" s="6">
        <v>3</v>
      </c>
      <c r="F572" s="6">
        <v>37</v>
      </c>
      <c r="G572" s="6">
        <v>40</v>
      </c>
    </row>
    <row r="573" spans="1:7" ht="15.75" thickBot="1">
      <c r="A573" s="6">
        <v>572</v>
      </c>
      <c r="B573" s="6">
        <v>0.2273</v>
      </c>
      <c r="C573" s="6">
        <v>0.69</v>
      </c>
      <c r="D573" s="6">
        <v>0.1343</v>
      </c>
      <c r="E573" s="6">
        <v>3</v>
      </c>
      <c r="F573" s="6">
        <v>14</v>
      </c>
      <c r="G573" s="6">
        <v>17</v>
      </c>
    </row>
    <row r="574" spans="1:7" ht="15.75" thickBot="1">
      <c r="A574" s="6">
        <v>573</v>
      </c>
      <c r="B574" s="6">
        <v>0.2424</v>
      </c>
      <c r="C574" s="6">
        <v>0.65</v>
      </c>
      <c r="D574" s="6">
        <v>0.1343</v>
      </c>
      <c r="E574" s="6">
        <v>0</v>
      </c>
      <c r="F574" s="6">
        <v>5</v>
      </c>
      <c r="G574" s="6">
        <v>5</v>
      </c>
    </row>
    <row r="575" spans="1:7" ht="15.75" thickBot="1">
      <c r="A575" s="6">
        <v>574</v>
      </c>
      <c r="B575" s="6">
        <v>0.2273</v>
      </c>
      <c r="C575" s="6">
        <v>0.69</v>
      </c>
      <c r="D575" s="6">
        <v>0.19400000000000001</v>
      </c>
      <c r="E575" s="6">
        <v>3</v>
      </c>
      <c r="F575" s="6">
        <v>7</v>
      </c>
      <c r="G575" s="6">
        <v>10</v>
      </c>
    </row>
    <row r="576" spans="1:7" ht="15.75" thickBot="1">
      <c r="A576" s="6">
        <v>575</v>
      </c>
      <c r="B576" s="6">
        <v>0.18179999999999999</v>
      </c>
      <c r="C576" s="6">
        <v>0.86</v>
      </c>
      <c r="D576" s="6">
        <v>0.28360000000000002</v>
      </c>
      <c r="E576" s="6">
        <v>0</v>
      </c>
      <c r="F576" s="6">
        <v>1</v>
      </c>
      <c r="G576" s="6">
        <v>1</v>
      </c>
    </row>
    <row r="577" spans="1:7" ht="15.75" thickBot="1">
      <c r="A577" s="6">
        <v>576</v>
      </c>
      <c r="B577" s="6">
        <v>0.18179999999999999</v>
      </c>
      <c r="C577" s="6">
        <v>0.86</v>
      </c>
      <c r="D577" s="6">
        <v>0.28360000000000002</v>
      </c>
      <c r="E577" s="6">
        <v>0</v>
      </c>
      <c r="F577" s="6">
        <v>8</v>
      </c>
      <c r="G577" s="6">
        <v>8</v>
      </c>
    </row>
    <row r="578" spans="1:7" ht="15.75" thickBot="1">
      <c r="A578" s="6">
        <v>577</v>
      </c>
      <c r="B578" s="6">
        <v>0.21210000000000001</v>
      </c>
      <c r="C578" s="6">
        <v>0.87</v>
      </c>
      <c r="D578" s="6">
        <v>0.29849999999999999</v>
      </c>
      <c r="E578" s="6">
        <v>1</v>
      </c>
      <c r="F578" s="6">
        <v>29</v>
      </c>
      <c r="G578" s="6">
        <v>30</v>
      </c>
    </row>
    <row r="579" spans="1:7" ht="15.75" thickBot="1">
      <c r="A579" s="6">
        <v>578</v>
      </c>
      <c r="B579" s="6">
        <v>0.21210000000000001</v>
      </c>
      <c r="C579" s="6">
        <v>0.87</v>
      </c>
      <c r="D579" s="6">
        <v>0.29849999999999999</v>
      </c>
      <c r="E579" s="6">
        <v>3</v>
      </c>
      <c r="F579" s="6">
        <v>69</v>
      </c>
      <c r="G579" s="6">
        <v>72</v>
      </c>
    </row>
    <row r="580" spans="1:7" ht="15.75" thickBot="1">
      <c r="A580" s="6">
        <v>579</v>
      </c>
      <c r="B580" s="6">
        <v>0.21210000000000001</v>
      </c>
      <c r="C580" s="6">
        <v>0.87</v>
      </c>
      <c r="D580" s="6">
        <v>0.29849999999999999</v>
      </c>
      <c r="E580" s="6">
        <v>3</v>
      </c>
      <c r="F580" s="6">
        <v>55</v>
      </c>
      <c r="G580" s="6">
        <v>58</v>
      </c>
    </row>
    <row r="581" spans="1:7" ht="15.75" thickBot="1">
      <c r="A581" s="6">
        <v>580</v>
      </c>
      <c r="B581" s="6">
        <v>0.21210000000000001</v>
      </c>
      <c r="C581" s="6">
        <v>0.93</v>
      </c>
      <c r="D581" s="6">
        <v>0.28360000000000002</v>
      </c>
      <c r="E581" s="6">
        <v>2</v>
      </c>
      <c r="F581" s="6">
        <v>26</v>
      </c>
      <c r="G581" s="6">
        <v>28</v>
      </c>
    </row>
    <row r="582" spans="1:7" ht="15.75" thickBot="1">
      <c r="A582" s="6">
        <v>581</v>
      </c>
      <c r="B582" s="6">
        <v>0.19700000000000001</v>
      </c>
      <c r="C582" s="6">
        <v>0.93</v>
      </c>
      <c r="D582" s="6">
        <v>0.32840000000000003</v>
      </c>
      <c r="E582" s="6">
        <v>6</v>
      </c>
      <c r="F582" s="6">
        <v>35</v>
      </c>
      <c r="G582" s="6">
        <v>41</v>
      </c>
    </row>
    <row r="583" spans="1:7" ht="15.75" thickBot="1">
      <c r="A583" s="6">
        <v>582</v>
      </c>
      <c r="B583" s="6">
        <v>0.19700000000000001</v>
      </c>
      <c r="C583" s="6">
        <v>0.93</v>
      </c>
      <c r="D583" s="6">
        <v>0.32840000000000003</v>
      </c>
      <c r="E583" s="6">
        <v>7</v>
      </c>
      <c r="F583" s="6">
        <v>41</v>
      </c>
      <c r="G583" s="6">
        <v>48</v>
      </c>
    </row>
    <row r="584" spans="1:7" ht="15.75" thickBot="1">
      <c r="A584" s="6">
        <v>583</v>
      </c>
      <c r="B584" s="6">
        <v>0.19700000000000001</v>
      </c>
      <c r="C584" s="6">
        <v>0.93</v>
      </c>
      <c r="D584" s="6">
        <v>0.32840000000000003</v>
      </c>
      <c r="E584" s="6">
        <v>4</v>
      </c>
      <c r="F584" s="6">
        <v>43</v>
      </c>
      <c r="G584" s="6">
        <v>47</v>
      </c>
    </row>
    <row r="585" spans="1:7" ht="15.75" thickBot="1">
      <c r="A585" s="6">
        <v>584</v>
      </c>
      <c r="B585" s="6">
        <v>0.19700000000000001</v>
      </c>
      <c r="C585" s="6">
        <v>0.93</v>
      </c>
      <c r="D585" s="6">
        <v>0.35820000000000002</v>
      </c>
      <c r="E585" s="6">
        <v>0</v>
      </c>
      <c r="F585" s="6">
        <v>36</v>
      </c>
      <c r="G585" s="6">
        <v>36</v>
      </c>
    </row>
    <row r="586" spans="1:7" ht="15.75" thickBot="1">
      <c r="A586" s="6">
        <v>585</v>
      </c>
      <c r="B586" s="6">
        <v>0.18179999999999999</v>
      </c>
      <c r="C586" s="6">
        <v>0.93</v>
      </c>
      <c r="D586" s="6">
        <v>0.4627</v>
      </c>
      <c r="E586" s="6">
        <v>1</v>
      </c>
      <c r="F586" s="6">
        <v>42</v>
      </c>
      <c r="G586" s="6">
        <v>43</v>
      </c>
    </row>
    <row r="587" spans="1:7" ht="15.75" thickBot="1">
      <c r="A587" s="6">
        <v>586</v>
      </c>
      <c r="B587" s="6">
        <v>0.19700000000000001</v>
      </c>
      <c r="C587" s="6">
        <v>0.93</v>
      </c>
      <c r="D587" s="6">
        <v>0.32840000000000003</v>
      </c>
      <c r="E587" s="6">
        <v>1</v>
      </c>
      <c r="F587" s="6">
        <v>35</v>
      </c>
      <c r="G587" s="6">
        <v>36</v>
      </c>
    </row>
    <row r="588" spans="1:7" ht="15.75" thickBot="1">
      <c r="A588" s="6">
        <v>587</v>
      </c>
      <c r="B588" s="6">
        <v>0.18179999999999999</v>
      </c>
      <c r="C588" s="6">
        <v>0.93</v>
      </c>
      <c r="D588" s="6">
        <v>0.35820000000000002</v>
      </c>
      <c r="E588" s="6">
        <v>0</v>
      </c>
      <c r="F588" s="6">
        <v>26</v>
      </c>
      <c r="G588" s="6">
        <v>26</v>
      </c>
    </row>
    <row r="589" spans="1:7" ht="15.75" thickBot="1">
      <c r="A589" s="6">
        <v>588</v>
      </c>
      <c r="B589" s="6">
        <v>0.2273</v>
      </c>
      <c r="C589" s="6">
        <v>0.55000000000000004</v>
      </c>
      <c r="D589" s="6">
        <v>0.19400000000000001</v>
      </c>
      <c r="E589" s="6">
        <v>1</v>
      </c>
      <c r="F589" s="6">
        <v>23</v>
      </c>
      <c r="G589" s="6">
        <v>24</v>
      </c>
    </row>
    <row r="590" spans="1:7" ht="15.75" thickBot="1">
      <c r="A590" s="6">
        <v>589</v>
      </c>
      <c r="B590" s="6">
        <v>0.2424</v>
      </c>
      <c r="C590" s="6">
        <v>0.55000000000000004</v>
      </c>
      <c r="D590" s="6">
        <v>0.1045</v>
      </c>
      <c r="E590" s="6">
        <v>2</v>
      </c>
      <c r="F590" s="6">
        <v>82</v>
      </c>
      <c r="G590" s="6">
        <v>84</v>
      </c>
    </row>
    <row r="591" spans="1:7" ht="15.75" thickBot="1">
      <c r="A591" s="6">
        <v>590</v>
      </c>
      <c r="B591" s="6">
        <v>0.2273</v>
      </c>
      <c r="C591" s="6">
        <v>0.69</v>
      </c>
      <c r="D591" s="6">
        <v>8.9599999999999999E-2</v>
      </c>
      <c r="E591" s="6">
        <v>3</v>
      </c>
      <c r="F591" s="6">
        <v>101</v>
      </c>
      <c r="G591" s="6">
        <v>104</v>
      </c>
    </row>
    <row r="592" spans="1:7" ht="15.75" thickBot="1">
      <c r="A592" s="6">
        <v>591</v>
      </c>
      <c r="B592" s="6">
        <v>0.2273</v>
      </c>
      <c r="C592" s="6">
        <v>0.69</v>
      </c>
      <c r="D592" s="6">
        <v>8.9599999999999999E-2</v>
      </c>
      <c r="E592" s="6">
        <v>3</v>
      </c>
      <c r="F592" s="6">
        <v>76</v>
      </c>
      <c r="G592" s="6">
        <v>79</v>
      </c>
    </row>
    <row r="593" spans="1:7" ht="15.75" thickBot="1">
      <c r="A593" s="6">
        <v>592</v>
      </c>
      <c r="B593" s="6">
        <v>0.21210000000000001</v>
      </c>
      <c r="C593" s="6">
        <v>0.74</v>
      </c>
      <c r="D593" s="6">
        <v>8.9599999999999999E-2</v>
      </c>
      <c r="E593" s="6">
        <v>4</v>
      </c>
      <c r="F593" s="6">
        <v>55</v>
      </c>
      <c r="G593" s="6">
        <v>59</v>
      </c>
    </row>
    <row r="594" spans="1:7" ht="15.75" thickBot="1">
      <c r="A594" s="6">
        <v>593</v>
      </c>
      <c r="B594" s="6">
        <v>0.21210000000000001</v>
      </c>
      <c r="C594" s="6">
        <v>0.74</v>
      </c>
      <c r="D594" s="6">
        <v>8.9599999999999999E-2</v>
      </c>
      <c r="E594" s="6">
        <v>2</v>
      </c>
      <c r="F594" s="6">
        <v>36</v>
      </c>
      <c r="G594" s="6">
        <v>38</v>
      </c>
    </row>
    <row r="595" spans="1:7" ht="15.75" thickBot="1">
      <c r="A595" s="6">
        <v>594</v>
      </c>
      <c r="B595" s="6">
        <v>0.21210000000000001</v>
      </c>
      <c r="C595" s="6">
        <v>0.74</v>
      </c>
      <c r="D595" s="6">
        <v>8.9599999999999999E-2</v>
      </c>
      <c r="E595" s="6">
        <v>0</v>
      </c>
      <c r="F595" s="6">
        <v>27</v>
      </c>
      <c r="G595" s="6">
        <v>27</v>
      </c>
    </row>
    <row r="596" spans="1:7" ht="15.75" thickBot="1">
      <c r="A596" s="6">
        <v>595</v>
      </c>
      <c r="B596" s="6">
        <v>0.19700000000000001</v>
      </c>
      <c r="C596" s="6">
        <v>0.8</v>
      </c>
      <c r="D596" s="6">
        <v>0.16420000000000001</v>
      </c>
      <c r="E596" s="6">
        <v>0</v>
      </c>
      <c r="F596" s="6">
        <v>16</v>
      </c>
      <c r="G596" s="6">
        <v>16</v>
      </c>
    </row>
    <row r="597" spans="1:7" ht="15.75" thickBot="1">
      <c r="A597" s="6">
        <v>596</v>
      </c>
      <c r="B597" s="6">
        <v>0.21210000000000001</v>
      </c>
      <c r="C597" s="6">
        <v>0.75</v>
      </c>
      <c r="D597" s="6">
        <v>0.1343</v>
      </c>
      <c r="E597" s="6">
        <v>0</v>
      </c>
      <c r="F597" s="6">
        <v>9</v>
      </c>
      <c r="G597" s="6">
        <v>9</v>
      </c>
    </row>
    <row r="598" spans="1:7" ht="15.75" thickBot="1">
      <c r="A598" s="6">
        <v>597</v>
      </c>
      <c r="B598" s="6">
        <v>0.21210000000000001</v>
      </c>
      <c r="C598" s="6">
        <v>0.75</v>
      </c>
      <c r="D598" s="6">
        <v>0.1343</v>
      </c>
      <c r="E598" s="6">
        <v>1</v>
      </c>
      <c r="F598" s="6">
        <v>2</v>
      </c>
      <c r="G598" s="6">
        <v>3</v>
      </c>
    </row>
    <row r="599" spans="1:7" ht="15.75" thickBot="1">
      <c r="A599" s="6">
        <v>598</v>
      </c>
      <c r="B599" s="6">
        <v>0.21210000000000001</v>
      </c>
      <c r="C599" s="6">
        <v>0.75</v>
      </c>
      <c r="D599" s="6">
        <v>0.16420000000000001</v>
      </c>
      <c r="E599" s="6">
        <v>0</v>
      </c>
      <c r="F599" s="6">
        <v>2</v>
      </c>
      <c r="G599" s="6">
        <v>2</v>
      </c>
    </row>
    <row r="600" spans="1:7" ht="15.75" thickBot="1">
      <c r="A600" s="6">
        <v>599</v>
      </c>
      <c r="B600" s="6">
        <v>0.2273</v>
      </c>
      <c r="C600" s="6">
        <v>0.75</v>
      </c>
      <c r="D600" s="6">
        <v>0.1045</v>
      </c>
      <c r="E600" s="6">
        <v>1</v>
      </c>
      <c r="F600" s="6">
        <v>0</v>
      </c>
      <c r="G600" s="6">
        <v>1</v>
      </c>
    </row>
    <row r="601" spans="1:7" ht="15.75" thickBot="1">
      <c r="A601" s="6">
        <v>600</v>
      </c>
      <c r="B601" s="6">
        <v>0.21210000000000001</v>
      </c>
      <c r="C601" s="6">
        <v>0.8</v>
      </c>
      <c r="D601" s="6">
        <v>0.1045</v>
      </c>
      <c r="E601" s="6">
        <v>0</v>
      </c>
      <c r="F601" s="6">
        <v>4</v>
      </c>
      <c r="G601" s="6">
        <v>4</v>
      </c>
    </row>
    <row r="602" spans="1:7" ht="15.75" thickBot="1">
      <c r="A602" s="6">
        <v>601</v>
      </c>
      <c r="B602" s="6">
        <v>0.19700000000000001</v>
      </c>
      <c r="C602" s="6">
        <v>0.8</v>
      </c>
      <c r="D602" s="6">
        <v>0.1343</v>
      </c>
      <c r="E602" s="6">
        <v>0</v>
      </c>
      <c r="F602" s="6">
        <v>16</v>
      </c>
      <c r="G602" s="6">
        <v>16</v>
      </c>
    </row>
    <row r="603" spans="1:7" ht="15.75" thickBot="1">
      <c r="A603" s="6">
        <v>602</v>
      </c>
      <c r="B603" s="6">
        <v>0.19700000000000001</v>
      </c>
      <c r="C603" s="6">
        <v>0.86</v>
      </c>
      <c r="D603" s="6">
        <v>8.9599999999999999E-2</v>
      </c>
      <c r="E603" s="6">
        <v>2</v>
      </c>
      <c r="F603" s="6">
        <v>58</v>
      </c>
      <c r="G603" s="6">
        <v>60</v>
      </c>
    </row>
    <row r="604" spans="1:7" ht="15.75" thickBot="1">
      <c r="A604" s="6">
        <v>603</v>
      </c>
      <c r="B604" s="6">
        <v>0.19700000000000001</v>
      </c>
      <c r="C604" s="6">
        <v>0.86</v>
      </c>
      <c r="D604" s="6">
        <v>8.9599999999999999E-2</v>
      </c>
      <c r="E604" s="6">
        <v>2</v>
      </c>
      <c r="F604" s="6">
        <v>155</v>
      </c>
      <c r="G604" s="6">
        <v>157</v>
      </c>
    </row>
    <row r="605" spans="1:7" ht="15.75" thickBot="1">
      <c r="A605" s="6">
        <v>604</v>
      </c>
      <c r="B605" s="6">
        <v>0.21210000000000001</v>
      </c>
      <c r="C605" s="6">
        <v>0.86</v>
      </c>
      <c r="D605" s="6">
        <v>8.9599999999999999E-2</v>
      </c>
      <c r="E605" s="6">
        <v>6</v>
      </c>
      <c r="F605" s="6">
        <v>95</v>
      </c>
      <c r="G605" s="6">
        <v>101</v>
      </c>
    </row>
    <row r="606" spans="1:7" ht="15.75" thickBot="1">
      <c r="A606" s="6">
        <v>605</v>
      </c>
      <c r="B606" s="6">
        <v>0.21210000000000001</v>
      </c>
      <c r="C606" s="6">
        <v>0.86</v>
      </c>
      <c r="D606" s="6">
        <v>0.1045</v>
      </c>
      <c r="E606" s="6">
        <v>0</v>
      </c>
      <c r="F606" s="6">
        <v>49</v>
      </c>
      <c r="G606" s="6">
        <v>49</v>
      </c>
    </row>
    <row r="607" spans="1:7" ht="15.75" thickBot="1">
      <c r="A607" s="6">
        <v>606</v>
      </c>
      <c r="B607" s="6">
        <v>0.21210000000000001</v>
      </c>
      <c r="C607" s="6">
        <v>0.93</v>
      </c>
      <c r="D607" s="6">
        <v>0.1045</v>
      </c>
      <c r="E607" s="6">
        <v>0</v>
      </c>
      <c r="F607" s="6">
        <v>30</v>
      </c>
      <c r="G607" s="6">
        <v>30</v>
      </c>
    </row>
    <row r="608" spans="1:7" ht="15.75" thickBot="1">
      <c r="A608" s="6">
        <v>607</v>
      </c>
      <c r="B608" s="6">
        <v>0.21210000000000001</v>
      </c>
      <c r="C608" s="6">
        <v>0.93</v>
      </c>
      <c r="D608" s="6">
        <v>0.1045</v>
      </c>
      <c r="E608" s="6">
        <v>1</v>
      </c>
      <c r="F608" s="6">
        <v>28</v>
      </c>
      <c r="G608" s="6">
        <v>29</v>
      </c>
    </row>
    <row r="609" spans="1:7" ht="15.75" thickBot="1">
      <c r="A609" s="6">
        <v>608</v>
      </c>
      <c r="B609" s="6">
        <v>0.21210000000000001</v>
      </c>
      <c r="C609" s="6">
        <v>0.93</v>
      </c>
      <c r="D609" s="6">
        <v>0.1045</v>
      </c>
      <c r="E609" s="6">
        <v>0</v>
      </c>
      <c r="F609" s="6">
        <v>31</v>
      </c>
      <c r="G609" s="6">
        <v>31</v>
      </c>
    </row>
    <row r="610" spans="1:7" ht="15.75" thickBot="1">
      <c r="A610" s="6">
        <v>609</v>
      </c>
      <c r="B610" s="6">
        <v>0.2727</v>
      </c>
      <c r="C610" s="6">
        <v>0.8</v>
      </c>
      <c r="D610" s="6">
        <v>0</v>
      </c>
      <c r="E610" s="6">
        <v>2</v>
      </c>
      <c r="F610" s="6">
        <v>36</v>
      </c>
      <c r="G610" s="6">
        <v>38</v>
      </c>
    </row>
    <row r="611" spans="1:7" ht="15.75" thickBot="1">
      <c r="A611" s="6">
        <v>610</v>
      </c>
      <c r="B611" s="6">
        <v>0.2576</v>
      </c>
      <c r="C611" s="6">
        <v>0.86</v>
      </c>
      <c r="D611" s="6">
        <v>0</v>
      </c>
      <c r="E611" s="6">
        <v>1</v>
      </c>
      <c r="F611" s="6">
        <v>40</v>
      </c>
      <c r="G611" s="6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Master_Data</vt:lpstr>
      <vt:lpstr>Cleaned_Data Sheet</vt:lpstr>
      <vt:lpstr>Pivot_Tables</vt:lpstr>
      <vt:lpstr>Dashboard Data Sheet</vt:lpstr>
      <vt:lpstr>Dashboard</vt:lpstr>
      <vt:lpstr>Temprorary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2026-07-25T22:51:56Z</dcterms:created>
  <dcterms:modified xsi:type="dcterms:W3CDTF">2026-07-26T01:51:19Z</dcterms:modified>
</cp:coreProperties>
</file>